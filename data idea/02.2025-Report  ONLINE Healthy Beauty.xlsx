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ÁO CÁO" sheetId="1" r:id="rId4"/>
    <sheet state="visible" name="ADS SHOPEE" sheetId="2" r:id="rId5"/>
    <sheet state="visible" name="DS Shoppe (đã xác nhận)" sheetId="3" r:id="rId6"/>
    <sheet state="hidden" name="BC TỔNG HỢP THÁNG" sheetId="4" r:id="rId7"/>
    <sheet state="visible" name="TARGET" sheetId="5" r:id="rId8"/>
    <sheet state="hidden" name="Bản sao của BÁO CÁO" sheetId="6" r:id="rId9"/>
    <sheet state="hidden" name="Sản phẩm" sheetId="7" r:id="rId10"/>
    <sheet state="visible" name="LAZADA" sheetId="8" r:id="rId11"/>
    <sheet state="visible" name="ADS LAZADA" sheetId="9" r:id="rId12"/>
    <sheet state="visible" name="FANPAGE" sheetId="10" r:id="rId13"/>
    <sheet state="visible" name="ADS FANPAGGE" sheetId="11" r:id="rId14"/>
    <sheet state="visible" name="WEB" sheetId="12" r:id="rId15"/>
    <sheet state="hidden" name="Bảng tổng hợp 2" sheetId="13" r:id="rId16"/>
    <sheet state="hidden" name="Bảng tổng hợp 1" sheetId="14" r:id="rId17"/>
    <sheet state="visible" name="ZALO" sheetId="15" r:id="rId18"/>
    <sheet state="visible" name="TIKTOK" sheetId="16" r:id="rId19"/>
    <sheet state="visible" name="ADS TIKTOK" sheetId="17" r:id="rId20"/>
    <sheet state="hidden" name="Trang tính7" sheetId="18" r:id="rId21"/>
    <sheet state="hidden" name="Trang tính8" sheetId="19" r:id="rId22"/>
    <sheet state="hidden" name="MKT 06.2025" sheetId="20" r:id="rId23"/>
  </sheets>
  <definedNames>
    <definedName hidden="1" localSheetId="0" name="_xlnm._FilterDatabase">'BÁO CÁO'!$B$16:$U$47</definedName>
    <definedName hidden="1" localSheetId="5" name="_xlnm._FilterDatabase">'Bản sao của BÁO CÁO'!$B$15:$O$46</definedName>
    <definedName hidden="1" localSheetId="13" name="_xlnm._FilterDatabase">'Bảng tổng hợp 1'!$A$1:$AQ$52</definedName>
  </definedNames>
  <calcPr/>
  <pivotCaches>
    <pivotCache cacheId="0" r:id="rId24"/>
    <pivotCache cacheId="1" r:id="rId25"/>
  </pivotCaches>
  <extLst>
    <ext uri="GoogleSheetsCustomDataVersion2">
      <go:sheetsCustomData xmlns:go="http://customooxmlschemas.google.com/" r:id="rId26" roundtripDataChecksum="ba77FXyYucvByi8mpMCa+u2h7BEznu1308bH2bfgWV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1">
      <text>
        <t xml:space="preserve">======
ID#AAABuruMyE8
    (2025-11-04 03:23:17)
dơn tiktok</t>
      </text>
    </comment>
  </commentList>
  <extLst>
    <ext uri="GoogleSheetsCustomDataVersion2">
      <go:sheetsCustomData xmlns:go="http://customooxmlschemas.google.com/" r:id="rId1" roundtripDataSignature="AMtx7mh36gsPvexKtkh60zIQir6pTLCpkg=="/>
    </ext>
  </extLst>
</comments>
</file>

<file path=xl/sharedStrings.xml><?xml version="1.0" encoding="utf-8"?>
<sst xmlns="http://schemas.openxmlformats.org/spreadsheetml/2006/main" count="6449" uniqueCount="1346">
  <si>
    <t>BÁO CÁO BÁN HÀNG KÊNH ONLINE THÁNG</t>
  </si>
  <si>
    <t>ROAS Shopee</t>
  </si>
  <si>
    <t>Ngày báo cáo:</t>
  </si>
  <si>
    <t>CHỈ TIÊU</t>
  </si>
  <si>
    <t>TARGET</t>
  </si>
  <si>
    <t>THỰC ĐẠT</t>
  </si>
  <si>
    <t>CHÊNH LỆCH TĐ/TARGET</t>
  </si>
  <si>
    <t>% TĐ/TARGET</t>
  </si>
  <si>
    <t>% 
CHÊNH LỆCH</t>
  </si>
  <si>
    <t>CHI PHÍ Ads</t>
  </si>
  <si>
    <t>SHOPEE</t>
  </si>
  <si>
    <t>GOOGLE ADS
Youtube</t>
  </si>
  <si>
    <t>LAZADA</t>
  </si>
  <si>
    <t>TIKTOK</t>
  </si>
  <si>
    <t>FACEBOOK</t>
  </si>
  <si>
    <t>ZALO</t>
  </si>
  <si>
    <t>DOANH SỐ</t>
  </si>
  <si>
    <t>CHI PHÍ QUẢNG CÁO</t>
  </si>
  <si>
    <t>Tổng chi phí QC:</t>
  </si>
  <si>
    <t>Tổng PO</t>
  </si>
  <si>
    <t>ROAS</t>
  </si>
  <si>
    <t>%Chi phí Quảng cáo/NET SALE:</t>
  </si>
  <si>
    <t>Số PO Trung Bình</t>
  </si>
  <si>
    <t>% C.Phí QC/DOANH SỐ QC</t>
  </si>
  <si>
    <t>Doanh số Trung Bình/ngày</t>
  </si>
  <si>
    <t>% CPhí QC/DOANH SỐ TĐ</t>
  </si>
  <si>
    <t>%Chi phí sàn + voucher + chiến dịch + Aff:</t>
  </si>
  <si>
    <t>Số lượng đơn Trung Bình/ngày</t>
  </si>
  <si>
    <t>% TỔNG CHI PHÍ/DOANH THU:</t>
  </si>
  <si>
    <t>Doanh số từ quảng cáo</t>
  </si>
  <si>
    <t>Gói tương tác cơ bản</t>
  </si>
  <si>
    <t>Gói tiếp thị standard</t>
  </si>
  <si>
    <t>GIÁ TRỊ TRUNG BÌNH PO</t>
  </si>
  <si>
    <t>Ngày</t>
  </si>
  <si>
    <t>THỰC HIỆN</t>
  </si>
  <si>
    <t>% THỰC ĐẠT/TARGET</t>
  </si>
  <si>
    <t>CHÊNH LỆCH 
THỰC ĐẠT/TARGET</t>
  </si>
  <si>
    <t>Đơn đã hủy</t>
  </si>
  <si>
    <t>Doanh số đơn hủy</t>
  </si>
  <si>
    <t>Đơn đã hoàn trả / hoàn tiền</t>
  </si>
  <si>
    <t>Doanh số các đơn Trả hàng/ Hoàn tiền</t>
  </si>
  <si>
    <t>Doanh số</t>
  </si>
  <si>
    <t xml:space="preserve">Tổng số PO </t>
  </si>
  <si>
    <t>Doanh số ZALO + HOTLINE</t>
  </si>
  <si>
    <t>Doanh số HARAVAN = WEBSITE</t>
  </si>
  <si>
    <t>Doanh số FANPAGE</t>
  </si>
  <si>
    <t>Doanh số LAZADA</t>
  </si>
  <si>
    <t>Doanh số SHOPPE</t>
  </si>
  <si>
    <t>Doanh số TIKTOK</t>
  </si>
  <si>
    <t>Tổng Doanh số Online</t>
  </si>
  <si>
    <t>Giá Trị Po Trung Bình</t>
  </si>
  <si>
    <t xml:space="preserve">Doanh số </t>
  </si>
  <si>
    <t>TOTAL</t>
  </si>
  <si>
    <t>Báo cáo quảng cáo trả theo CPC - Shopee Việt Nam</t>
  </si>
  <si>
    <t>Tên đăng nhập</t>
  </si>
  <si>
    <t>healthybeauty.officialstore</t>
  </si>
  <si>
    <t>Tên gian hàng</t>
  </si>
  <si>
    <t>DƯỢC PHẨM HEALTHY BEAUTY</t>
  </si>
  <si>
    <t>Mã Người bán</t>
  </si>
  <si>
    <t>Thời gian tạo báo cáo</t>
  </si>
  <si>
    <t>Khoảng thời gian</t>
  </si>
  <si>
    <t>01/06/2025 - 30/06/2025</t>
  </si>
  <si>
    <t>Thứ tự</t>
  </si>
  <si>
    <t>Tên quảng cáo</t>
  </si>
  <si>
    <t>Trạng thái</t>
  </si>
  <si>
    <t>Loại quảng cáo</t>
  </si>
  <si>
    <t>Mã sản phẩm</t>
  </si>
  <si>
    <t>Cài đặt Đối tượng</t>
  </si>
  <si>
    <t>Nội dung quảng cáo</t>
  </si>
  <si>
    <t>Phương thức đấu thầu</t>
  </si>
  <si>
    <t>Vị trí</t>
  </si>
  <si>
    <t>Ngày bắt đầu</t>
  </si>
  <si>
    <t>Ngày kết thúc</t>
  </si>
  <si>
    <t>Số lượt xem</t>
  </si>
  <si>
    <t>Số lượt click</t>
  </si>
  <si>
    <t>Tỷ Lệ Click</t>
  </si>
  <si>
    <t>Lượt chuyển đổi</t>
  </si>
  <si>
    <t>Lượt chuyển đổi trực tiếp</t>
  </si>
  <si>
    <t>Tỷ lệ chuyển đổi</t>
  </si>
  <si>
    <t>Tỷ lệ chuyển đổi trực tiếp</t>
  </si>
  <si>
    <t>Chi phí cho mỗi lượt chuyển đổi</t>
  </si>
  <si>
    <t>Chi phí cho mỗi lượt chuyển đổi trực tiếp</t>
  </si>
  <si>
    <t>Sản phẩm đã bán</t>
  </si>
  <si>
    <t>Sản phẩm đã bán trực tiếp</t>
  </si>
  <si>
    <t>GMV</t>
  </si>
  <si>
    <t>GMV trực tiếp</t>
  </si>
  <si>
    <t>Chi phí</t>
  </si>
  <si>
    <t>ROAS trực tiếp</t>
  </si>
  <si>
    <t>ACOS</t>
  </si>
  <si>
    <t>ACOS trực tiếp</t>
  </si>
  <si>
    <t>Lượt xem Sản phẩm</t>
  </si>
  <si>
    <t>Lượt clicks Sản phẩm</t>
  </si>
  <si>
    <t>Tỷ lệ Click Sản phẩm</t>
  </si>
  <si>
    <t xml:space="preserve">THÁNG </t>
  </si>
  <si>
    <t>Auto shop</t>
  </si>
  <si>
    <t>Đang diễn ra</t>
  </si>
  <si>
    <t>Quảng cáo Shop</t>
  </si>
  <si>
    <t>-</t>
  </si>
  <si>
    <t>Mặc định</t>
  </si>
  <si>
    <t>Giá thầu Tự động</t>
  </si>
  <si>
    <t>Không giới hạn</t>
  </si>
  <si>
    <t>18.00%</t>
  </si>
  <si>
    <t>0.65%</t>
  </si>
  <si>
    <t>0.49%</t>
  </si>
  <si>
    <t>91377.65</t>
  </si>
  <si>
    <t>121836.9</t>
  </si>
  <si>
    <t>7.18</t>
  </si>
  <si>
    <t>12.50%</t>
  </si>
  <si>
    <t>13.93%</t>
  </si>
  <si>
    <t>0.66%</t>
  </si>
  <si>
    <t>Viên Uống Giúp Chống Nắng Trắng Da Mờ Nám HB GLUTA WHITE + [4]</t>
  </si>
  <si>
    <t>Quảng cáo Sản phẩm</t>
  </si>
  <si>
    <t>Tối ưu Sáng tạo đã được tắt</t>
  </si>
  <si>
    <t>Tối đa Doanh thu Tùy chỉnh ROAS</t>
  </si>
  <si>
    <t>Tất cả</t>
  </si>
  <si>
    <t>0.44%</t>
  </si>
  <si>
    <t>1.23%</t>
  </si>
  <si>
    <t>438594.1</t>
  </si>
  <si>
    <t>3.39</t>
  </si>
  <si>
    <t>29.53%</t>
  </si>
  <si>
    <t>Viên Uống Đông Trùng Hạ Thảo Bồi Bổ Khí Huyết HB CORDY EXTRACT [4]</t>
  </si>
  <si>
    <t>Tối ưu Sáng tạo đã được bật</t>
  </si>
  <si>
    <t>0.53%</t>
  </si>
  <si>
    <t>1.92%</t>
  </si>
  <si>
    <t>277324.8</t>
  </si>
  <si>
    <t>2.64</t>
  </si>
  <si>
    <t>37.94%</t>
  </si>
  <si>
    <t>Viên uống giúp tái tạo và nuôi dưỡng mô sụn - HB Glucollagen 7 in 1 [6]</t>
  </si>
  <si>
    <t>0.95%</t>
  </si>
  <si>
    <t>9.30%</t>
  </si>
  <si>
    <t>52036.55</t>
  </si>
  <si>
    <t>11.67</t>
  </si>
  <si>
    <t>8.57%</t>
  </si>
  <si>
    <t>Viên uống HB Glucosamine 3 in 1 60 viên - 200 viên [5]</t>
  </si>
  <si>
    <t>Đối tượng Tự động</t>
  </si>
  <si>
    <t>Giá thầu Thủ công</t>
  </si>
  <si>
    <t>Tìm kiếm</t>
  </si>
  <si>
    <t>1.56%</t>
  </si>
  <si>
    <t>4.00%</t>
  </si>
  <si>
    <t>1.19</t>
  </si>
  <si>
    <t>83.92%</t>
  </si>
  <si>
    <t>Viên uống HB GutCare (30 - 60 viên) hỗ trợ giảm triệu chứng đau khớp</t>
  </si>
  <si>
    <t>0.68%</t>
  </si>
  <si>
    <t>0.00%</t>
  </si>
  <si>
    <t>Viên Uống Giảm Gãy Rụng và Đen Tóc HB Black Hair Healthy Beauty [11]</t>
  </si>
  <si>
    <t>1.94%</t>
  </si>
  <si>
    <t>10.53%</t>
  </si>
  <si>
    <t>5.26%</t>
  </si>
  <si>
    <t>37328.79</t>
  </si>
  <si>
    <t>74657.57</t>
  </si>
  <si>
    <t>16.69</t>
  </si>
  <si>
    <t>11.47</t>
  </si>
  <si>
    <t>5.99%</t>
  </si>
  <si>
    <t>8.72%</t>
  </si>
  <si>
    <t>Khẩu Trang Y Tế Kháng Khuẩn HB Medical Mask Cao Cấp Healthy Beauty 1 Hộp 50 cái [5]</t>
  </si>
  <si>
    <t>3.08%</t>
  </si>
  <si>
    <t>Viên Uống Giảm Gãy Rụng và Đen Tóc HB Black Hair Healthy Beauty [10]</t>
  </si>
  <si>
    <t>1.38%</t>
  </si>
  <si>
    <t>Viên Uống Giảm Gãy Rụng và Đen Tóc HB Black Hair Healthy Beauty [9]</t>
  </si>
  <si>
    <t>Tạm dừng</t>
  </si>
  <si>
    <t>0.47%</t>
  </si>
  <si>
    <t>Viên uống giúp tái tạo và nuôi dưỡng mô sụn - HB Glucollagen 7 in 1 [3]</t>
  </si>
  <si>
    <t>0.51%</t>
  </si>
  <si>
    <t>2.78%</t>
  </si>
  <si>
    <t>204723.2</t>
  </si>
  <si>
    <t>1.65</t>
  </si>
  <si>
    <t>60.57%</t>
  </si>
  <si>
    <t>Viên uống giúp tái tạo và nuôi dưỡng mô sụn - HB Glucollagen 7 in 1 [5]</t>
  </si>
  <si>
    <t>2.17%</t>
  </si>
  <si>
    <t>15.79%</t>
  </si>
  <si>
    <t>26858.19</t>
  </si>
  <si>
    <t>32.67</t>
  </si>
  <si>
    <t>3.06%</t>
  </si>
  <si>
    <t>Viên uống giúp tái tạo và nuôi dưỡng mô sụn - HB Glucollagen 7 in 1 [4]</t>
  </si>
  <si>
    <t>1.09%</t>
  </si>
  <si>
    <t>Viên uống HB Glucosamine 3 in 1 60 viên - 200 viên [6]</t>
  </si>
  <si>
    <t>Tối đa Doanh thu Tối ưu ROAS bởi Hệ thống</t>
  </si>
  <si>
    <t>Viên uống HB Arginmilk Plus 60 viên [4]</t>
  </si>
  <si>
    <t>10.00%</t>
  </si>
  <si>
    <t>Khẩu Trang Y Tế Kháng Khuẩn HB Medical Mask Cao Cấp Healthy Beauty 1 Hộp 50 cái [4]</t>
  </si>
  <si>
    <t>Viên Uống Healthy Beauty Omega 3,6,9 Từ Dầu Hạt Lanh 100 Viên &amp; 200 Viên [3]</t>
  </si>
  <si>
    <t>Viên Uống Giảm Gãy Rụng và Đen Tóc HB Black Hair Healthy Beauty [8]</t>
  </si>
  <si>
    <t>01/07/2025 - 31/07/2025</t>
  </si>
  <si>
    <t>16.97%</t>
  </si>
  <si>
    <t>0.72%</t>
  </si>
  <si>
    <t>118048.2</t>
  </si>
  <si>
    <t>5.58</t>
  </si>
  <si>
    <t>17.93%</t>
  </si>
  <si>
    <t>0.63%</t>
  </si>
  <si>
    <t>0.99%</t>
  </si>
  <si>
    <t>2.93%</t>
  </si>
  <si>
    <t>2.56%</t>
  </si>
  <si>
    <t>262211.7</t>
  </si>
  <si>
    <t>299670.5</t>
  </si>
  <si>
    <t>4.25</t>
  </si>
  <si>
    <t>3.84</t>
  </si>
  <si>
    <t>23.54%</t>
  </si>
  <si>
    <t>26.04%</t>
  </si>
  <si>
    <t>0.52%</t>
  </si>
  <si>
    <t>1.96%</t>
  </si>
  <si>
    <t>14.08%</t>
  </si>
  <si>
    <t>Viên Uống Giảm Gãy Rụng và Đen Tóc HB Black Hair Healthy Beauty [12]</t>
  </si>
  <si>
    <t>1.41%</t>
  </si>
  <si>
    <t>2.29%</t>
  </si>
  <si>
    <t>271978.8</t>
  </si>
  <si>
    <t>48.17%</t>
  </si>
  <si>
    <t>0.89%</t>
  </si>
  <si>
    <t>4.41%</t>
  </si>
  <si>
    <t>2.94%</t>
  </si>
  <si>
    <t>148959.1</t>
  </si>
  <si>
    <t>223438.7</t>
  </si>
  <si>
    <t>4.26</t>
  </si>
  <si>
    <t>2.85</t>
  </si>
  <si>
    <t>23.47%</t>
  </si>
  <si>
    <t>35.13%</t>
  </si>
  <si>
    <t>2.21%</t>
  </si>
  <si>
    <t>8.70%</t>
  </si>
  <si>
    <t>39475.6</t>
  </si>
  <si>
    <t>3.23</t>
  </si>
  <si>
    <t>30.96%</t>
  </si>
  <si>
    <t>Viên uống HB Glucosamine 3 in 1 60 viên - 200 viên [7]</t>
  </si>
  <si>
    <t>1.19%</t>
  </si>
  <si>
    <t>5.00%</t>
  </si>
  <si>
    <t>2.50%</t>
  </si>
  <si>
    <t>69735.27</t>
  </si>
  <si>
    <t>139470.6</t>
  </si>
  <si>
    <t>8.83</t>
  </si>
  <si>
    <t>11.33%</t>
  </si>
  <si>
    <t>48.77%</t>
  </si>
  <si>
    <t>1.02%</t>
  </si>
  <si>
    <t>1.66%</t>
  </si>
  <si>
    <t>119320.5</t>
  </si>
  <si>
    <t>3.87</t>
  </si>
  <si>
    <t>25.83%</t>
  </si>
  <si>
    <t>2.23%</t>
  </si>
  <si>
    <t>01/08/2025 - 31/08/2025</t>
  </si>
  <si>
    <t>25.79%</t>
  </si>
  <si>
    <t>0.28%</t>
  </si>
  <si>
    <t>0.21%</t>
  </si>
  <si>
    <t>84929.42</t>
  </si>
  <si>
    <t>113239.2</t>
  </si>
  <si>
    <t>5.72</t>
  </si>
  <si>
    <t>14.50%</t>
  </si>
  <si>
    <t>17.48%</t>
  </si>
  <si>
    <t>0.11%</t>
  </si>
  <si>
    <t>3.97%</t>
  </si>
  <si>
    <t>180618.8</t>
  </si>
  <si>
    <t>10.69</t>
  </si>
  <si>
    <t>9.36%</t>
  </si>
  <si>
    <t>Viên uống giúp tái tạo và nuôi dưỡng mô sụn - HB Glucollagen 7 in 1 [7]</t>
  </si>
  <si>
    <t>1.05%</t>
  </si>
  <si>
    <t>2.44</t>
  </si>
  <si>
    <t>40.96%</t>
  </si>
  <si>
    <t>Viên Uống HB Collagen Type 1,2&amp;3 Healthy Beauty 120 Viên [4]</t>
  </si>
  <si>
    <t>1.54%</t>
  </si>
  <si>
    <t>1.30%</t>
  </si>
  <si>
    <t>331588.1</t>
  </si>
  <si>
    <t>2.38</t>
  </si>
  <si>
    <t>41.97%</t>
  </si>
  <si>
    <t>Viên uống giúp Bổ Sung Canxi và Vitamin D3 HB CALCIDSOFT [4]</t>
  </si>
  <si>
    <t>1.61%</t>
  </si>
  <si>
    <t>4.88%</t>
  </si>
  <si>
    <t>46274.81</t>
  </si>
  <si>
    <t>5.77</t>
  </si>
  <si>
    <t>17.33%</t>
  </si>
  <si>
    <t>1.72%</t>
  </si>
  <si>
    <t>5.13%</t>
  </si>
  <si>
    <t>68544.53</t>
  </si>
  <si>
    <t>32.64%</t>
  </si>
  <si>
    <t>Viên Uống Giảm Cân An Toàn Ban Ngày HB SLIMDAY 60 Viên</t>
  </si>
  <si>
    <t>2.57%</t>
  </si>
  <si>
    <t>265540.6</t>
  </si>
  <si>
    <t>3.31</t>
  </si>
  <si>
    <t>30.18%</t>
  </si>
  <si>
    <t>3.03%</t>
  </si>
  <si>
    <t>87224.57</t>
  </si>
  <si>
    <t>9.74</t>
  </si>
  <si>
    <t>10.26%</t>
  </si>
  <si>
    <t>8.62%</t>
  </si>
  <si>
    <t>63213.26</t>
  </si>
  <si>
    <t>12.23</t>
  </si>
  <si>
    <t>8.18%</t>
  </si>
  <si>
    <t>1.39%</t>
  </si>
  <si>
    <t>9.09%</t>
  </si>
  <si>
    <t>65590.08</t>
  </si>
  <si>
    <t>9.26</t>
  </si>
  <si>
    <t>10.80%</t>
  </si>
  <si>
    <t>0.80%</t>
  </si>
  <si>
    <t>Đã dừng</t>
  </si>
  <si>
    <t>Báo cáo Dịch vụ Hiển thị trả theo CPC - Shopee Việt Nam</t>
  </si>
  <si>
    <t>01/09/2025 - 30/09/2025</t>
  </si>
  <si>
    <t>Tên Dịch vụ Hiển thị</t>
  </si>
  <si>
    <t>Loại Dịch vụ Hiển thị</t>
  </si>
  <si>
    <t>Nội dung Dịch vụ Hiển thị</t>
  </si>
  <si>
    <t>Dịch vụ Hiển thị Shop</t>
  </si>
  <si>
    <t>########</t>
  </si>
  <si>
    <t>14.01%</t>
  </si>
  <si>
    <t>0.41%</t>
  </si>
  <si>
    <t>232223.5</t>
  </si>
  <si>
    <t>47.26%</t>
  </si>
  <si>
    <t>0.14%</t>
  </si>
  <si>
    <t>Dịch vụ Hiển thị Sản phẩm</t>
  </si>
  <si>
    <t>8.78E+09</t>
  </si>
  <si>
    <t>5.40%</t>
  </si>
  <si>
    <t>4.37%</t>
  </si>
  <si>
    <t>128029.2</t>
  </si>
  <si>
    <t>158153.8</t>
  </si>
  <si>
    <t>8.95</t>
  </si>
  <si>
    <t>9.97%</t>
  </si>
  <si>
    <t>11.18%</t>
  </si>
  <si>
    <t>3.86E+09</t>
  </si>
  <si>
    <t>1.67%</t>
  </si>
  <si>
    <t>3.32</t>
  </si>
  <si>
    <t>30.14%</t>
  </si>
  <si>
    <t>6.92E+09</t>
  </si>
  <si>
    <t>1.98%</t>
  </si>
  <si>
    <t>5.67%</t>
  </si>
  <si>
    <t>58558.31</t>
  </si>
  <si>
    <t>63062.8</t>
  </si>
  <si>
    <t>6.99</t>
  </si>
  <si>
    <t>5.84</t>
  </si>
  <si>
    <t>14.31%</t>
  </si>
  <si>
    <t>17.14%</t>
  </si>
  <si>
    <t>Khẩu Trang Y Tế Kháng Khuẩn HB Medical Mask Cao Cấp Healthy Beauty 1 Hộp 50 cái [6]</t>
  </si>
  <si>
    <t>5.16E+09</t>
  </si>
  <si>
    <t>4.10%</t>
  </si>
  <si>
    <t>5.22E+09</t>
  </si>
  <si>
    <t>1.62%</t>
  </si>
  <si>
    <t>1.10%</t>
  </si>
  <si>
    <t>439017.4</t>
  </si>
  <si>
    <t>2.27</t>
  </si>
  <si>
    <t>44.08%</t>
  </si>
  <si>
    <t>2.42%</t>
  </si>
  <si>
    <t>5.66%</t>
  </si>
  <si>
    <t>50408.04</t>
  </si>
  <si>
    <t>3.14</t>
  </si>
  <si>
    <t>31.84%</t>
  </si>
  <si>
    <t>Viên uống giúp tái tạo và nuôi dưỡng mô sụn - HB Glucollagen 7 in 1 [10]</t>
  </si>
  <si>
    <t>2.57E+10</t>
  </si>
  <si>
    <t>2.16%</t>
  </si>
  <si>
    <t>4.55%</t>
  </si>
  <si>
    <t>47439.45</t>
  </si>
  <si>
    <t>12.21</t>
  </si>
  <si>
    <t>8.19%</t>
  </si>
  <si>
    <t>1.45%</t>
  </si>
  <si>
    <t>178537.8</t>
  </si>
  <si>
    <t>5.35</t>
  </si>
  <si>
    <t>18.70%</t>
  </si>
  <si>
    <t>3.93E+09</t>
  </si>
  <si>
    <t>1.22%</t>
  </si>
  <si>
    <t>3.21%</t>
  </si>
  <si>
    <t>1.60%</t>
  </si>
  <si>
    <t>145198.2</t>
  </si>
  <si>
    <t>290396.3</t>
  </si>
  <si>
    <t>4.49</t>
  </si>
  <si>
    <t>2.78</t>
  </si>
  <si>
    <t>22.28%</t>
  </si>
  <si>
    <t>35.91%</t>
  </si>
  <si>
    <t>Viên uống giúp tái tạo và nuôi dưỡng mô sụn - HB Glucollagen 7 in 1 [8]</t>
  </si>
  <si>
    <t>Tùy chỉnh Đối tượng</t>
  </si>
  <si>
    <t>0.82%</t>
  </si>
  <si>
    <t>Combo Trẻ Hóa Làn Da Gluta White+ &amp; HB Collagen Type 1,2,3 Healthy Beauty [3]</t>
  </si>
  <si>
    <t>1.14E+10</t>
  </si>
  <si>
    <t>1.48%</t>
  </si>
  <si>
    <t>Chiến dịch Hiển thị Shop 06-09-2025</t>
  </si>
  <si>
    <t>Tùy chỉnh</t>
  </si>
  <si>
    <t>9.71%</t>
  </si>
  <si>
    <t>2.46%</t>
  </si>
  <si>
    <t>89532.73</t>
  </si>
  <si>
    <t>9.83</t>
  </si>
  <si>
    <t>10.18%</t>
  </si>
  <si>
    <t>0.08%</t>
  </si>
  <si>
    <t>01/10/2025 - 30/10/2025</t>
  </si>
  <si>
    <t>19.75%</t>
  </si>
  <si>
    <t>55284.94</t>
  </si>
  <si>
    <t>3.16</t>
  </si>
  <si>
    <t>31.61%</t>
  </si>
  <si>
    <t>0.03%</t>
  </si>
  <si>
    <t>0.98%</t>
  </si>
  <si>
    <t>4.95%</t>
  </si>
  <si>
    <t>3.02%</t>
  </si>
  <si>
    <t>100709.8</t>
  </si>
  <si>
    <t>164797.9</t>
  </si>
  <si>
    <t>7.28</t>
  </si>
  <si>
    <t>6.88</t>
  </si>
  <si>
    <t>13.73%</t>
  </si>
  <si>
    <t>14.53%</t>
  </si>
  <si>
    <t>1.78%</t>
  </si>
  <si>
    <t>5.35%</t>
  </si>
  <si>
    <t>4.53%</t>
  </si>
  <si>
    <t>42498.76</t>
  </si>
  <si>
    <t>50225.8</t>
  </si>
  <si>
    <t>17.29</t>
  </si>
  <si>
    <t>5.78%</t>
  </si>
  <si>
    <t>4.21%</t>
  </si>
  <si>
    <t>2.11%</t>
  </si>
  <si>
    <t>117218.2</t>
  </si>
  <si>
    <t>234436.3</t>
  </si>
  <si>
    <t>6.86</t>
  </si>
  <si>
    <t>3.88</t>
  </si>
  <si>
    <t>14.58%</t>
  </si>
  <si>
    <t>1.88%</t>
  </si>
  <si>
    <t>2.82%</t>
  </si>
  <si>
    <t>114229.4</t>
  </si>
  <si>
    <t>20.82%</t>
  </si>
  <si>
    <t>1.75%</t>
  </si>
  <si>
    <t>6.98%</t>
  </si>
  <si>
    <t>20885.12</t>
  </si>
  <si>
    <t>27846.83</t>
  </si>
  <si>
    <t>37.78</t>
  </si>
  <si>
    <t>26.47</t>
  </si>
  <si>
    <t>2.65%</t>
  </si>
  <si>
    <t>3.78%</t>
  </si>
  <si>
    <t>Viên uống HB GutCare (30 - 60 viên) hỗ trợ giảm triệu chứng đau khớp [2]</t>
  </si>
  <si>
    <t>1.63%</t>
  </si>
  <si>
    <t>Viên uống HB Gingko Biloba 30 viên - 60 viên</t>
  </si>
  <si>
    <t>0.73%</t>
  </si>
  <si>
    <t>Viên Uống HB Collagen Type 1,2&amp;3 Healthy Beauty 120 Viên [5]</t>
  </si>
  <si>
    <t>1.42%</t>
  </si>
  <si>
    <t>112937.8</t>
  </si>
  <si>
    <t>7.14</t>
  </si>
  <si>
    <t>14.00%</t>
  </si>
  <si>
    <t>2.02%</t>
  </si>
  <si>
    <t>279234.3</t>
  </si>
  <si>
    <t>3.15</t>
  </si>
  <si>
    <t>31.73%</t>
  </si>
  <si>
    <t>Combo X2 - OMEGA 3,6,9 Healthy Beauty Từ Dầu Hạt Lanh 100 Viên &amp; 200 Viên</t>
  </si>
  <si>
    <t>0.46%</t>
  </si>
  <si>
    <t>2.47%</t>
  </si>
  <si>
    <t>Viên Uống Giảm Gãy Rụng và Đen Tóc HB Black Hair Healthy Beauty (date 15/02/2026) [11]</t>
  </si>
  <si>
    <t>Viên Uống Giảm Gãy Rụng và Đen Tóc HB Black Hair Healthy Beauty (date 15/02/2026) [10]</t>
  </si>
  <si>
    <t>5.41%</t>
  </si>
  <si>
    <t>01/11/2025 - 30/11/2025</t>
  </si>
  <si>
    <t>24.29%</t>
  </si>
  <si>
    <t>0.32%</t>
  </si>
  <si>
    <t>157517.7</t>
  </si>
  <si>
    <t>33.32%</t>
  </si>
  <si>
    <t>0.09%</t>
  </si>
  <si>
    <t>1.15%</t>
  </si>
  <si>
    <t>3.48%</t>
  </si>
  <si>
    <t>2.79%</t>
  </si>
  <si>
    <t>168128.5</t>
  </si>
  <si>
    <t>210160.7</t>
  </si>
  <si>
    <t>7.84</t>
  </si>
  <si>
    <t>6.71</t>
  </si>
  <si>
    <t>12.76%</t>
  </si>
  <si>
    <t>14.90%</t>
  </si>
  <si>
    <t>1.46%</t>
  </si>
  <si>
    <t>2.63%</t>
  </si>
  <si>
    <t>135512.1</t>
  </si>
  <si>
    <t>1.80%</t>
  </si>
  <si>
    <t>2.62%</t>
  </si>
  <si>
    <t>143531.6</t>
  </si>
  <si>
    <t>7.29</t>
  </si>
  <si>
    <t>13.72%</t>
  </si>
  <si>
    <t>1.77%</t>
  </si>
  <si>
    <t>3.81%</t>
  </si>
  <si>
    <t>3.49%</t>
  </si>
  <si>
    <t>77169.32</t>
  </si>
  <si>
    <t>84184.72</t>
  </si>
  <si>
    <t>7.77</t>
  </si>
  <si>
    <t>7.64</t>
  </si>
  <si>
    <t>12.87%</t>
  </si>
  <si>
    <t>13.09%</t>
  </si>
  <si>
    <t>Combo X3 Viên Uống Healthy Beauty Omega 3,6,9 Từ Dầu Hạt Lanh 100 Viên &amp; 200 Viên [2]</t>
  </si>
  <si>
    <t>1.31%</t>
  </si>
  <si>
    <t>493255.3</t>
  </si>
  <si>
    <t>986510.7</t>
  </si>
  <si>
    <t>1.52</t>
  </si>
  <si>
    <t>49.18%</t>
  </si>
  <si>
    <t>65.90%</t>
  </si>
  <si>
    <t>0.85%</t>
  </si>
  <si>
    <t>506313.5</t>
  </si>
  <si>
    <t>55.70%</t>
  </si>
  <si>
    <t>Viên uống HB Arginmilk Plus 60 viên [5]</t>
  </si>
  <si>
    <t>11.84%</t>
  </si>
  <si>
    <t>19523.02</t>
  </si>
  <si>
    <t>54.31</t>
  </si>
  <si>
    <t>1.84%</t>
  </si>
  <si>
    <t>X2 GLUTA WHITE + Sáng Da Xa Nnám Viên Uống Giúp Chống Nắng Trắng Da Mờ Nám</t>
  </si>
  <si>
    <t>1.11%</t>
  </si>
  <si>
    <t>0.91%</t>
  </si>
  <si>
    <t>435100.3</t>
  </si>
  <si>
    <t>4.44</t>
  </si>
  <si>
    <t>22.54%</t>
  </si>
  <si>
    <t>Combo X3 - SLIM DAY Viên uống Giảm Cân An Toàn Ban Ngày 60 viên [2]</t>
  </si>
  <si>
    <t>1.21%</t>
  </si>
  <si>
    <t>152731.3</t>
  </si>
  <si>
    <t>5.79%</t>
  </si>
  <si>
    <t>1.65%</t>
  </si>
  <si>
    <t>0.88%</t>
  </si>
  <si>
    <t>476598.1</t>
  </si>
  <si>
    <t>47.85%</t>
  </si>
  <si>
    <t>2.08%</t>
  </si>
  <si>
    <t>178078.8</t>
  </si>
  <si>
    <t>3.75</t>
  </si>
  <si>
    <t>26.66%</t>
  </si>
  <si>
    <t>Combo X3 - Viên Uống Giảm Gãy Rụng và Đen Tóc HB Black Hair (date 15/02/2026) [2]</t>
  </si>
  <si>
    <t>0.86%</t>
  </si>
  <si>
    <t>7.69%</t>
  </si>
  <si>
    <t>54970.84</t>
  </si>
  <si>
    <t>6.61</t>
  </si>
  <si>
    <t>15.14%</t>
  </si>
  <si>
    <t>X3 GLUTA WHITE + Sáng Da Xa Nám Viên Uống Giúp Chống Nắng Trắng Da Mờ Nám</t>
  </si>
  <si>
    <t>Giai đoạn 1: Tối Đa Doanh Thu ROAS Tối Ưu Bởi Hệ Thống, Giai đoạn 2: Tối Đa Doanh Thu ROAS Tối Ưu Bởi Hệ Thống</t>
  </si>
  <si>
    <t>9.80%</t>
  </si>
  <si>
    <t>30925.03</t>
  </si>
  <si>
    <t>3.62</t>
  </si>
  <si>
    <t>27.61%</t>
  </si>
  <si>
    <t>Combo X2 - OMEGA 3,6,9 Healthy Beauty Từ Dầu Hạt Lanh 100 Viên &amp; 200 Viên [4]</t>
  </si>
  <si>
    <t>1.27%</t>
  </si>
  <si>
    <t>Combo X2 - OMEGA 3,6,9 Healthy Beauty Từ Dầu Hạt Lanh 100 Viên &amp; 200 Viên [3]</t>
  </si>
  <si>
    <t>1.55%</t>
  </si>
  <si>
    <t>178586.7</t>
  </si>
  <si>
    <t>9.59</t>
  </si>
  <si>
    <t>10.43%</t>
  </si>
  <si>
    <t>Combo X3 - SLIM DAY Viên uống Giảm Cân An Toàn Ban Ngày 60 viên</t>
  </si>
  <si>
    <t>0.90%</t>
  </si>
  <si>
    <t>Combo X3 Viên Uống Healthy Beauty Omega 3,6,9 Từ Dầu Hạt Lanh 100 Viên &amp; 200 Viên</t>
  </si>
  <si>
    <t>0.77%</t>
  </si>
  <si>
    <t>Combo X3 - Viên Uống Giảm Gãy Rụng và Đen Tóc HB Black Hair (date 15/02/2026)</t>
  </si>
  <si>
    <t>Combo X2 - OMEGA 3,6,9 Healthy Beauty Từ Dầu Hạt Lanh 100 Viên &amp; 200 Viên [2]</t>
  </si>
  <si>
    <t>0.78%</t>
  </si>
  <si>
    <t>1.43%</t>
  </si>
  <si>
    <t>01/12/2025 - 31/12/2025</t>
  </si>
  <si>
    <t>19.89%</t>
  </si>
  <si>
    <t>0.17%</t>
  </si>
  <si>
    <t>1.32%</t>
  </si>
  <si>
    <t>7.96%</t>
  </si>
  <si>
    <t>62456.23</t>
  </si>
  <si>
    <t>187368.7</t>
  </si>
  <si>
    <t>8.66</t>
  </si>
  <si>
    <t>11.54%</t>
  </si>
  <si>
    <t>16.34%</t>
  </si>
  <si>
    <t>1.24%</t>
  </si>
  <si>
    <t>5.32%</t>
  </si>
  <si>
    <t>2.59%</t>
  </si>
  <si>
    <t>84707.96</t>
  </si>
  <si>
    <t>174121.9</t>
  </si>
  <si>
    <t>8.56</t>
  </si>
  <si>
    <t>6.85</t>
  </si>
  <si>
    <t>11.68%</t>
  </si>
  <si>
    <t>14.59%</t>
  </si>
  <si>
    <t>X2 chai GLUTA WHITE + Sáng Da Xa Nnám Viên Uống Giúp Chống Nắng Trắng Da Mờ Nám (Không vỏ hộp HSD 23/08/2026)</t>
  </si>
  <si>
    <t>64469.02</t>
  </si>
  <si>
    <t>9.67</t>
  </si>
  <si>
    <t>10.34%</t>
  </si>
  <si>
    <t>0.83%</t>
  </si>
  <si>
    <t>1.82%</t>
  </si>
  <si>
    <t>25202.48</t>
  </si>
  <si>
    <t>113411.2</t>
  </si>
  <si>
    <t>6.46</t>
  </si>
  <si>
    <t>8.30%</t>
  </si>
  <si>
    <t>15.48%</t>
  </si>
  <si>
    <t>14.43%</t>
  </si>
  <si>
    <t>10.31%</t>
  </si>
  <si>
    <t>22992.05</t>
  </si>
  <si>
    <t>32188.86</t>
  </si>
  <si>
    <t>5.16</t>
  </si>
  <si>
    <t>19.39%</t>
  </si>
  <si>
    <t>Viên Uống Giúp Chống Nắng Trắng Da Mờ Nám HB GLUTA WHITE + (không vỏ hộp HSD 23/08/2026) [4]</t>
  </si>
  <si>
    <t>6.56%</t>
  </si>
  <si>
    <t>4.92%</t>
  </si>
  <si>
    <t>65509.43</t>
  </si>
  <si>
    <t>87345.91</t>
  </si>
  <si>
    <t>8.40%</t>
  </si>
  <si>
    <t>1.64%</t>
  </si>
  <si>
    <t>1.87</t>
  </si>
  <si>
    <t>53.37%</t>
  </si>
  <si>
    <t>1.14%</t>
  </si>
  <si>
    <t>11.01%</t>
  </si>
  <si>
    <t>6.42%</t>
  </si>
  <si>
    <t>27426.77</t>
  </si>
  <si>
    <t>47017.32</t>
  </si>
  <si>
    <t>9.68</t>
  </si>
  <si>
    <t>6.65</t>
  </si>
  <si>
    <t>10.33%</t>
  </si>
  <si>
    <t>15.04%</t>
  </si>
  <si>
    <t>0.84%</t>
  </si>
  <si>
    <t>1.26%</t>
  </si>
  <si>
    <t>15.62%</t>
  </si>
  <si>
    <t>1.25%</t>
  </si>
  <si>
    <t>29942.32</t>
  </si>
  <si>
    <t>12.79</t>
  </si>
  <si>
    <t>2.67</t>
  </si>
  <si>
    <t>7.82%</t>
  </si>
  <si>
    <t>37.50%</t>
  </si>
  <si>
    <t>Combo Chắc Xương - Khoẻ Khớp (HB GLUCOLLAGEN 7 IN 1 - 30V + HB CALCIDSOFT - 30V)</t>
  </si>
  <si>
    <t>4.26%</t>
  </si>
  <si>
    <t>1.06%</t>
  </si>
  <si>
    <t>130511.2</t>
  </si>
  <si>
    <t>522044.7</t>
  </si>
  <si>
    <t>2.16</t>
  </si>
  <si>
    <t>1.55</t>
  </si>
  <si>
    <t>46.19%</t>
  </si>
  <si>
    <t>64.69%</t>
  </si>
  <si>
    <t>01/01/2026 - 31/01/2026</t>
  </si>
  <si>
    <t>6.20%</t>
  </si>
  <si>
    <t>4.82%</t>
  </si>
  <si>
    <t>101306.6</t>
  </si>
  <si>
    <t>130251.4</t>
  </si>
  <si>
    <t>7.34</t>
  </si>
  <si>
    <t>11.02%</t>
  </si>
  <si>
    <t>13.63%</t>
  </si>
  <si>
    <t>0.70%</t>
  </si>
  <si>
    <t>5.48%</t>
  </si>
  <si>
    <t>4.79%</t>
  </si>
  <si>
    <t>66579.26</t>
  </si>
  <si>
    <t>76090.58</t>
  </si>
  <si>
    <t>13.92</t>
  </si>
  <si>
    <t>12.38</t>
  </si>
  <si>
    <t>7.18%</t>
  </si>
  <si>
    <t>8.08%</t>
  </si>
  <si>
    <t>Combo 2 chai GLUTA WHITE Sáng Da Xa Nám Viên Uống Giúp Chống Nắng Sáng Da Mờ Nám (HSD 23/08/2026)</t>
  </si>
  <si>
    <t>0.62%</t>
  </si>
  <si>
    <t>1.95%</t>
  </si>
  <si>
    <t>212793.9</t>
  </si>
  <si>
    <t>531984.7</t>
  </si>
  <si>
    <t>9.73</t>
  </si>
  <si>
    <t>10.28%</t>
  </si>
  <si>
    <t>17.91%</t>
  </si>
  <si>
    <t>5.34%</t>
  </si>
  <si>
    <t>57521.73</t>
  </si>
  <si>
    <t>14.27%</t>
  </si>
  <si>
    <t>Viên uống HB Glucosamine 3 in 1 60 viên - 200 viên [8]</t>
  </si>
  <si>
    <t>4.93%</t>
  </si>
  <si>
    <t>3.14%</t>
  </si>
  <si>
    <t>110006.6</t>
  </si>
  <si>
    <t>172867.5</t>
  </si>
  <si>
    <t>6.78</t>
  </si>
  <si>
    <t>3.69</t>
  </si>
  <si>
    <t>14.76%</t>
  </si>
  <si>
    <t>27.11%</t>
  </si>
  <si>
    <t>8.33%</t>
  </si>
  <si>
    <t>55854.72</t>
  </si>
  <si>
    <t>20.55</t>
  </si>
  <si>
    <t>4.87%</t>
  </si>
  <si>
    <t>01/02/2026 - 28/02/2026</t>
  </si>
  <si>
    <t>1.12%</t>
  </si>
  <si>
    <t>4.85%</t>
  </si>
  <si>
    <t>4.06%</t>
  </si>
  <si>
    <t>117206.3</t>
  </si>
  <si>
    <t>139891.4</t>
  </si>
  <si>
    <t>9.43</t>
  </si>
  <si>
    <t>10.60%</t>
  </si>
  <si>
    <t>13.33%</t>
  </si>
  <si>
    <t>0.67%</t>
  </si>
  <si>
    <t>5.84%</t>
  </si>
  <si>
    <t>5.06%</t>
  </si>
  <si>
    <t>84685.38</t>
  </si>
  <si>
    <t>12.36</t>
  </si>
  <si>
    <t>8.09%</t>
  </si>
  <si>
    <t>11.50%</t>
  </si>
  <si>
    <t>0.75%</t>
  </si>
  <si>
    <t>2.19%</t>
  </si>
  <si>
    <t>0.36%</t>
  </si>
  <si>
    <t>205206.34</t>
  </si>
  <si>
    <t>1231238.06</t>
  </si>
  <si>
    <t>8.61</t>
  </si>
  <si>
    <t>1.64</t>
  </si>
  <si>
    <t>11.62%</t>
  </si>
  <si>
    <t>60.96%</t>
  </si>
  <si>
    <t>3.80%</t>
  </si>
  <si>
    <t>3.26%</t>
  </si>
  <si>
    <t>54556.46</t>
  </si>
  <si>
    <t>63649.2</t>
  </si>
  <si>
    <t>6.92</t>
  </si>
  <si>
    <t>14.45%</t>
  </si>
  <si>
    <t>47.74%</t>
  </si>
  <si>
    <t>Tổng doanh số (VND)</t>
  </si>
  <si>
    <t>Tổng số đơn hàng</t>
  </si>
  <si>
    <t>Doanh số trên mỗi đơn hàng</t>
  </si>
  <si>
    <t>Tổng số lượt xem sản phẩm</t>
  </si>
  <si>
    <t>Số lượt truy cập</t>
  </si>
  <si>
    <t>Tỷ lệ chuyển đổi (theo số đơn được đặt)</t>
  </si>
  <si>
    <t>Doanh số các đơn Trả hàng/Hoàn tiền</t>
  </si>
  <si>
    <t>số người mua</t>
  </si>
  <si>
    <t>số người mua mới</t>
  </si>
  <si>
    <t>số người mua hiện tại</t>
  </si>
  <si>
    <t>số người mua tiềm năng</t>
  </si>
  <si>
    <t>Tỉ lệ quay lại của người mua</t>
  </si>
  <si>
    <t>THÁNG</t>
  </si>
  <si>
    <t>01-08-2025-31-08-2025</t>
  </si>
  <si>
    <t>Tỷ lệ chuyển đổi (theo Đơn đã xác nhận)</t>
  </si>
  <si>
    <t>01-09-2025-25-09-2025</t>
  </si>
  <si>
    <t>Lượt nhấp vào sản phẩm</t>
  </si>
  <si>
    <t>Tỷ lệ chuyển đổi đơn hàng</t>
  </si>
  <si>
    <t>BÁO CÁO DOANH SỐ KÊNH ONLINE</t>
  </si>
  <si>
    <t xml:space="preserve">TARGET </t>
  </si>
  <si>
    <t>CHI PHÍ  ADS</t>
  </si>
  <si>
    <t>CHÊNH LỆCH</t>
  </si>
  <si>
    <t>% DS/TARGET</t>
  </si>
  <si>
    <t>% CHI PHÍ/TARGET</t>
  </si>
  <si>
    <t>Total</t>
  </si>
  <si>
    <t>NGÀY</t>
  </si>
  <si>
    <t>Tổng Số Po</t>
  </si>
  <si>
    <t>THÁNG 08</t>
  </si>
  <si>
    <t>Số ngày</t>
  </si>
  <si>
    <t>THÁNG 09</t>
  </si>
  <si>
    <t>THÁNG 10</t>
  </si>
  <si>
    <t>THÁNG 11</t>
  </si>
  <si>
    <t>THÁNG 12</t>
  </si>
  <si>
    <t>THÁNG 01</t>
  </si>
  <si>
    <t>THÁNG 02</t>
  </si>
  <si>
    <t>BÁO CÁO BÁN HÀNG SHOPEE THÁNG 08.2025</t>
  </si>
  <si>
    <r>
      <rPr>
        <rFont val="Arial"/>
        <b/>
        <color theme="1"/>
        <sz val="10.0"/>
      </rPr>
      <t>CHI PHÍ &amp; DOANH SỐ TỪ QUẢNG CÁO SHOPEE THÁNG</t>
    </r>
    <r>
      <rPr>
        <rFont val="Arial"/>
        <b/>
        <color rgb="FFFF0000"/>
        <sz val="13.0"/>
      </rPr>
      <t xml:space="preserve"> 08.2025</t>
    </r>
  </si>
  <si>
    <t>Tính đến thời điểm:</t>
  </si>
  <si>
    <t>Chi phí từ quảng cáo</t>
  </si>
  <si>
    <t>% Doanh số từ quảng cáo/DS TĐ</t>
  </si>
  <si>
    <t>% Chi phí quảng cáo/DS từ Quảng cáo</t>
  </si>
  <si>
    <t>GIÁ TRỊ BÌNH QUÂN PO</t>
  </si>
  <si>
    <t>Doanh số thực đạt</t>
  </si>
  <si>
    <t>Giá Trị Po Bình Quân</t>
  </si>
  <si>
    <t>STT</t>
  </si>
  <si>
    <t>Sản phẩm</t>
  </si>
  <si>
    <t>Tên Phân Loại</t>
  </si>
  <si>
    <t>SUM của Sản phẩm 
(Đơn đã xác nhận)</t>
  </si>
  <si>
    <t>SUM của Doanh số 
(Đơn đã xác nhận) (VND)</t>
  </si>
  <si>
    <t>NOTE</t>
  </si>
  <si>
    <t>CHI PHÍ &amp; DOANH SỐ TỪ QUẢNG CÁO SHOPEE THÁNG 07.2025</t>
  </si>
  <si>
    <t>Viên uống HB Visionfort Support 30 viên - 60 viên</t>
  </si>
  <si>
    <t>60 viên</t>
  </si>
  <si>
    <t>HẾT HÀNG</t>
  </si>
  <si>
    <t>CHI PHÍ &amp; DOANH SỐ TỪ QUẢNG CÁO SHOPEE THÁNG 06.2025</t>
  </si>
  <si>
    <t>Tình trạng sản phẩm hiện tại</t>
  </si>
  <si>
    <t>Mã phân loại hàng</t>
  </si>
  <si>
    <t>Trạng thái phân loại sản phẩm hiện tại</t>
  </si>
  <si>
    <t>SKU phân loại</t>
  </si>
  <si>
    <t>SKU sản phẩm</t>
  </si>
  <si>
    <t>Lượt truy cập sản phẩm</t>
  </si>
  <si>
    <t>Lượt xem trang sản phẩm</t>
  </si>
  <si>
    <t>Số lượng khách thoát trang sản phẩm</t>
  </si>
  <si>
    <t>Tỷ lệ thoát Trang sản phẩm</t>
  </si>
  <si>
    <t>Lượt click từ Trang tìm kiếm</t>
  </si>
  <si>
    <t>Lượt thích</t>
  </si>
  <si>
    <t>Lượt truy cập sản phẩm (Thêm vào giỏ hàng)</t>
  </si>
  <si>
    <t>Sản phẩm (Thêm vào giỏ hàng)</t>
  </si>
  <si>
    <t>Tỷ lệ chuyển đổi (theo lượt thêm vào giỏ hàng)</t>
  </si>
  <si>
    <t>Người mua đã đặt hàng</t>
  </si>
  <si>
    <t>Sản phẩm (Đơn đã đặt)</t>
  </si>
  <si>
    <t>Doanh số (Đơn đã đặt) (VND)</t>
  </si>
  <si>
    <t>Tỷ lệ chuyển đổi (Đơn đã đặt)</t>
  </si>
  <si>
    <t>Người mua có đơn đã xác nhận</t>
  </si>
  <si>
    <t>Sản phẩm (Đơn đã xác nhận)</t>
  </si>
  <si>
    <t>Doanh số (Đơn đã xác nhận) (VND)</t>
  </si>
  <si>
    <t>Tỷ lệ chuyển đổi (Đơn đã xác nhận)</t>
  </si>
  <si>
    <t>Tỷ lệ chuyển đổi (Từ Đơn đã đặt thanh Đơn đã xác nhận)</t>
  </si>
  <si>
    <t>Tỷ lệ đặt hàng lặp lại (Đơn hàng đã được xác nhận)</t>
  </si>
  <si>
    <t>Số ngày trung bình để lặp lại đơn hàng (Đơn hàng đã được xác nhận)</t>
  </si>
  <si>
    <t>Khẩu Trang Y Tế Kháng Khuẩn HB Medical Mask Cao Cấp Healthy Beauty 1 Hộp 50 cái</t>
  </si>
  <si>
    <t>Đang hoạt động</t>
  </si>
  <si>
    <t>Than Hoạt Tính</t>
  </si>
  <si>
    <t>Màu Trắng</t>
  </si>
  <si>
    <t>Màu Xanh</t>
  </si>
  <si>
    <t>Viên Uống Giảm Gãy Rụng và Đen Tóc HB Black Hair Healthy Beauty</t>
  </si>
  <si>
    <t>30 Viên</t>
  </si>
  <si>
    <t>HB028</t>
  </si>
  <si>
    <t>60 Viên</t>
  </si>
  <si>
    <t>HB026</t>
  </si>
  <si>
    <t>Viên uống giúp tái tạo và nuôi dưỡng mô sụn - HB Glucollagen 7 in 1</t>
  </si>
  <si>
    <t>0.5</t>
  </si>
  <si>
    <t>30 viên</t>
  </si>
  <si>
    <t>HB002</t>
  </si>
  <si>
    <t>HB003</t>
  </si>
  <si>
    <t>Viên Uống Giúp Chống Nắng Trắng Da Mờ Nám HB GLUTA WHITE +</t>
  </si>
  <si>
    <t>HB006</t>
  </si>
  <si>
    <t>Viên uống HB Glucosamine 3 in 1 60 viên - 200 viên</t>
  </si>
  <si>
    <t>HB005</t>
  </si>
  <si>
    <t>Viên uống giúp Bổ Sung Canxi và Vitamin D3 HB CALCIDSOFT</t>
  </si>
  <si>
    <t>Hộp 30 Viên</t>
  </si>
  <si>
    <t>HB024</t>
  </si>
  <si>
    <t>Hộp 60 Viên</t>
  </si>
  <si>
    <t>HB025</t>
  </si>
  <si>
    <t>HB007</t>
  </si>
  <si>
    <t>Viên Uống HB Collagen Type 1,2&amp;3 Healthy Beauty 120 Viên</t>
  </si>
  <si>
    <t>HB001</t>
  </si>
  <si>
    <t>Viên Uống Đông Trùng Hạ Thảo Bồi Bổ Khí Huyết HB CORDY EXTRACT</t>
  </si>
  <si>
    <t>HB015</t>
  </si>
  <si>
    <t>Viên uống HB Glutathione - C Plus 30 viên</t>
  </si>
  <si>
    <t>HB030</t>
  </si>
  <si>
    <t>Viên Uống Bổ Sung Vitamin &amp; Khoáng Chất Cho Bà Bầu HB PRENATAL SUPPORT</t>
  </si>
  <si>
    <t>HB034</t>
  </si>
  <si>
    <t>Viên Uống Healthy Beauty Omega 3,6,9 Từ Dầu Hạt Lanh 100 Viên &amp; 200 Viên</t>
  </si>
  <si>
    <t>Viên Uống Bổ Sung 28 Loại Vitamin Và Khoáng Chất Cho Phụ Nữ HB ONCE DAILY WOMEN'S MULTI</t>
  </si>
  <si>
    <t>HB014</t>
  </si>
  <si>
    <t>ComBo HB Once Daily Multi &amp; HB Oreganol P73 Healthy Beauty Tăng Cường Hệ Miễn Dịch Bảo Vệ Hệ Tiêu Hóa</t>
  </si>
  <si>
    <t>ComBo Hạnh Phúc Viên Mãn New Sexual Care Men &amp; New Women Care &amp; HB Cordy Extract Healthy Beauty</t>
  </si>
  <si>
    <t>Combo Trẻ Hóa Làn Da Gluta White+ &amp; HB Collagen Type 1,2,3 Healthy Beauty</t>
  </si>
  <si>
    <t>Combo Cải Thiện Thị Lực Tăng Cường Trí Nhớ HB Ginkgo Biloba 120Mg &amp; HB Visionfort Support 30V</t>
  </si>
  <si>
    <t>[Healthy Beauty] Combo Tăng Cường Sức Khỏe &amp; Sinh Lý Nữ</t>
  </si>
  <si>
    <t>ComBo Vui Khỏe Vận Động HB Calcidsoft &amp; Shark Cartilage 750Mg Healthy Beauty Giúp Xương Chắc Khỏe Khớp Dẻo Dai</t>
  </si>
  <si>
    <t>Combo Ngủ Ngon Sâu Giấc HB Cordy Extract &amp; HB Ginkgo Biloba 120Mg Healthy Beauty</t>
  </si>
  <si>
    <t>Đã xóa</t>
  </si>
  <si>
    <t>ComBo Khỏe Đẹp Toàn Diện Tuổi Trung Niên Healthy Beauty</t>
  </si>
  <si>
    <t>Bộ Đôi Giảm Cân An Toàn Hiệu Quả HB SLIMDAY &amp; HB SLIMNIGHT</t>
  </si>
  <si>
    <t>HB035</t>
  </si>
  <si>
    <t>HB037</t>
  </si>
  <si>
    <t>HB027</t>
  </si>
  <si>
    <t>Viên Uống Giảm Cân An Toàn Ban Đêm HB SLIMNIGHT 30 Viên</t>
  </si>
  <si>
    <t>HB008</t>
  </si>
  <si>
    <t>Viên uống HB Shark Cartilage 100 viên</t>
  </si>
  <si>
    <t>HB010</t>
  </si>
  <si>
    <t>100 viên</t>
  </si>
  <si>
    <t>HB MEDICAL MASK - Túi zip - Khẩu trang y tế 4 lớp kháng khuẩn chuẩn nhóm A</t>
  </si>
  <si>
    <t>VIÊN UỐNG GIẢI ĐỘC GAN, CHỐNG OXY HÓA, DƯỠNG SÁNG DA HB GLUTATHION-C PLUS 30 VIÊN</t>
  </si>
  <si>
    <t>Viên uống HB Silymarin 100 viên</t>
  </si>
  <si>
    <t>HB021</t>
  </si>
  <si>
    <t>Viên nhai HB Omega DHA Gummies 60 viên</t>
  </si>
  <si>
    <t>HB029</t>
  </si>
  <si>
    <t>Viên uống HB Arginmilk Plus 60 viên</t>
  </si>
  <si>
    <t>HB018</t>
  </si>
  <si>
    <t>Viên uống HB Oreganol P73 30 viên</t>
  </si>
  <si>
    <t>HB016</t>
  </si>
  <si>
    <t>Viên uống HB CoQ10 30 viên - 60 viên</t>
  </si>
  <si>
    <t>HB031</t>
  </si>
  <si>
    <t>Không thể lấy thông tin sản phẩm do bị xóa</t>
  </si>
  <si>
    <t>Combo Mắt Khoẻ - Não Tinh (HB GLUCOLLAGEN 7 IN 1 - 30V + HB GINKGO BILOBA 120mg - 30V)</t>
  </si>
  <si>
    <t>Đã ẩn</t>
  </si>
  <si>
    <t>ComBo Bảo Vệ Hệ Tim Mạch - Mắt - Não Healthy Beauty Cho Cả Gia Đình</t>
  </si>
  <si>
    <t>0.4</t>
  </si>
  <si>
    <t>Viên Uống Giảm Gãy Rụng và Đen Tóc HB Black Hair Healthy Beauty (date 15/02/2026)</t>
  </si>
  <si>
    <t>HB033</t>
  </si>
  <si>
    <t>Hộp/Vỉ 10 viên x 3</t>
  </si>
  <si>
    <t>HB039</t>
  </si>
  <si>
    <t>[HB Gift]_Túi vải đay linen Healthy Beauty 40x35cm, thiết kế thanh lịch, chắc chắn, dung tích rộng</t>
  </si>
  <si>
    <t>HB038</t>
  </si>
  <si>
    <t>[HB Gift] _01 cây Bút Bi Healthy Beauty</t>
  </si>
  <si>
    <t>Combo X 2 - Viên uống giúp tái tạo và nuôi dưỡng mô sụn - HB Glucollagen 7 in 1</t>
  </si>
  <si>
    <t>HB03</t>
  </si>
  <si>
    <t>Màu trắng</t>
  </si>
  <si>
    <t>Màu xanh</t>
  </si>
  <si>
    <t>Combo Tiết Kiệm Chắc Khoẻ X3 HB CALCIDSOFT (combo 03 hộp)</t>
  </si>
  <si>
    <t>Combo Mượt khớp, chắc xương (HB CALCIDSOFT - 30V + HB SHARK CARTILARGE - 100V)</t>
  </si>
  <si>
    <t>Viên Uống Bổ Sung 30 Loại Vitamin Và Khoáng Chất Cho Nam HB ONCE DAILY MEN'S MULTI</t>
  </si>
  <si>
    <t>HB013</t>
  </si>
  <si>
    <t>Combo Trẻ Mãi Tâm Trí, Minh Mẫn Dài Lâu (HB GINKGO BILOBA 120mg - 30V)</t>
  </si>
  <si>
    <t>[ HB Gift ]_Nón bảo hiểm Healthy Beauty – Slim Day</t>
  </si>
  <si>
    <t>Combo X2 Bảo Vệ Não Khớp (HB GINKGO BILOBA 120mg - 30V + HB SHARK CARTILARGE - 100V)</t>
  </si>
  <si>
    <t>Combo Làm Mẹ Không Khó: 03 hộp HB PRENATAL SUPPORT - 30 viên</t>
  </si>
  <si>
    <t>Combo X2 Detox Tái Tạo Gan (HB GLUTATHION - C PLUS - 30V + HB ARGINMILK PLUS - 60V)</t>
  </si>
  <si>
    <t>Combo Khoẻ Gan Ích Thận (HB ARGINMILK PLUS - 60V + HBGUTCARE - 30V)</t>
  </si>
  <si>
    <t>Combo Thoải Mái Vận Động: HB GLUCOLLAGEN 7 IN 1 - 30V + HB SHARK CARTILARGE - 100V</t>
  </si>
  <si>
    <t>Combo Vận Động Dẻo Dai – Tư Duy Sáng Suốt (HB GLUCOLLAGEN 7 IN 1-30V + HB GINKGO BILOBA 120mg-30V)</t>
  </si>
  <si>
    <t>Combo Tam Bổ Mắt Tinh, Minh Trí, Sinh Lực Dồi Dào (HB GINKGO BILOBA 30V+CORDY EXTRACT 60V+VISIONFORT SUPPORT -30V)</t>
  </si>
  <si>
    <t>Combo Căng Bóng Rạng Rỡ (HB COLLAGEN TYPE 1,2&amp;3 - 120V + HB GLUTATHION - C PLUS - 30V)</t>
  </si>
  <si>
    <t>Combo X2 - Viên Uống Giảm Gãy Rụng và Đen Tóc HB Black Hair (date 15/02/2026)</t>
  </si>
  <si>
    <t>Nguồn: Lazada - Công cụ phân tích - Tổng quan với Khung thời gian:01-08-2025~29-08-2025</t>
  </si>
  <si>
    <r>
      <rPr>
        <rFont val="Arial"/>
        <color rgb="FF1155CC"/>
        <sz val="10.0"/>
        <u/>
      </rPr>
      <t>Để xem chi tiết, vui lòng truy cập công cụ phân tích - Tổng quan</t>
    </r>
  </si>
  <si>
    <t>Lợi nhuận</t>
  </si>
  <si>
    <t>Khách truy cập</t>
  </si>
  <si>
    <t>Khách mua</t>
  </si>
  <si>
    <t>Đơn hàng</t>
  </si>
  <si>
    <t>Lượt xem</t>
  </si>
  <si>
    <t>Sản phẩm bán được</t>
  </si>
  <si>
    <t>Doanh thu trên mỗi khách mua</t>
  </si>
  <si>
    <t>Giá trị lượt truy cập</t>
  </si>
  <si>
    <t>Người dùng đã thêm sản phẩm vào giỏ hàng</t>
  </si>
  <si>
    <t>Số lượng thêm vào giỏ hàng</t>
  </si>
  <si>
    <t>Danh sách yêu thích</t>
  </si>
  <si>
    <t>Người dùng có wishlist</t>
  </si>
  <si>
    <t>Giá trị đơn hàng trung bình</t>
  </si>
  <si>
    <t>Số sản phẩm trung bình</t>
  </si>
  <si>
    <t>Số lượng hủy</t>
  </si>
  <si>
    <t>Khoản hoàn trả</t>
  </si>
  <si>
    <t>2025-08-01~2025-08-29</t>
  </si>
  <si>
    <t>3.12%</t>
  </si>
  <si>
    <t>2.00</t>
  </si>
  <si>
    <t>0.00</t>
  </si>
  <si>
    <t>50.00%</t>
  </si>
  <si>
    <t>2025-09-01~2025-09-29</t>
  </si>
  <si>
    <t>6.30%</t>
  </si>
  <si>
    <t>64215.08</t>
  </si>
  <si>
    <t>815531.50</t>
  </si>
  <si>
    <t>1.20</t>
  </si>
  <si>
    <t>100.00%</t>
  </si>
  <si>
    <t>4229600.00</t>
  </si>
  <si>
    <t>3.00</t>
  </si>
  <si>
    <t>20.00%</t>
  </si>
  <si>
    <t>64473.40</t>
  </si>
  <si>
    <t>322367.00</t>
  </si>
  <si>
    <t>1.00</t>
  </si>
  <si>
    <t>15.38%</t>
  </si>
  <si>
    <t>91825.15</t>
  </si>
  <si>
    <t>596863.50</t>
  </si>
  <si>
    <t>44800.00</t>
  </si>
  <si>
    <t>537600.00</t>
  </si>
  <si>
    <t>14.29%</t>
  </si>
  <si>
    <t>49371.43</t>
  </si>
  <si>
    <t>345600.00</t>
  </si>
  <si>
    <t>25.00%</t>
  </si>
  <si>
    <t>86400.00</t>
  </si>
  <si>
    <t>33.33%</t>
  </si>
  <si>
    <t>133933.33</t>
  </si>
  <si>
    <t>401800.00</t>
  </si>
  <si>
    <t>152218.00</t>
  </si>
  <si>
    <t>456654.00</t>
  </si>
  <si>
    <t>7.14%</t>
  </si>
  <si>
    <t>32823.71</t>
  </si>
  <si>
    <t>16.67%</t>
  </si>
  <si>
    <t>6.25%</t>
  </si>
  <si>
    <t>11262.5</t>
  </si>
  <si>
    <t>5603.83</t>
  </si>
  <si>
    <t>3.57%</t>
  </si>
  <si>
    <t>26001.79</t>
  </si>
  <si>
    <t>1.49%</t>
  </si>
  <si>
    <t>9126.19</t>
  </si>
  <si>
    <t>407636.67</t>
  </si>
  <si>
    <t>0.40%</t>
  </si>
  <si>
    <t>2.20%</t>
  </si>
  <si>
    <t>13392.86</t>
  </si>
  <si>
    <t>0.59%</t>
  </si>
  <si>
    <t>7274.63</t>
  </si>
  <si>
    <t>3201.92</t>
  </si>
  <si>
    <t>0.92%</t>
  </si>
  <si>
    <t>2.60%</t>
  </si>
  <si>
    <t>907783.25</t>
  </si>
  <si>
    <t>23578.79</t>
  </si>
  <si>
    <t>1.75</t>
  </si>
  <si>
    <t>1.03%</t>
  </si>
  <si>
    <t>5672.16</t>
  </si>
  <si>
    <t>11058.23</t>
  </si>
  <si>
    <t>11.11%</t>
  </si>
  <si>
    <t>26522.22</t>
  </si>
  <si>
    <t>579066.67</t>
  </si>
  <si>
    <t>289533.33</t>
  </si>
  <si>
    <t>3.23%</t>
  </si>
  <si>
    <t>48829.03</t>
  </si>
  <si>
    <t>3.45%</t>
  </si>
  <si>
    <t>35901.25</t>
  </si>
  <si>
    <t>Chi Phí</t>
  </si>
  <si>
    <t>Impressions</t>
  </si>
  <si>
    <t>Số Lượng Khách Hàng Đã Hiển Thị</t>
  </si>
  <si>
    <t>Khách Truy Cập</t>
  </si>
  <si>
    <t>Tự Nhiên</t>
  </si>
  <si>
    <t>Doanh Thu</t>
  </si>
  <si>
    <t>Campaign Id</t>
  </si>
  <si>
    <t>Campaign Name</t>
  </si>
  <si>
    <t>Date</t>
  </si>
  <si>
    <t>Clicks</t>
  </si>
  <si>
    <t>Spend</t>
  </si>
  <si>
    <t>Add to Cart</t>
  </si>
  <si>
    <t>Add to Cart Value</t>
  </si>
  <si>
    <t>Purchase</t>
  </si>
  <si>
    <t>Purchase Value</t>
  </si>
  <si>
    <t>ROI</t>
  </si>
  <si>
    <t>CTR</t>
  </si>
  <si>
    <t>CPM</t>
  </si>
  <si>
    <t>Purchase Rate</t>
  </si>
  <si>
    <t>A2C Rate</t>
  </si>
  <si>
    <t>120234779399680123</t>
  </si>
  <si>
    <t>NEW ARRIVAL 10.2025</t>
  </si>
  <si>
    <t>0.57%</t>
  </si>
  <si>
    <t>0.58%</t>
  </si>
  <si>
    <t>0.79%</t>
  </si>
  <si>
    <t>N/A</t>
  </si>
  <si>
    <t>Số lượt hiển thị</t>
  </si>
  <si>
    <t>Lượt Click</t>
  </si>
  <si>
    <t>Tỷ lệ click (CTR)</t>
  </si>
  <si>
    <t>Số Sản Phẩm Bán Được</t>
  </si>
  <si>
    <t>Số Sản Phẩm Đã Bán Trực Tiếp</t>
  </si>
  <si>
    <t>Direct Revenue</t>
  </si>
  <si>
    <t>3.99%</t>
  </si>
  <si>
    <t>12.12%</t>
  </si>
  <si>
    <t>33355.96</t>
  </si>
  <si>
    <t>28533.38</t>
  </si>
  <si>
    <t>250201.95</t>
  </si>
  <si>
    <t>453959.68</t>
  </si>
  <si>
    <t>266615.66</t>
  </si>
  <si>
    <t>807418.00</t>
  </si>
  <si>
    <t>302113.88</t>
  </si>
  <si>
    <t>228034.98</t>
  </si>
  <si>
    <t>209501.15</t>
  </si>
  <si>
    <t>550200.00</t>
  </si>
  <si>
    <t>2.63</t>
  </si>
  <si>
    <t>260944.23</t>
  </si>
  <si>
    <t>266797.89</t>
  </si>
  <si>
    <t>202354.18</t>
  </si>
  <si>
    <t>3166.25</t>
  </si>
  <si>
    <t>172085.84</t>
  </si>
  <si>
    <t>152902.27</t>
  </si>
  <si>
    <t>137209.82</t>
  </si>
  <si>
    <t>90927.76</t>
  </si>
  <si>
    <t>102916.59</t>
  </si>
  <si>
    <t>4379.19</t>
  </si>
  <si>
    <t>Doanh thu</t>
  </si>
  <si>
    <t>Giảm giá</t>
  </si>
  <si>
    <t>Doanh thu thuần</t>
  </si>
  <si>
    <t>Tổng hoá đơn</t>
  </si>
  <si>
    <t>Đã thu</t>
  </si>
  <si>
    <t>Hoàn trả</t>
  </si>
  <si>
    <t>Tổng giá vốn</t>
  </si>
  <si>
    <t>Tổng lợi nhuận</t>
  </si>
  <si>
    <t>% lợi nhuận</t>
  </si>
  <si>
    <t>Tháng</t>
  </si>
  <si>
    <t>Bùi Lụa</t>
  </si>
  <si>
    <t>Dịu Tina</t>
  </si>
  <si>
    <t>Đào Thị Anh Hiếu</t>
  </si>
  <si>
    <t>Thuận Minh</t>
  </si>
  <si>
    <t>Lê Văn Tuấn</t>
  </si>
  <si>
    <t>Mỗ Thị Lực</t>
  </si>
  <si>
    <t>Nguyễn Văn Thủy</t>
  </si>
  <si>
    <t>Báo cáo chưa đặt tên từ Tháng 10-1-2025 đến Tháng 10-31-2025</t>
  </si>
  <si>
    <t>Report Period: Oct 1, 2025 - Oct 31, 2025</t>
  </si>
  <si>
    <t>Cài đặt ghi nhận</t>
  </si>
  <si>
    <t>Lượt click trong 7 ngày hoặc lượt xem trong 1 ngày</t>
  </si>
  <si>
    <t>Tên chiến dịch</t>
  </si>
  <si>
    <t>Tên nhóm quảng cáo</t>
  </si>
  <si>
    <t>Trạng thái phân phối</t>
  </si>
  <si>
    <t>Cấp độ phân phối</t>
  </si>
  <si>
    <t>Người tiếp cận</t>
  </si>
  <si>
    <t>Lượt hiển thị</t>
  </si>
  <si>
    <t>Tần suất</t>
  </si>
  <si>
    <t>Loại kết quả</t>
  </si>
  <si>
    <t>Kết quả</t>
  </si>
  <si>
    <t>Số tiền đã chi tiêu (VND)</t>
  </si>
  <si>
    <t>Chi phí trên mỗi kết quả</t>
  </si>
  <si>
    <t>Bắt đầu</t>
  </si>
  <si>
    <t>Kết thúc</t>
  </si>
  <si>
    <t>Bắt đầu báo cáo</t>
  </si>
  <si>
    <t>Kết thúc báo cáo</t>
  </si>
  <si>
    <t>Bài viết: "🔹 CÔNG NGHỆ SERIAL – “DẤU VÂN TAY” CỦA MỖI SẢN..."</t>
  </si>
  <si>
    <t>All</t>
  </si>
  <si>
    <t>recently_completed</t>
  </si>
  <si>
    <t>campaign</t>
  </si>
  <si>
    <t>Số lượt xem trang đích</t>
  </si>
  <si>
    <t>502.00</t>
  </si>
  <si>
    <t>1113.18</t>
  </si>
  <si>
    <t>adset</t>
  </si>
  <si>
    <t>Bài viết: "💎 TEM DỄ VỠ – CÔNG NGHỆ CHỐNG TÁI SỬ DỤNG ĐỘC..."</t>
  </si>
  <si>
    <t>ThruPlay</t>
  </si>
  <si>
    <t>4000.00</t>
  </si>
  <si>
    <t>50.90</t>
  </si>
  <si>
    <t>Bài viết: "“Trong suốt 25 năm làm nghề, với tôi minh bạch là..."</t>
  </si>
  <si>
    <t>completed</t>
  </si>
  <si>
    <t>Lượt click vào liên kết</t>
  </si>
  <si>
    <t>90.00</t>
  </si>
  <si>
    <t>348.53</t>
  </si>
  <si>
    <t>Bài viết: "✨ CEO Dược sĩ Thanh Trang: “Chất lượng sản phẩm..."</t>
  </si>
  <si>
    <t>374.00</t>
  </si>
  <si>
    <t>33.80</t>
  </si>
  <si>
    <t>Bài viết: "Tem 6 công nghệ VINA CHG - Công nghệ 5S &amp; Công..."</t>
  </si>
  <si>
    <t>active</t>
  </si>
  <si>
    <t>1.18</t>
  </si>
  <si>
    <t>10.00</t>
  </si>
  <si>
    <t>743.00</t>
  </si>
  <si>
    <t>Lượt phân phối chiến dịch</t>
  </si>
  <si>
    <t>Ngân sách nhóm quảng cáo</t>
  </si>
  <si>
    <t>Loại ngân sách của nhóm quảng cáo</t>
  </si>
  <si>
    <t>Chỉ báo kết quả</t>
  </si>
  <si>
    <t>Hàng ngày</t>
  </si>
  <si>
    <t>actions:omni_landing_page_view</t>
  </si>
  <si>
    <t>Tên Trang</t>
  </si>
  <si>
    <t>Quảng cáo</t>
  </si>
  <si>
    <t>Đích đến của kết quả từ quảng cáo nhắn tin</t>
  </si>
  <si>
    <t>CPC (Chi phí trên mỗi lượt click vào liên kết)</t>
  </si>
  <si>
    <t>CTR (Tất cả)</t>
  </si>
  <si>
    <t>Bài viết: "CÔNG NGHỆ QR – Chỉ với một lần quét QR, khách..."</t>
  </si>
  <si>
    <t>984.15</t>
  </si>
  <si>
    <t>286388.00</t>
  </si>
  <si>
    <t>Healthy Beauty Pharma Co.,LTD</t>
  </si>
  <si>
    <t>ad</t>
  </si>
  <si>
    <t>2025-11-01 - 2025-11-28</t>
  </si>
  <si>
    <t>inactive</t>
  </si>
  <si>
    <t>1071.18</t>
  </si>
  <si>
    <t>not_delivering</t>
  </si>
  <si>
    <t>315997.00</t>
  </si>
  <si>
    <t>Chiến dịch 11.2025</t>
  </si>
  <si>
    <t>Nhóm QC Doanh số 11.2025</t>
  </si>
  <si>
    <t>571701.00</t>
  </si>
  <si>
    <t>Quảng cáo Doanh số mới</t>
  </si>
  <si>
    <t>4,242,874.00</t>
  </si>
  <si>
    <t>Độ tuổi</t>
  </si>
  <si>
    <t>Giới tính</t>
  </si>
  <si>
    <t>Mục tiêu</t>
  </si>
  <si>
    <t>CPM (Chi phí trên mỗi 1.000 lượt hiển thị)</t>
  </si>
  <si>
    <t>Tỷ lệ kết quả</t>
  </si>
  <si>
    <t>Số lần nhấp (Tất cả)</t>
  </si>
  <si>
    <t>CPC (tất cả)</t>
  </si>
  <si>
    <t>Loại giá trị kết quả</t>
  </si>
  <si>
    <t>ROAS kết quả</t>
  </si>
  <si>
    <t>Bài viết: "⭐ HB BLACK HAIR – BÍ QUYẾT GIẢM RỤNG - ĐEN TÓC -..."</t>
  </si>
  <si>
    <t>2098443.00</t>
  </si>
  <si>
    <t>849.23</t>
  </si>
  <si>
    <t>Bài viết: "🎁 TẶNG BLACK HAIR 30 VIÊN (Made in USA) CHO MỌI..."</t>
  </si>
  <si>
    <t>799817.00</t>
  </si>
  <si>
    <t>1322.01</t>
  </si>
  <si>
    <t>Bài viết: "ACID URIC CAO CÓ XU HƯỚNG TÍCH TỤ LÂU DÀI NẾU..."</t>
  </si>
  <si>
    <t>699029.00</t>
  </si>
  <si>
    <t>1257.25</t>
  </si>
  <si>
    <t>Bài viết: "Tặng ngay Viên uống dưỡng tóc, mọc tóc HB Black..."</t>
  </si>
  <si>
    <t>398819.00</t>
  </si>
  <si>
    <t>1190.50</t>
  </si>
  <si>
    <t>Bài viết: "BẢO VỆ GAN ĐÚNG CÁCH – ĐẦU TƯ CHO SỨC KHỎE LÂU DÀI"</t>
  </si>
  <si>
    <t>246766.00</t>
  </si>
  <si>
    <t>1028.19</t>
  </si>
  <si>
    <t>Cột 1</t>
  </si>
  <si>
    <t>Cột 2</t>
  </si>
  <si>
    <t>Month</t>
  </si>
  <si>
    <t>Cột 3</t>
  </si>
  <si>
    <t>58.66%</t>
  </si>
  <si>
    <t>TRAN NGOC PHUOC</t>
  </si>
  <si>
    <t>1,890,000 ₫</t>
  </si>
  <si>
    <t>SUM of Doanh số (Đơn đã xác nhận) (VND)</t>
  </si>
  <si>
    <t>SUM of Sản phẩm (Đơn đã xác nhận)</t>
  </si>
  <si>
    <t>Cô Lễ</t>
  </si>
  <si>
    <t>anh Văn</t>
  </si>
  <si>
    <t>Thế Mạnh</t>
  </si>
  <si>
    <t>BNI Duy Linh</t>
  </si>
  <si>
    <t>đơn từ tiktokshop NGỌC HUYỀNđơn</t>
  </si>
  <si>
    <t>tiktok Phạm Minh</t>
  </si>
  <si>
    <t>Thanh Mai</t>
  </si>
  <si>
    <t>anh Nhiệm</t>
  </si>
  <si>
    <t>Anh Vũ</t>
  </si>
  <si>
    <t>Nha khoa An Phát</t>
  </si>
  <si>
    <t>Ngọc Sơn</t>
  </si>
  <si>
    <t>Ý Nhi 0937630720</t>
  </si>
  <si>
    <t>Minh Hằng 038 861 6626</t>
  </si>
  <si>
    <t>Tóm tắt dữ liệu</t>
  </si>
  <si>
    <t>Tổng giá trị hàng hóa (₫)</t>
  </si>
  <si>
    <t>Hoàn tiền (₫)</t>
  </si>
  <si>
    <t>Phân tích tổng doanh thu có trợ cấp của nền tảng cho sản phẩm</t>
  </si>
  <si>
    <t>Số món bán ra</t>
  </si>
  <si>
    <t>Số khách trung bình mỗi ngày</t>
  </si>
  <si>
    <t>Lượt xem trang</t>
  </si>
  <si>
    <t>Số người truy cập trung bình</t>
  </si>
  <si>
    <t>Đơn hàng SKU</t>
  </si>
  <si>
    <t>Tỷ lệ chuyển đổi trung bình</t>
  </si>
  <si>
    <t>Dữ liệu theo ngày</t>
  </si>
  <si>
    <t>Khách hàng</t>
  </si>
  <si>
    <t>Lượt truy cập trang Cửa hàng</t>
  </si>
  <si>
    <t>5.88%</t>
  </si>
  <si>
    <t>GMV MAX - PRODUCT</t>
  </si>
  <si>
    <t>ID sản phẩm</t>
  </si>
  <si>
    <t>Tên sản phẩm</t>
  </si>
  <si>
    <t>Đơn hàng (SKU)</t>
  </si>
  <si>
    <t>Doanh thu gộp</t>
  </si>
  <si>
    <t>Chi phí cho mỗi đơn hàng</t>
  </si>
  <si>
    <t>Đơn vị tiền tệ</t>
  </si>
  <si>
    <t>1732396341380941384</t>
  </si>
  <si>
    <t>HB GLUTA WHITE + - Viên uống hỗ trợ trắng da, hỗ trợ giảm sạm nám, chống oxy hóa (30 viên – Made in USA) collagen</t>
  </si>
  <si>
    <t>VND</t>
  </si>
  <si>
    <t>1732397451972281928</t>
  </si>
  <si>
    <t>HB Collagen Type 1,2&amp;3 - Viên uống bổ sung , hỗ trợ đẹp da (120 viên – Made in USA)</t>
  </si>
  <si>
    <t>1732404959755011656</t>
  </si>
  <si>
    <t>HB CORDY EXTRACT - Viên uống Đông trùng hạ thảo, hỗ trợ tăng cường sức khỏe &amp; lưu thông khí huyết (60 viên – Made in USA)</t>
  </si>
  <si>
    <t>1732405531581318728</t>
  </si>
  <si>
    <t>HB Glutathione - C Plus - Viên uống hỗ trợ giải độc gan (30 viên)</t>
  </si>
  <si>
    <t>1732406461826041416</t>
  </si>
  <si>
    <t>HB CALCIDSOFT - Viên uống bổ sung Canxi, Vitamin D3, hỗ trợ xương răng chắc khỏe (30 viên &amp; 60 viên – Made in USA)</t>
  </si>
  <si>
    <t>1732562032846669384</t>
  </si>
  <si>
    <t>HB Glucollagen 7 in 1 - Viên uống bổ sung Collagen &amp; Glucosamine, hỗ trợ tái tạo và nuôi dưỡng mô sụn khớp( 30 viên &amp; 60 viên, Made in USA)</t>
  </si>
  <si>
    <t>1732562659297822280</t>
  </si>
  <si>
    <t>Viên uống bổ sung cho khớp - HB Glucosamine 3 in 1</t>
  </si>
  <si>
    <t>1732563172369270344</t>
  </si>
  <si>
    <t>Viên uống Shark Cartilage 750mg - Bổ sung sụn, hỗ trợ tái tạo mô sụn khớp, duy trì vận động linh hoạt (100 viên – Made in USA)</t>
  </si>
  <si>
    <t>1732563546272794184</t>
  </si>
  <si>
    <t>HB GutCare - Viên uống hỗ trợ đào thải acid uric, hỗ trợ giảm nguy cơ gút &amp; bảo vệ xương khớp ( 30 viên &amp; 60 viên)</t>
  </si>
  <si>
    <t>1732568067693184584</t>
  </si>
  <si>
    <t>Viên uống HB Prenatal Support – Bổ sung Vitamin &amp; Khoáng chất cho bà bầu (Healthy Beauty) 30 viên &amp; 60 viên - Made in USA</t>
  </si>
  <si>
    <t>1732592471384688200</t>
  </si>
  <si>
    <t>Viên uống HB Ginkgo Biloba – Hỗ trợ tăng cường tuần hoàn máu não, cải thiện trí nhớ &amp; giảm chóng mặt ( 30 viên &amp;60 viên – Made in USA)</t>
  </si>
  <si>
    <t>1732592821025277512</t>
  </si>
  <si>
    <t>1732593747760940616</t>
  </si>
  <si>
    <t>Combo Tiết Kiệm Chắc Khoẻ X3 HB CALCIDSOFT</t>
  </si>
  <si>
    <t>1732593911873373768</t>
  </si>
  <si>
    <t>Viên uống HB Black Hair – Hỗ trợ giảm gãy rụng tóc, kích thích mọc tóc &amp; duy trì mái tóc đen khỏe (60 viên – Made in USA – Date 15/02/2026)</t>
  </si>
  <si>
    <t>1732594704159049288</t>
  </si>
  <si>
    <t>1732595265620575816</t>
  </si>
  <si>
    <t>Combo X2 Detox Hỗ Trợ Gan Khỏe Mạnh (HB GLUTATHION - C PLUS - 30V + HB ARGINMILK PLUS - 60V)</t>
  </si>
  <si>
    <t>1732612358828820040</t>
  </si>
  <si>
    <t>1732612703476155976</t>
  </si>
  <si>
    <t>1732614105898976840</t>
  </si>
  <si>
    <t>1732614145874691656</t>
  </si>
  <si>
    <t>1732614167615342152</t>
  </si>
  <si>
    <t>1732614653306308168</t>
  </si>
  <si>
    <t>1732614830563296840</t>
  </si>
  <si>
    <t>1732623391776015944</t>
  </si>
  <si>
    <t>1732932847672723016</t>
  </si>
  <si>
    <t>Healthy Beauty _ Viên OMEGA 3,6,8 Omega 3,6,9 từ dầu hạt lanh giúp tim mạch, não, da và mắt khỏe mạnh, ngăn ngừa xơ vữa động mạch và giảm cholesterol trong máu.</t>
  </si>
  <si>
    <t>1732994506653926984</t>
  </si>
  <si>
    <t>Healthy Beauty HB Collagen - Collagen Nội Tiết Tố Type 1 2 &amp; 3 120 Viên Hỗ Trợ Tóc Móng Và Khớp</t>
  </si>
  <si>
    <t>1733025822857463368</t>
  </si>
  <si>
    <t>Combo X2 Healthy Beauty Viên uống Omega 3,6,9 từ dầu hạt lanh giúp tim mạch, não, da và mắt khỏe mạnh, ngăn ngừa xơ vữa động mạch và giảm cholesterol trong máu.</t>
  </si>
  <si>
    <t>1733025915199587912</t>
  </si>
  <si>
    <t>Combo X3 Healthy Beauty _ Viên OMEGA 3,6,8 Omega 3,6,9 từ dầu hạt lanh giúp tim mạch, não, da và mắt khỏe mạnh, ngăn ngừa xơ vữa động mạch và giảm cholesterol trong máu.</t>
  </si>
  <si>
    <t>1733109060007462472</t>
  </si>
  <si>
    <t>Túi đay linen Healthy Beauty du lịch thời trang tiện dụng</t>
  </si>
  <si>
    <t>1733109683029902920</t>
  </si>
  <si>
    <t>Healthy Beauty COMBO 2 hộp GLUTA WHITE - Viên uống hỗ trợ trắng da, giảm sạm nám, chống oxy hóa, chống nắng, làm mịn và sáng da, ngăn ngừa lão hóa, tăng cường độ ẩm (30 viên - Made in USA)</t>
  </si>
  <si>
    <t>Shopee</t>
  </si>
  <si>
    <t>Platform</t>
  </si>
  <si>
    <t>Sales (VND)</t>
  </si>
  <si>
    <t>Orders</t>
  </si>
  <si>
    <t>Sales per Order</t>
  </si>
  <si>
    <t>Page Views</t>
  </si>
  <si>
    <t>Visitors</t>
  </si>
  <si>
    <t>Conversion Rate (Placed Orders)</t>
  </si>
  <si>
    <t>Cancelled Orders</t>
  </si>
  <si>
    <t>Cancelled Sales</t>
  </si>
  <si>
    <t>Voucher Cost</t>
  </si>
  <si>
    <t>Apr</t>
  </si>
  <si>
    <t>May</t>
  </si>
  <si>
    <t>Jun</t>
  </si>
  <si>
    <t>Jul</t>
  </si>
  <si>
    <t>Aug</t>
  </si>
  <si>
    <t>Sep</t>
  </si>
  <si>
    <t>Oct</t>
  </si>
  <si>
    <t>Nov</t>
  </si>
  <si>
    <t>Dec</t>
  </si>
  <si>
    <t>MÃ SP</t>
  </si>
  <si>
    <t>SẢN PHẨM</t>
  </si>
  <si>
    <t>Category</t>
  </si>
  <si>
    <t>GIÁ BÁN LẺ
(CÓ VAT)</t>
  </si>
  <si>
    <t>VAT</t>
  </si>
  <si>
    <t>RSP Update (giá bán trên sàn)</t>
  </si>
  <si>
    <t>%Increase RSP</t>
  </si>
  <si>
    <t>%</t>
  </si>
  <si>
    <t>Base Line</t>
  </si>
  <si>
    <t>Ghi chú</t>
  </si>
  <si>
    <t>GLUCOLLAGEN 7 in 1 - 30V</t>
  </si>
  <si>
    <t>GLUCOLLAGEN 7 in 1 - 60V</t>
  </si>
  <si>
    <t>GLUCOSAMINE 3 in 1 - 60V</t>
  </si>
  <si>
    <t>HB004</t>
  </si>
  <si>
    <t>GLUCOSAMINE 3 in 1 - 200V</t>
  </si>
  <si>
    <t>HB009</t>
  </si>
  <si>
    <t>OMEGA 3,6,9 - 100V</t>
  </si>
  <si>
    <t>HB011</t>
  </si>
  <si>
    <t>OMEGA 3,6,9 - 200V</t>
  </si>
  <si>
    <t>HB VISIONFORT SUPPORT - 30V</t>
  </si>
  <si>
    <t>HB012</t>
  </si>
  <si>
    <t>HB VISIONFORT SUPPORT - 60V</t>
  </si>
  <si>
    <t>HB CALCIDSOFT - 30V</t>
  </si>
  <si>
    <t>HB CALCIDSOFT - 60V</t>
  </si>
  <si>
    <t>HB BLACK HAIR - 30V</t>
  </si>
  <si>
    <t>HB BLACK HAIR - 60V</t>
  </si>
  <si>
    <t>HB CoQ10 150mg - 30V</t>
  </si>
  <si>
    <t>HB032</t>
  </si>
  <si>
    <t>HB CoQ10 150mg - 60V</t>
  </si>
  <si>
    <t>HB Prenatal 1 Support - 30V</t>
  </si>
  <si>
    <t>HB Prenatal 1 Support - 60V</t>
  </si>
  <si>
    <t>HB GINKGO BILOBA 120mg - 30V</t>
  </si>
  <si>
    <t>HB036</t>
  </si>
  <si>
    <t>HB GINKGO BILOBA 120mg - 60V</t>
  </si>
  <si>
    <t>HBGUTCARE - 30V</t>
  </si>
  <si>
    <t>HBGUTCARE - 60V</t>
  </si>
  <si>
    <t>HB COLLAGEN TYPE 1,2&amp;3 - 120V</t>
  </si>
  <si>
    <t>GLUTA WHITE 30V</t>
  </si>
  <si>
    <t>HB GLUTATHION - C PLUS - 30V</t>
  </si>
  <si>
    <t>HB CORDY EXTRACT - 60V</t>
  </si>
  <si>
    <t>SHARK CARTILARGE - 100V</t>
  </si>
  <si>
    <t>HB ARGINMILK PLUS - 60V</t>
  </si>
  <si>
    <t>HB SILYMARIN - 100V</t>
  </si>
  <si>
    <t>SLIM DAY - 60V</t>
  </si>
  <si>
    <t>SLIM NIGHT - 30V</t>
  </si>
  <si>
    <t>HB ONCE DAILY MEN'S - 100V</t>
  </si>
  <si>
    <t>HB ONCE DAILY WOMEN'S - 100V</t>
  </si>
  <si>
    <t>HB022</t>
  </si>
  <si>
    <t>NEW WOMEN CARE - 30V</t>
  </si>
  <si>
    <t>HB023</t>
  </si>
  <si>
    <t>NEW SEXUAL MEN CARE - 30V</t>
  </si>
  <si>
    <t>OMEGA + DHA GUMMIES - 60V</t>
  </si>
  <si>
    <t>HB OREGANOL P73 - 30V</t>
  </si>
  <si>
    <t>HB017</t>
  </si>
  <si>
    <t>HB OREGANOL P73 - 60V</t>
  </si>
  <si>
    <t>NEW</t>
  </si>
  <si>
    <t>HB VITAMIN D3 SUPPORT 4000IU - 30V</t>
  </si>
  <si>
    <t>HB VITAMIN D3 SUPPORT 4000IU - 60V</t>
  </si>
  <si>
    <t>I. METRIC KPI</t>
  </si>
  <si>
    <t>III. Focus SKU</t>
  </si>
  <si>
    <t>IV. Focus KWs</t>
  </si>
  <si>
    <t>Health Beauty</t>
  </si>
  <si>
    <t>Product Name</t>
  </si>
  <si>
    <t>Product ID</t>
  </si>
  <si>
    <t>Unit sold</t>
  </si>
  <si>
    <t>Unit A2C</t>
  </si>
  <si>
    <t>GMV contribution</t>
  </si>
  <si>
    <t>Product name</t>
  </si>
  <si>
    <t>ID</t>
  </si>
  <si>
    <t>KW</t>
  </si>
  <si>
    <t>Suggest CPC bidding</t>
  </si>
  <si>
    <t>Estimate result</t>
  </si>
  <si>
    <t>Benchmark unit</t>
  </si>
  <si>
    <t>Hỗ trợ xương khớp:</t>
  </si>
  <si>
    <t>viên uống 
tái tạo 
healthy beauty 
hỗ trợ xương khớp
xương khớp
glucosamine
glucollagen 
xương
thuốc bổ
đau khớp
thuốc khớp
thuốc đau xương khớp</t>
  </si>
  <si>
    <t>8k</t>
  </si>
  <si>
    <t>est.Impression</t>
  </si>
  <si>
    <t xml:space="preserve">CPM = 54k </t>
  </si>
  <si>
    <t>est. UV</t>
  </si>
  <si>
    <t>3% impression</t>
  </si>
  <si>
    <t>Chăm sóc tóc và da</t>
  </si>
  <si>
    <t>rụng tóc
kích mọc tóc
chống rụng tóc
giảm rụng tóc
nhuộm tóc đen
dầu gội đen tóc</t>
  </si>
  <si>
    <t>8.5k</t>
  </si>
  <si>
    <t>est. PV</t>
  </si>
  <si>
    <t>2UV</t>
  </si>
  <si>
    <t>viên uống trắng da 
viên uống 
thuốc trắng da
mờ nám
kem trị nám
viên uống chống nắng
chống nắng</t>
  </si>
  <si>
    <t>est.CTR</t>
  </si>
  <si>
    <t>viên uống trắng da 
viên uống 
thuốc trắng da
mờ nám
kem trị nám
giải độc gan</t>
  </si>
  <si>
    <t>est. ATC</t>
  </si>
  <si>
    <t>15% UV</t>
  </si>
  <si>
    <t>collagen
collagen uống</t>
  </si>
  <si>
    <t>est.Orders</t>
  </si>
  <si>
    <t>(%UV to order =4,5%)</t>
  </si>
  <si>
    <t>Tăng cường miễn dịch</t>
  </si>
  <si>
    <t>hỗ trợ gan
giải độc gan
mát gan
viên uống
giải độc
detox
thuốc bổ gan</t>
  </si>
  <si>
    <t>10.5k</t>
  </si>
  <si>
    <t>est.cpc (vnd)</t>
  </si>
  <si>
    <t>đông trùng hạ thảo
thuốc bổ
bổ máu
thuốc bổ máu
miễn dịch
viên uống
đông trùng hạ thảo hiệu quả</t>
  </si>
  <si>
    <t>Ad budget</t>
  </si>
  <si>
    <t>Giảm cân:</t>
  </si>
  <si>
    <t>Auto GMV MAX</t>
  </si>
  <si>
    <t>Est. Total GMV</t>
  </si>
  <si>
    <t>Viên uống giúp Bổ Sung Canxi và Vitamin D3 HB CALCISOFT</t>
  </si>
  <si>
    <t>est. ROAS</t>
  </si>
  <si>
    <t>TikTok</t>
  </si>
  <si>
    <t xml:space="preserve">CPM = 25k </t>
  </si>
  <si>
    <t xml:space="preserve">Click </t>
  </si>
  <si>
    <t>10% impression</t>
  </si>
  <si>
    <t>ATC</t>
  </si>
  <si>
    <t>30%ATC</t>
  </si>
  <si>
    <t xml:space="preserve">II. BUDGET ALLOCATION </t>
  </si>
  <si>
    <t>JUNE</t>
  </si>
  <si>
    <t xml:space="preserve">PLATFORM </t>
  </si>
  <si>
    <t>AD TYPES</t>
  </si>
  <si>
    <t>MARKETING
BUDGET</t>
  </si>
  <si>
    <t>CAMPAIGN</t>
  </si>
  <si>
    <t>DURATION</t>
  </si>
  <si>
    <t>DAYS
COVERED</t>
  </si>
  <si>
    <t>DAILY BUDGET</t>
  </si>
  <si>
    <t>GMV MAX 40%
Manual 50%%
Shop Ad 10%</t>
  </si>
  <si>
    <t>Teasing</t>
  </si>
  <si>
    <t>1-5 June</t>
  </si>
  <si>
    <t>Dday</t>
  </si>
  <si>
    <t>6 June</t>
  </si>
  <si>
    <t>Extended</t>
  </si>
  <si>
    <t>7-8 June</t>
  </si>
  <si>
    <t>BAU</t>
  </si>
  <si>
    <t>9-14 June</t>
  </si>
  <si>
    <t>Midmonth sales</t>
  </si>
  <si>
    <t>15-17 June</t>
  </si>
  <si>
    <t>18-24 June</t>
  </si>
  <si>
    <t>Endmonth</t>
  </si>
  <si>
    <t>25-27 June</t>
  </si>
  <si>
    <t>28-30 June</t>
  </si>
  <si>
    <t>Campaign</t>
  </si>
  <si>
    <t>Tiktok</t>
  </si>
  <si>
    <t>A/B Testing: 20% total budget
- Brand awareness: 10% (Ad type: Video reach, view),
- Product ads: 10%
Always on: 80% budget
- Video view: 5%
- Reach: 5%
- Follower: 10%
- Product page: 20%
- Product video: 20%
- KOL post: 20%</t>
  </si>
</sst>
</file>

<file path=xl/styles.xml><?xml version="1.0" encoding="utf-8"?>
<styleSheet xmlns="http://schemas.openxmlformats.org/spreadsheetml/2006/main" xmlns:x14ac="http://schemas.microsoft.com/office/spreadsheetml/2009/9/ac" xmlns:mc="http://schemas.openxmlformats.org/markup-compatibility/2006">
  <numFmts count="33">
    <numFmt numFmtId="164" formatCode="dd/mm/yyyy"/>
    <numFmt numFmtId="165" formatCode="dd/MM/yyyy"/>
    <numFmt numFmtId="166" formatCode="#,##0\ [$đ-42A]"/>
    <numFmt numFmtId="167" formatCode="0.0%"/>
    <numFmt numFmtId="168" formatCode="dd\-mm\-yyyy"/>
    <numFmt numFmtId="169" formatCode="d/m/yyyy\ hh:mm"/>
    <numFmt numFmtId="170" formatCode="dd/mm/yyyy\ hh:mm:ss"/>
    <numFmt numFmtId="171" formatCode="d\.m"/>
    <numFmt numFmtId="172" formatCode="dd\.mm"/>
    <numFmt numFmtId="173" formatCode="dd/mm/yyyy\ hh:mm"/>
    <numFmt numFmtId="174" formatCode="d/m/yyyy\ hh:mm:ss"/>
    <numFmt numFmtId="175" formatCode="d/m/yyyy hh:mm"/>
    <numFmt numFmtId="176" formatCode="dd/mm/yyyy hh:mm:ss"/>
    <numFmt numFmtId="177" formatCode="dd.mm"/>
    <numFmt numFmtId="178" formatCode="d/m/yyyy hh:mm:ss"/>
    <numFmt numFmtId="179" formatCode="d.m"/>
    <numFmt numFmtId="180" formatCode="yyyy\-mm\-dd\ hh:mm:ss"/>
    <numFmt numFmtId="181" formatCode="d\-m\-yyyy"/>
    <numFmt numFmtId="182" formatCode="m/d/yyyy\ h:mm:ss"/>
    <numFmt numFmtId="183" formatCode="yyyy\-mm\-dd"/>
    <numFmt numFmtId="184" formatCode="yyyy\.mm"/>
    <numFmt numFmtId="185" formatCode="yyyy.m"/>
    <numFmt numFmtId="186" formatCode="yyyy-mm-dd hh:mm:ss"/>
    <numFmt numFmtId="187" formatCode="yyyy-mm-dd"/>
    <numFmt numFmtId="188" formatCode="d/m/yyyy"/>
    <numFmt numFmtId="189" formatCode="#,##0.00\ [$đ-42A]"/>
    <numFmt numFmtId="190" formatCode="yyyy.mm"/>
    <numFmt numFmtId="191" formatCode="#,##0&quot;₫&quot;"/>
    <numFmt numFmtId="192" formatCode="#,##0.00&quot;₫&quot;"/>
    <numFmt numFmtId="193" formatCode="&quot;฿&quot;#,##0.00"/>
    <numFmt numFmtId="194" formatCode="[$฿-41E]#,##0.00"/>
    <numFmt numFmtId="195" formatCode="[$VND]\ #,##0"/>
    <numFmt numFmtId="196" formatCode="&quot;$&quot;#,##0"/>
  </numFmts>
  <fonts count="72">
    <font>
      <sz val="10.0"/>
      <color rgb="FF000000"/>
      <name val="Arial"/>
      <scheme val="minor"/>
    </font>
    <font>
      <sz val="10.0"/>
      <color theme="1"/>
      <name val="Arial"/>
    </font>
    <font>
      <b/>
      <sz val="27.0"/>
      <color theme="1"/>
      <name val="Arial"/>
    </font>
    <font>
      <sz val="27.0"/>
      <color theme="1"/>
      <name val="Arial"/>
    </font>
    <font>
      <b/>
      <sz val="12.0"/>
      <color rgb="FFFF0000"/>
      <name val="Arial"/>
    </font>
    <font>
      <b/>
      <sz val="27.0"/>
      <color rgb="FF741B47"/>
      <name val="Arial"/>
    </font>
    <font>
      <sz val="10.0"/>
      <color rgb="FF741B47"/>
      <name val="Arial"/>
    </font>
    <font>
      <sz val="27.0"/>
      <color rgb="FF741B47"/>
      <name val="Arial"/>
    </font>
    <font>
      <b/>
      <sz val="10.0"/>
      <color theme="1"/>
      <name val="Arial"/>
    </font>
    <font>
      <b/>
      <sz val="16.0"/>
      <color theme="1"/>
      <name val="Arial"/>
    </font>
    <font>
      <sz val="13.0"/>
      <color rgb="FF0000FF"/>
      <name val="Arial"/>
    </font>
    <font>
      <i/>
      <sz val="10.0"/>
      <color rgb="FF0000FF"/>
      <name val="Arial"/>
    </font>
    <font>
      <b/>
      <sz val="12.0"/>
      <color rgb="FFFF00FF"/>
      <name val="Arial"/>
    </font>
    <font/>
    <font>
      <b/>
      <sz val="12.0"/>
      <color theme="1"/>
      <name val="Arial"/>
    </font>
    <font>
      <b/>
      <sz val="10.0"/>
      <color rgb="FFFFFFFF"/>
      <name val="Arial"/>
    </font>
    <font>
      <b/>
      <sz val="10.0"/>
      <color rgb="FF000000"/>
      <name val="Arial"/>
    </font>
    <font>
      <color theme="1"/>
      <name val="Arial"/>
    </font>
    <font>
      <sz val="12.0"/>
      <color theme="1"/>
      <name val="Roboto"/>
    </font>
    <font>
      <sz val="10.0"/>
      <color rgb="FFFFFFFF"/>
      <name val="Arial"/>
    </font>
    <font>
      <b/>
      <i/>
      <sz val="12.0"/>
      <color rgb="FF000000"/>
      <name val="Arial"/>
    </font>
    <font>
      <sz val="12.0"/>
      <color rgb="FF0000FF"/>
      <name val="Arial"/>
    </font>
    <font>
      <b/>
      <sz val="12.0"/>
      <color rgb="FF0000FF"/>
      <name val="Arial"/>
    </font>
    <font>
      <sz val="12.0"/>
      <color rgb="FF000000"/>
      <name val="Arial"/>
    </font>
    <font>
      <sz val="12.0"/>
      <color rgb="FFFF0000"/>
      <name val="Arial"/>
    </font>
    <font>
      <b/>
      <i/>
      <sz val="11.0"/>
      <color rgb="FF000000"/>
      <name val="Arial"/>
    </font>
    <font>
      <sz val="12.0"/>
      <color rgb="FFFF0000"/>
      <name val="Roboto"/>
    </font>
    <font>
      <b/>
      <sz val="12.0"/>
      <color rgb="FF000000"/>
      <name val="Arial"/>
    </font>
    <font>
      <sz val="10.0"/>
      <color rgb="FF000000"/>
      <name val="Arial"/>
    </font>
    <font>
      <sz val="12.0"/>
      <color theme="1"/>
      <name val="Arial"/>
    </font>
    <font>
      <i/>
      <sz val="12.0"/>
      <color rgb="FF000000"/>
      <name val="Arial"/>
    </font>
    <font>
      <b/>
      <i/>
      <sz val="10.0"/>
      <color rgb="FF000000"/>
      <name val="Arial"/>
    </font>
    <font>
      <b/>
      <i/>
      <sz val="11.0"/>
      <color theme="1"/>
      <name val="Arial"/>
    </font>
    <font>
      <b/>
      <sz val="11.0"/>
      <color theme="1"/>
      <name val="Arial"/>
    </font>
    <font>
      <b/>
      <sz val="12.0"/>
      <color theme="1"/>
      <name val="Roboto"/>
    </font>
    <font>
      <color rgb="FF000000"/>
      <name val="Arial"/>
    </font>
    <font>
      <sz val="13.0"/>
      <color theme="1"/>
      <name val="Arial"/>
    </font>
    <font>
      <b/>
      <sz val="13.0"/>
      <color rgb="FFFF0000"/>
      <name val="Arial"/>
    </font>
    <font>
      <sz val="10.0"/>
      <color rgb="FF0000FF"/>
      <name val="Arial"/>
    </font>
    <font>
      <sz val="10.0"/>
      <color rgb="FFFF0000"/>
      <name val="Arial"/>
    </font>
    <font>
      <b/>
      <sz val="10.0"/>
      <color rgb="FFFF0000"/>
      <name val="Arial"/>
    </font>
    <font>
      <sz val="11.0"/>
      <color rgb="FF000000"/>
      <name val="Calibri"/>
    </font>
    <font>
      <sz val="12.0"/>
      <color theme="1"/>
      <name val="Verdana"/>
    </font>
    <font>
      <b/>
      <sz val="11.0"/>
      <color rgb="FFFF00FF"/>
      <name val="Arial"/>
    </font>
    <font>
      <sz val="13.0"/>
      <color rgb="FF000000"/>
      <name val="Arial"/>
    </font>
    <font>
      <sz val="13.0"/>
      <color rgb="FFFF0000"/>
      <name val="Arial"/>
    </font>
    <font>
      <i/>
      <sz val="10.0"/>
      <color rgb="FF000000"/>
      <name val="Arial"/>
    </font>
    <font>
      <b/>
      <sz val="14.0"/>
      <color rgb="FF000000"/>
      <name val="Calibri"/>
    </font>
    <font>
      <i/>
      <sz val="14.0"/>
      <color rgb="FF0000FF"/>
      <name val="Arial"/>
    </font>
    <font>
      <i/>
      <sz val="10.0"/>
      <color theme="1"/>
      <name val="Arial"/>
    </font>
    <font>
      <sz val="11.0"/>
      <color theme="1"/>
      <name val="SimSun"/>
    </font>
    <font>
      <u/>
      <sz val="10.0"/>
      <color rgb="FF0000FF"/>
      <name val="Arial"/>
    </font>
    <font>
      <b/>
      <sz val="11.0"/>
      <color theme="1"/>
      <name val="SimSun"/>
    </font>
    <font>
      <b/>
      <i/>
      <sz val="11.0"/>
      <color rgb="FFFF0000"/>
      <name val="Calibri"/>
    </font>
    <font>
      <b/>
      <sz val="11.0"/>
      <color rgb="FF000000"/>
      <name val="Calibri"/>
    </font>
    <font>
      <b/>
      <sz val="11.0"/>
      <color rgb="FFFF0000"/>
      <name val="Calibri"/>
    </font>
    <font>
      <sz val="12.0"/>
      <color theme="1"/>
      <name val="Calibri"/>
    </font>
    <font>
      <sz val="18.0"/>
      <color rgb="FFFFFFFF"/>
      <name val="Calibri"/>
    </font>
    <font>
      <u/>
      <sz val="11.0"/>
      <color rgb="FFFFFFFF"/>
      <name val="Calibri"/>
    </font>
    <font>
      <sz val="11.0"/>
      <color rgb="FFFFFFFF"/>
      <name val="Calibri"/>
    </font>
    <font>
      <b/>
      <sz val="16.0"/>
      <color rgb="FFFF0000"/>
      <name val="Arial"/>
    </font>
    <font>
      <b/>
      <color rgb="FFFF0000"/>
      <name val="Arial"/>
    </font>
    <font>
      <sz val="12.0"/>
      <color rgb="FF000000"/>
      <name val="Calibri"/>
    </font>
    <font>
      <sz val="11.0"/>
      <color rgb="FF111827"/>
      <name val="Inter"/>
    </font>
    <font>
      <sz val="11.0"/>
      <color rgb="FF4B5563"/>
      <name val="Inter"/>
    </font>
    <font>
      <color theme="1"/>
      <name val="Arial"/>
      <scheme val="minor"/>
    </font>
    <font>
      <b/>
      <sz val="17.0"/>
      <color theme="1"/>
      <name val="Arial"/>
    </font>
    <font>
      <b/>
      <color theme="1"/>
      <name val="Arial"/>
    </font>
    <font>
      <b/>
      <sz val="11.0"/>
      <color theme="1"/>
      <name val="Calibri"/>
    </font>
    <font>
      <b/>
      <sz val="11.0"/>
      <color rgb="FFFFFFFF"/>
      <name val="Calibri"/>
    </font>
    <font>
      <sz val="11.0"/>
      <color theme="1"/>
      <name val="Calibri"/>
    </font>
    <font>
      <sz val="10.0"/>
      <color theme="1"/>
      <name val="Calibri"/>
    </font>
  </fonts>
  <fills count="32">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E06666"/>
        <bgColor rgb="FFE06666"/>
      </patternFill>
    </fill>
    <fill>
      <patternFill patternType="solid">
        <fgColor rgb="FF0000FF"/>
        <bgColor rgb="FF0000FF"/>
      </patternFill>
    </fill>
    <fill>
      <patternFill patternType="solid">
        <fgColor rgb="FF000000"/>
        <bgColor rgb="FF000000"/>
      </patternFill>
    </fill>
    <fill>
      <patternFill patternType="solid">
        <fgColor rgb="FF00FFFF"/>
        <bgColor rgb="FF00FFFF"/>
      </patternFill>
    </fill>
    <fill>
      <patternFill patternType="solid">
        <fgColor rgb="FFFCE5CD"/>
        <bgColor rgb="FFFCE5CD"/>
      </patternFill>
    </fill>
    <fill>
      <patternFill patternType="solid">
        <fgColor rgb="FFD9D9D9"/>
        <bgColor rgb="FFD9D9D9"/>
      </patternFill>
    </fill>
    <fill>
      <patternFill patternType="solid">
        <fgColor theme="0"/>
        <bgColor theme="0"/>
      </patternFill>
    </fill>
    <fill>
      <patternFill patternType="solid">
        <fgColor rgb="FFFFFF00"/>
        <bgColor rgb="FFFFFF00"/>
      </patternFill>
    </fill>
    <fill>
      <patternFill patternType="solid">
        <fgColor rgb="FFB7B7B7"/>
        <bgColor rgb="FFB7B7B7"/>
      </patternFill>
    </fill>
    <fill>
      <patternFill patternType="solid">
        <fgColor rgb="FFC27BA0"/>
        <bgColor rgb="FFC27BA0"/>
      </patternFill>
    </fill>
    <fill>
      <patternFill patternType="solid">
        <fgColor rgb="FFFFF2CC"/>
        <bgColor rgb="FFFFF2CC"/>
      </patternFill>
    </fill>
    <fill>
      <patternFill patternType="solid">
        <fgColor rgb="FFEA9999"/>
        <bgColor rgb="FFEA9999"/>
      </patternFill>
    </fill>
    <fill>
      <patternFill patternType="solid">
        <fgColor rgb="FFFF00FF"/>
        <bgColor rgb="FFFF00FF"/>
      </patternFill>
    </fill>
    <fill>
      <patternFill patternType="solid">
        <fgColor rgb="FFF6F8F9"/>
        <bgColor rgb="FFF6F8F9"/>
      </patternFill>
    </fill>
    <fill>
      <patternFill patternType="solid">
        <fgColor rgb="FF434343"/>
        <bgColor rgb="FF434343"/>
      </patternFill>
    </fill>
    <fill>
      <patternFill patternType="solid">
        <fgColor rgb="FF808080"/>
        <bgColor rgb="FF808080"/>
      </patternFill>
    </fill>
    <fill>
      <patternFill patternType="solid">
        <fgColor rgb="FFCCCCCC"/>
        <bgColor rgb="FFCCCCCC"/>
      </patternFill>
    </fill>
    <fill>
      <patternFill patternType="solid">
        <fgColor rgb="FF4A86E8"/>
        <bgColor rgb="FF4A86E8"/>
      </patternFill>
    </fill>
    <fill>
      <patternFill patternType="solid">
        <fgColor rgb="FFF4CCCC"/>
        <bgColor rgb="FFF4CCCC"/>
      </patternFill>
    </fill>
    <fill>
      <patternFill patternType="solid">
        <fgColor rgb="FFF3F3F3"/>
        <bgColor rgb="FFF3F3F3"/>
      </patternFill>
    </fill>
    <fill>
      <patternFill patternType="solid">
        <fgColor rgb="FFEAD1DC"/>
        <bgColor rgb="FFEAD1DC"/>
      </patternFill>
    </fill>
    <fill>
      <patternFill patternType="solid">
        <fgColor rgb="FFD5A6BD"/>
        <bgColor rgb="FFD5A6BD"/>
      </patternFill>
    </fill>
    <fill>
      <patternFill patternType="solid">
        <fgColor rgb="FF41596C"/>
        <bgColor rgb="FF41596C"/>
      </patternFill>
    </fill>
    <fill>
      <patternFill patternType="solid">
        <fgColor rgb="FFA0B0BA"/>
        <bgColor rgb="FFA0B0BA"/>
      </patternFill>
    </fill>
    <fill>
      <patternFill patternType="solid">
        <fgColor rgb="FFF9FAFB"/>
        <bgColor rgb="FFF9FAFB"/>
      </patternFill>
    </fill>
    <fill>
      <patternFill patternType="solid">
        <fgColor rgb="FFEFEFEF"/>
        <bgColor rgb="FFEFEFEF"/>
      </patternFill>
    </fill>
    <fill>
      <patternFill patternType="solid">
        <fgColor rgb="FFDEEAF6"/>
        <bgColor rgb="FFDEEAF6"/>
      </patternFill>
    </fill>
  </fills>
  <borders count="75">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right/>
      <top style="medium">
        <color rgb="FF000000"/>
      </top>
      <bottom/>
    </border>
    <border>
      <left/>
      <right style="medium">
        <color rgb="FF000000"/>
      </right>
      <top style="medium">
        <color rgb="FF000000"/>
      </top>
      <bottom/>
    </border>
    <border>
      <left style="medium">
        <color rgb="FF000000"/>
      </left>
      <top/>
      <bottom/>
    </border>
    <border>
      <top/>
      <bottom/>
    </border>
    <border>
      <left/>
      <right style="medium">
        <color rgb="FF000000"/>
      </right>
      <top/>
      <bottom/>
    </border>
    <border>
      <right/>
      <top/>
      <bottom/>
    </border>
    <border>
      <left style="medium">
        <color rgb="FF000000"/>
      </left>
    </border>
    <border>
      <right style="medium">
        <color rgb="FF000000"/>
      </right>
    </border>
    <border>
      <left/>
      <top/>
      <bottom/>
    </border>
    <border>
      <left style="medium">
        <color rgb="FF000000"/>
      </left>
      <right/>
      <top/>
      <bottom/>
    </border>
    <border>
      <left style="medium">
        <color rgb="FF000000"/>
      </left>
      <bottom style="medium">
        <color rgb="FF000000"/>
      </bottom>
    </border>
    <border>
      <bottom style="medium">
        <color rgb="FF000000"/>
      </bottom>
    </border>
    <border>
      <left/>
      <right/>
      <top/>
      <bottom style="medium">
        <color rgb="FF000000"/>
      </bottom>
    </border>
    <border>
      <right style="medium">
        <color rgb="FF000000"/>
      </right>
      <bottom style="medium">
        <color rgb="FF000000"/>
      </bottom>
    </border>
    <border>
      <left style="double">
        <color rgb="FF000000"/>
      </left>
      <right style="double">
        <color rgb="FF000000"/>
      </right>
      <top style="double">
        <color rgb="FF000000"/>
      </top>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top style="double">
        <color rgb="FF000000"/>
      </top>
      <bottom style="double">
        <color rgb="FF000000"/>
      </bottom>
    </border>
    <border>
      <left/>
      <right/>
      <top style="double">
        <color rgb="FF000000"/>
      </top>
      <bottom style="double">
        <color rgb="FF000000"/>
      </bottom>
    </border>
    <border>
      <left style="double">
        <color rgb="FF000000"/>
      </left>
      <right style="double">
        <color rgb="FF000000"/>
      </right>
      <top style="double">
        <color rgb="FF000000"/>
      </top>
    </border>
    <border>
      <left style="double">
        <color rgb="FF000000"/>
      </left>
      <right style="double">
        <color rgb="FF000000"/>
      </right>
      <top style="medium">
        <color rgb="FF000000"/>
      </top>
      <bottom style="double">
        <color rgb="FF000000"/>
      </bottom>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style="thick">
        <color rgb="FF000000"/>
      </left>
      <right style="dotted">
        <color rgb="FF000000"/>
      </right>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ck">
        <color rgb="FF000000"/>
      </right>
      <top style="dotted">
        <color rgb="FF000000"/>
      </top>
      <bottom style="dotted">
        <color rgb="FF000000"/>
      </bottom>
    </border>
    <border>
      <left style="thin">
        <color rgb="FF000000"/>
      </left>
      <right style="thin">
        <color rgb="FF000000"/>
      </right>
      <top style="thin">
        <color rgb="FF000000"/>
      </top>
      <bottom style="thin">
        <color rgb="FF808080"/>
      </bottom>
    </border>
    <border>
      <left/>
      <right style="thin">
        <color rgb="FF000000"/>
      </right>
      <top style="thin">
        <color rgb="FF000000"/>
      </top>
      <bottom style="thin">
        <color rgb="FF808080"/>
      </bottom>
    </border>
    <border>
      <left style="hair">
        <color rgb="FF000000"/>
      </left>
      <right style="hair">
        <color rgb="FF000000"/>
      </right>
      <top style="hair">
        <color rgb="FF000000"/>
      </top>
      <bottom style="hair">
        <color rgb="FF000000"/>
      </bottom>
    </border>
    <border>
      <left style="double">
        <color rgb="FF000000"/>
      </left>
      <top style="medium">
        <color rgb="FF000000"/>
      </top>
    </border>
    <border>
      <left style="double">
        <color rgb="FF000000"/>
      </left>
    </border>
    <border>
      <left style="double">
        <color rgb="FF000000"/>
      </left>
      <bottom style="medium">
        <color rgb="FF000000"/>
      </bottom>
    </border>
    <border>
      <top style="double">
        <color rgb="FF000000"/>
      </top>
      <bottom style="double">
        <color rgb="FF000000"/>
      </bottom>
    </border>
    <border>
      <left style="thick">
        <color rgb="FF000000"/>
      </left>
      <right style="thick">
        <color rgb="FF000000"/>
      </right>
      <top style="thick">
        <color rgb="FF000000"/>
      </top>
      <bottom style="thick">
        <color rgb="FF000000"/>
      </bottom>
    </border>
    <border>
      <left style="thick">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thick">
        <color rgb="FF000000"/>
      </right>
      <bottom style="dotted">
        <color rgb="FF000000"/>
      </bottom>
    </border>
    <border>
      <left style="thick">
        <color rgb="FF000000"/>
      </left>
      <right style="dotted">
        <color rgb="FF000000"/>
      </right>
      <top style="dotted">
        <color rgb="FF000000"/>
      </top>
      <bottom style="thick">
        <color rgb="FF000000"/>
      </bottom>
    </border>
    <border>
      <left style="dotted">
        <color rgb="FF000000"/>
      </left>
      <right style="dotted">
        <color rgb="FF000000"/>
      </right>
      <top style="dotted">
        <color rgb="FF000000"/>
      </top>
      <bottom style="thick">
        <color rgb="FF000000"/>
      </bottom>
    </border>
    <border>
      <left style="dotted">
        <color rgb="FF000000"/>
      </left>
      <right style="thick">
        <color rgb="FF000000"/>
      </right>
      <top style="dotted">
        <color rgb="FF000000"/>
      </top>
      <bottom style="thick">
        <color rgb="FF000000"/>
      </bottom>
    </border>
    <border>
      <left style="thin">
        <color rgb="FF000000"/>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90949C"/>
      </left>
      <right style="thin">
        <color rgb="FF90949C"/>
      </right>
      <top style="thin">
        <color rgb="FF90949C"/>
      </top>
      <bottom style="thin">
        <color rgb="FF90949C"/>
      </bottom>
    </border>
    <border>
      <left style="thin">
        <color rgb="FF000000"/>
      </left>
      <right style="thin">
        <color rgb="FF000000"/>
      </right>
      <top style="thin">
        <color rgb="FF000000"/>
      </top>
      <bottom style="thin">
        <color rgb="FF000000"/>
      </bottom>
    </border>
    <border>
      <bottom style="thin">
        <color rgb="FFE5E7EB"/>
      </bottom>
    </border>
    <border>
      <left style="thin">
        <color rgb="FFABABAB"/>
      </left>
      <top style="thin">
        <color rgb="FFFFFFFF"/>
      </top>
      <bottom style="thin">
        <color rgb="FFABABAB"/>
      </bottom>
    </border>
    <border>
      <left style="thin">
        <color rgb="FFABABAB"/>
      </left>
      <bottom style="thin">
        <color rgb="FFABABAB"/>
      </bottom>
    </border>
    <border>
      <right style="thin">
        <color rgb="FFABABAB"/>
      </right>
      <bottom style="thin">
        <color rgb="FFABABAB"/>
      </bottom>
    </border>
    <border>
      <left style="thin">
        <color rgb="FFABABAB"/>
      </left>
      <top style="thin">
        <color rgb="FFABABAB"/>
      </top>
      <bottom style="thin">
        <color rgb="FFABABAB"/>
      </bottom>
    </border>
    <border>
      <right style="thin">
        <color rgb="FFABABAB"/>
      </right>
      <top style="thin">
        <color rgb="FFABABAB"/>
      </top>
      <bottom style="thin">
        <color rgb="FFABABAB"/>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border>
    <border>
      <right style="thin">
        <color rgb="FF000000"/>
      </right>
      <top style="thin">
        <color rgb="FF000000"/>
      </top>
    </border>
  </borders>
  <cellStyleXfs count="1">
    <xf borderId="0" fillId="0" fontId="0" numFmtId="0" applyAlignment="1" applyFont="1"/>
  </cellStyleXfs>
  <cellXfs count="579">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1" numFmtId="3" xfId="0" applyAlignment="1" applyFont="1" applyNumberFormat="1">
      <alignment vertical="center"/>
    </xf>
    <xf borderId="0" fillId="0" fontId="2" numFmtId="164" xfId="0" applyAlignment="1" applyFont="1" applyNumberFormat="1">
      <alignment vertical="center"/>
    </xf>
    <xf borderId="0" fillId="0" fontId="3" numFmtId="0" xfId="0" applyAlignment="1" applyFont="1">
      <alignment horizontal="center" vertical="center"/>
    </xf>
    <xf borderId="0" fillId="0" fontId="4" numFmtId="10" xfId="0" applyAlignment="1" applyFont="1" applyNumberFormat="1">
      <alignment horizontal="center" shrinkToFit="0" wrapText="1"/>
    </xf>
    <xf borderId="0" fillId="0" fontId="5" numFmtId="0" xfId="0" applyAlignment="1" applyFont="1">
      <alignment vertical="center"/>
    </xf>
    <xf borderId="0" fillId="0" fontId="6" numFmtId="3" xfId="0" applyAlignment="1" applyFont="1" applyNumberFormat="1">
      <alignment vertical="center"/>
    </xf>
    <xf borderId="0" fillId="0" fontId="6" numFmtId="0" xfId="0" applyAlignment="1" applyFont="1">
      <alignment vertical="center"/>
    </xf>
    <xf borderId="0" fillId="0" fontId="5" numFmtId="0" xfId="0" applyAlignment="1" applyFont="1">
      <alignment horizontal="center" vertical="center"/>
    </xf>
    <xf borderId="1" fillId="2" fontId="5" numFmtId="0" xfId="0" applyAlignment="1" applyBorder="1" applyFill="1" applyFont="1">
      <alignment horizontal="center" readingOrder="0" vertical="center"/>
    </xf>
    <xf borderId="1" fillId="2" fontId="5" numFmtId="0" xfId="0" applyAlignment="1" applyBorder="1" applyFont="1">
      <alignment horizontal="center" vertical="center"/>
    </xf>
    <xf borderId="0" fillId="0" fontId="7" numFmtId="0" xfId="0" applyAlignment="1" applyFont="1">
      <alignment horizontal="center" vertical="center"/>
    </xf>
    <xf borderId="0" fillId="0" fontId="5" numFmtId="164" xfId="0" applyAlignment="1" applyFont="1" applyNumberFormat="1">
      <alignment vertical="center"/>
    </xf>
    <xf borderId="1" fillId="3" fontId="8" numFmtId="0" xfId="0" applyAlignment="1" applyBorder="1" applyFill="1" applyFont="1">
      <alignment vertical="center"/>
    </xf>
    <xf borderId="1" fillId="3" fontId="1" numFmtId="0" xfId="0" applyAlignment="1" applyBorder="1" applyFont="1">
      <alignment vertical="center"/>
    </xf>
    <xf borderId="1" fillId="3" fontId="1" numFmtId="0" xfId="0" applyAlignment="1" applyBorder="1" applyFont="1">
      <alignment horizontal="left" vertical="center"/>
    </xf>
    <xf borderId="0" fillId="0" fontId="9" numFmtId="0" xfId="0" applyAlignment="1" applyFont="1">
      <alignment vertical="center"/>
    </xf>
    <xf borderId="0" fillId="0" fontId="10" numFmtId="164" xfId="0" applyAlignment="1" applyFont="1" applyNumberFormat="1">
      <alignment horizontal="left" readingOrder="0" vertical="center"/>
    </xf>
    <xf borderId="0" fillId="0" fontId="10" numFmtId="165" xfId="0" applyAlignment="1" applyFont="1" applyNumberFormat="1">
      <alignment horizontal="left" vertical="center"/>
    </xf>
    <xf borderId="1" fillId="3" fontId="1" numFmtId="166" xfId="0" applyAlignment="1" applyBorder="1" applyFont="1" applyNumberFormat="1">
      <alignment vertical="center"/>
    </xf>
    <xf borderId="0" fillId="0" fontId="11" numFmtId="0" xfId="0" applyAlignment="1" applyFont="1">
      <alignment vertical="center"/>
    </xf>
    <xf borderId="2" fillId="0" fontId="12" numFmtId="0" xfId="0" applyAlignment="1" applyBorder="1" applyFont="1">
      <alignment horizontal="center" shrinkToFit="0" vertical="center" wrapText="1"/>
    </xf>
    <xf borderId="3" fillId="0" fontId="13" numFmtId="0" xfId="0" applyBorder="1" applyFont="1"/>
    <xf borderId="3" fillId="0" fontId="12"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3" fillId="0" fontId="12" numFmtId="0" xfId="0" applyAlignment="1" applyBorder="1" applyFont="1">
      <alignment horizontal="center" vertical="center"/>
    </xf>
    <xf borderId="5" fillId="4" fontId="14" numFmtId="0" xfId="0" applyAlignment="1" applyBorder="1" applyFill="1" applyFont="1">
      <alignment horizontal="center" shrinkToFit="0" vertical="center" wrapText="1"/>
    </xf>
    <xf borderId="3" fillId="5" fontId="8" numFmtId="0" xfId="0" applyAlignment="1" applyBorder="1" applyFill="1" applyFont="1">
      <alignment horizontal="center" shrinkToFit="0" vertical="center" wrapText="1"/>
    </xf>
    <xf borderId="5" fillId="6" fontId="15" numFmtId="0" xfId="0" applyAlignment="1" applyBorder="1" applyFill="1" applyFont="1">
      <alignment horizontal="center" shrinkToFit="0" vertical="center" wrapText="1"/>
    </xf>
    <xf borderId="5" fillId="7" fontId="15" numFmtId="0" xfId="0" applyAlignment="1" applyBorder="1" applyFill="1" applyFont="1">
      <alignment horizontal="center" shrinkToFit="0" vertical="center" wrapText="1"/>
    </xf>
    <xf borderId="5" fillId="8" fontId="16" numFmtId="0" xfId="0" applyAlignment="1" applyBorder="1" applyFill="1" applyFont="1">
      <alignment horizontal="center" shrinkToFit="0" vertical="center" wrapText="1"/>
    </xf>
    <xf borderId="6" fillId="8" fontId="16" numFmtId="0" xfId="0" applyAlignment="1" applyBorder="1" applyFont="1">
      <alignment horizontal="center" shrinkToFit="0" vertical="center" wrapText="1"/>
    </xf>
    <xf borderId="0" fillId="3" fontId="17" numFmtId="0" xfId="0" applyFont="1"/>
    <xf borderId="1" fillId="3" fontId="18" numFmtId="0" xfId="0" applyAlignment="1" applyBorder="1" applyFont="1">
      <alignment vertical="center"/>
    </xf>
    <xf borderId="0" fillId="0" fontId="19" numFmtId="3" xfId="0" applyAlignment="1" applyFont="1" applyNumberFormat="1">
      <alignment vertical="center"/>
    </xf>
    <xf borderId="7" fillId="9" fontId="20" numFmtId="0" xfId="0" applyAlignment="1" applyBorder="1" applyFill="1" applyFont="1">
      <alignment horizontal="left" shrinkToFit="0" vertical="center" wrapText="1"/>
    </xf>
    <xf borderId="8" fillId="0" fontId="13" numFmtId="0" xfId="0" applyBorder="1" applyFont="1"/>
    <xf borderId="1" fillId="9" fontId="21" numFmtId="3" xfId="0" applyAlignment="1" applyBorder="1" applyFont="1" applyNumberFormat="1">
      <alignment horizontal="right"/>
    </xf>
    <xf borderId="1" fillId="9" fontId="22" numFmtId="3" xfId="0" applyAlignment="1" applyBorder="1" applyFont="1" applyNumberFormat="1">
      <alignment horizontal="right"/>
    </xf>
    <xf borderId="1" fillId="9" fontId="23" numFmtId="3" xfId="0" applyAlignment="1" applyBorder="1" applyFont="1" applyNumberFormat="1">
      <alignment horizontal="right" shrinkToFit="0" wrapText="1"/>
    </xf>
    <xf borderId="1" fillId="9" fontId="24" numFmtId="10" xfId="0" applyAlignment="1" applyBorder="1" applyFont="1" applyNumberFormat="1">
      <alignment horizontal="center" shrinkToFit="0" wrapText="1"/>
    </xf>
    <xf borderId="9" fillId="9" fontId="24" numFmtId="10" xfId="0" applyAlignment="1" applyBorder="1" applyFont="1" applyNumberFormat="1">
      <alignment horizontal="center" shrinkToFit="0" wrapText="1"/>
    </xf>
    <xf borderId="10" fillId="3" fontId="20" numFmtId="0" xfId="0" applyAlignment="1" applyBorder="1" applyFont="1">
      <alignment horizontal="left" vertical="center"/>
    </xf>
    <xf borderId="1" fillId="3" fontId="23" numFmtId="0" xfId="0" applyBorder="1" applyFont="1"/>
    <xf borderId="1" fillId="3" fontId="25" numFmtId="3" xfId="0" applyAlignment="1" applyBorder="1" applyFont="1" applyNumberFormat="1">
      <alignment horizontal="right" vertical="center"/>
    </xf>
    <xf borderId="1" fillId="3" fontId="25" numFmtId="3" xfId="0" applyAlignment="1" applyBorder="1" applyFont="1" applyNumberFormat="1">
      <alignment horizontal="right" readingOrder="0" vertical="center"/>
    </xf>
    <xf borderId="9" fillId="3" fontId="25" numFmtId="3" xfId="0" applyAlignment="1" applyBorder="1" applyFont="1" applyNumberFormat="1">
      <alignment horizontal="right" vertical="center"/>
    </xf>
    <xf borderId="8" fillId="10" fontId="18" numFmtId="0" xfId="0" applyAlignment="1" applyBorder="1" applyFill="1" applyFont="1">
      <alignment horizontal="right" vertical="center"/>
    </xf>
    <xf borderId="1" fillId="10" fontId="26" numFmtId="3" xfId="0" applyAlignment="1" applyBorder="1" applyFont="1" applyNumberFormat="1">
      <alignment vertical="center"/>
    </xf>
    <xf borderId="11" fillId="0" fontId="20" numFmtId="0" xfId="0" applyAlignment="1" applyBorder="1" applyFont="1">
      <alignment horizontal="left" shrinkToFit="0" vertical="center" wrapText="1"/>
    </xf>
    <xf borderId="0" fillId="0" fontId="21" numFmtId="3" xfId="0" applyAlignment="1" applyFont="1" applyNumberFormat="1">
      <alignment horizontal="right" vertical="center"/>
    </xf>
    <xf borderId="0" fillId="0" fontId="22" numFmtId="3" xfId="0" applyAlignment="1" applyFont="1" applyNumberFormat="1">
      <alignment horizontal="right" vertical="center"/>
    </xf>
    <xf borderId="0" fillId="0" fontId="23" numFmtId="3" xfId="0" applyAlignment="1" applyFont="1" applyNumberFormat="1">
      <alignment horizontal="right" shrinkToFit="0" wrapText="1"/>
    </xf>
    <xf borderId="0" fillId="0" fontId="24" numFmtId="10" xfId="0" applyAlignment="1" applyFont="1" applyNumberFormat="1">
      <alignment horizontal="center" shrinkToFit="0" wrapText="1"/>
    </xf>
    <xf borderId="12" fillId="0" fontId="24" numFmtId="10" xfId="0" applyAlignment="1" applyBorder="1" applyFont="1" applyNumberFormat="1">
      <alignment horizontal="center" shrinkToFit="0" wrapText="1"/>
    </xf>
    <xf borderId="0" fillId="0" fontId="20" numFmtId="0" xfId="0" applyAlignment="1" applyFont="1">
      <alignment horizontal="left" vertical="center"/>
    </xf>
    <xf borderId="0" fillId="0" fontId="23" numFmtId="10" xfId="0" applyAlignment="1" applyFont="1" applyNumberFormat="1">
      <alignment horizontal="center" shrinkToFit="0" wrapText="1"/>
    </xf>
    <xf borderId="0" fillId="0" fontId="27" numFmtId="10" xfId="0" applyAlignment="1" applyFont="1" applyNumberFormat="1">
      <alignment horizontal="right" shrinkToFit="0" wrapText="1"/>
    </xf>
    <xf borderId="0" fillId="0" fontId="28" numFmtId="0" xfId="0" applyAlignment="1" applyFont="1">
      <alignment horizontal="center" shrinkToFit="0" vertical="center" wrapText="1"/>
    </xf>
    <xf borderId="0" fillId="0" fontId="27" numFmtId="10" xfId="0" applyAlignment="1" applyFont="1" applyNumberFormat="1">
      <alignment horizontal="center" shrinkToFit="0" wrapText="1"/>
    </xf>
    <xf borderId="12" fillId="0" fontId="28" numFmtId="0" xfId="0" applyAlignment="1" applyBorder="1" applyFont="1">
      <alignment horizontal="center" shrinkToFit="0" vertical="center" wrapText="1"/>
    </xf>
    <xf borderId="0" fillId="10" fontId="18" numFmtId="0" xfId="0" applyAlignment="1" applyFont="1">
      <alignment horizontal="right" vertical="center"/>
    </xf>
    <xf borderId="0" fillId="10" fontId="18" numFmtId="10" xfId="0" applyAlignment="1" applyFont="1" applyNumberFormat="1">
      <alignment vertical="center"/>
    </xf>
    <xf borderId="13" fillId="11" fontId="1" numFmtId="0" xfId="0" applyAlignment="1" applyBorder="1" applyFill="1" applyFont="1">
      <alignment vertical="center"/>
    </xf>
    <xf borderId="14" fillId="11" fontId="20" numFmtId="0" xfId="0" applyAlignment="1" applyBorder="1" applyFont="1">
      <alignment horizontal="left" vertical="center"/>
    </xf>
    <xf borderId="1" fillId="11" fontId="14" numFmtId="3" xfId="0" applyAlignment="1" applyBorder="1" applyFont="1" applyNumberFormat="1">
      <alignment vertical="center"/>
    </xf>
    <xf borderId="1" fillId="11" fontId="23" numFmtId="3" xfId="0" applyAlignment="1" applyBorder="1" applyFont="1" applyNumberFormat="1">
      <alignment horizontal="right" vertical="center"/>
    </xf>
    <xf borderId="0" fillId="0" fontId="23" numFmtId="0" xfId="0" applyAlignment="1" applyFont="1">
      <alignment horizontal="center" shrinkToFit="0" vertical="center" wrapText="1"/>
    </xf>
    <xf borderId="1" fillId="11" fontId="20" numFmtId="10" xfId="0" applyAlignment="1" applyBorder="1" applyFont="1" applyNumberFormat="1">
      <alignment horizontal="right" vertical="center"/>
    </xf>
    <xf borderId="1" fillId="11" fontId="20" numFmtId="10" xfId="0" applyAlignment="1" applyBorder="1" applyFont="1" applyNumberFormat="1">
      <alignment horizontal="center" vertical="center"/>
    </xf>
    <xf borderId="11" fillId="0" fontId="20" numFmtId="0" xfId="0" applyAlignment="1" applyBorder="1" applyFont="1">
      <alignment horizontal="left" vertical="center"/>
    </xf>
    <xf borderId="0" fillId="0" fontId="14" numFmtId="3" xfId="0" applyAlignment="1" applyFont="1" applyNumberFormat="1">
      <alignment vertical="center"/>
    </xf>
    <xf borderId="1" fillId="11" fontId="27" numFmtId="3" xfId="0" applyAlignment="1" applyBorder="1" applyFont="1" applyNumberFormat="1">
      <alignment horizontal="right" vertical="center"/>
    </xf>
    <xf borderId="0" fillId="11" fontId="4" numFmtId="3" xfId="0" applyAlignment="1" applyFont="1" applyNumberFormat="1">
      <alignment horizontal="right" vertical="center"/>
    </xf>
    <xf borderId="0" fillId="0" fontId="23" numFmtId="0" xfId="0" applyAlignment="1" applyFont="1">
      <alignment horizontal="right" vertical="center"/>
    </xf>
    <xf borderId="0" fillId="0" fontId="29" numFmtId="0" xfId="0" applyAlignment="1" applyFont="1">
      <alignment vertical="center"/>
    </xf>
    <xf borderId="12" fillId="0" fontId="30" numFmtId="0" xfId="0" applyAlignment="1" applyBorder="1" applyFont="1">
      <alignment horizontal="left" shrinkToFit="0" vertical="center" wrapText="1"/>
    </xf>
    <xf borderId="0" fillId="0" fontId="31" numFmtId="0" xfId="0" applyAlignment="1" applyFont="1">
      <alignment horizontal="left" vertical="center"/>
    </xf>
    <xf borderId="0" fillId="10" fontId="18" numFmtId="9" xfId="0" applyAlignment="1" applyFont="1" applyNumberFormat="1">
      <alignment vertical="center"/>
    </xf>
    <xf borderId="11" fillId="0" fontId="32" numFmtId="0" xfId="0" applyAlignment="1" applyBorder="1" applyFont="1">
      <alignment horizontal="left" vertical="center"/>
    </xf>
    <xf borderId="0" fillId="0" fontId="33" numFmtId="3" xfId="0" applyAlignment="1" applyFont="1" applyNumberFormat="1">
      <alignment vertical="center"/>
    </xf>
    <xf borderId="0" fillId="11" fontId="4" numFmtId="4" xfId="0" applyAlignment="1" applyFont="1" applyNumberFormat="1">
      <alignment horizontal="right" vertical="center"/>
    </xf>
    <xf borderId="0" fillId="10" fontId="34" numFmtId="0" xfId="0" applyAlignment="1" applyFont="1">
      <alignment horizontal="right" vertical="center"/>
    </xf>
    <xf borderId="12" fillId="10" fontId="34" numFmtId="10" xfId="0" applyAlignment="1" applyBorder="1" applyFont="1" applyNumberFormat="1">
      <alignment vertical="center"/>
    </xf>
    <xf borderId="0" fillId="0" fontId="35" numFmtId="0" xfId="0" applyFont="1"/>
    <xf borderId="0" fillId="0" fontId="20" numFmtId="3" xfId="0" applyAlignment="1" applyFont="1" applyNumberFormat="1">
      <alignment horizontal="right" vertical="center"/>
    </xf>
    <xf borderId="0" fillId="0" fontId="20" numFmtId="3" xfId="0" applyAlignment="1" applyFont="1" applyNumberFormat="1">
      <alignment horizontal="left" vertical="center"/>
    </xf>
    <xf borderId="0" fillId="10" fontId="34" numFmtId="10" xfId="0" applyAlignment="1" applyFont="1" applyNumberFormat="1">
      <alignment vertical="center"/>
    </xf>
    <xf borderId="0" fillId="0" fontId="36" numFmtId="0" xfId="0" applyAlignment="1" applyFont="1">
      <alignment horizontal="right" vertical="center"/>
    </xf>
    <xf borderId="0" fillId="11" fontId="37" numFmtId="10" xfId="0" applyAlignment="1" applyFont="1" applyNumberFormat="1">
      <alignment horizontal="center" shrinkToFit="0" wrapText="1"/>
    </xf>
    <xf borderId="12" fillId="0" fontId="13" numFmtId="0" xfId="0" applyBorder="1" applyFont="1"/>
    <xf borderId="0" fillId="0" fontId="1" numFmtId="0" xfId="0" applyAlignment="1" applyFont="1">
      <alignment horizontal="center" shrinkToFit="0" vertical="center" wrapText="1"/>
    </xf>
    <xf borderId="0" fillId="0" fontId="1" numFmtId="3" xfId="0" applyAlignment="1" applyFont="1" applyNumberFormat="1">
      <alignment horizontal="center" shrinkToFit="0" vertical="center" wrapText="1"/>
    </xf>
    <xf borderId="12" fillId="0" fontId="1" numFmtId="0" xfId="0" applyAlignment="1" applyBorder="1" applyFont="1">
      <alignment horizontal="center" shrinkToFit="0" vertical="center" wrapText="1"/>
    </xf>
    <xf borderId="15" fillId="0" fontId="32" numFmtId="0" xfId="0" applyAlignment="1" applyBorder="1" applyFont="1">
      <alignment horizontal="left" vertical="center"/>
    </xf>
    <xf borderId="16" fillId="0" fontId="33" numFmtId="3" xfId="0" applyAlignment="1" applyBorder="1" applyFont="1" applyNumberFormat="1">
      <alignment vertical="center"/>
    </xf>
    <xf borderId="16" fillId="0" fontId="36" numFmtId="0" xfId="0" applyAlignment="1" applyBorder="1" applyFont="1">
      <alignment horizontal="right" vertical="center"/>
    </xf>
    <xf borderId="17" fillId="11" fontId="37" numFmtId="10" xfId="0" applyAlignment="1" applyBorder="1" applyFont="1" applyNumberFormat="1">
      <alignment horizontal="center" shrinkToFit="0" wrapText="1"/>
    </xf>
    <xf borderId="16" fillId="0" fontId="13" numFmtId="0" xfId="0" applyBorder="1" applyFont="1"/>
    <xf borderId="18" fillId="0" fontId="13" numFmtId="0" xfId="0" applyBorder="1" applyFont="1"/>
    <xf borderId="16" fillId="0" fontId="1" numFmtId="0" xfId="0" applyAlignment="1" applyBorder="1" applyFont="1">
      <alignment horizontal="center" shrinkToFit="0" vertical="center" wrapText="1"/>
    </xf>
    <xf borderId="16" fillId="0" fontId="1" numFmtId="3" xfId="0" applyAlignment="1" applyBorder="1" applyFont="1" applyNumberFormat="1">
      <alignment horizontal="center" shrinkToFit="0" vertical="center" wrapText="1"/>
    </xf>
    <xf borderId="18" fillId="0" fontId="1" numFmtId="0" xfId="0" applyAlignment="1" applyBorder="1" applyFont="1">
      <alignment horizontal="center" shrinkToFit="0" vertical="center" wrapText="1"/>
    </xf>
    <xf borderId="0" fillId="0" fontId="1" numFmtId="0" xfId="0" applyAlignment="1" applyFont="1">
      <alignment horizontal="left" shrinkToFit="0" vertical="center" wrapText="1"/>
    </xf>
    <xf borderId="0" fillId="0" fontId="38" numFmtId="0" xfId="0" applyAlignment="1" applyFont="1">
      <alignment horizontal="center" shrinkToFit="0" vertical="center" wrapText="1"/>
    </xf>
    <xf borderId="0" fillId="0" fontId="39" numFmtId="10" xfId="0" applyAlignment="1" applyFont="1" applyNumberFormat="1">
      <alignment horizontal="center" shrinkToFit="0" vertical="center" wrapText="1"/>
    </xf>
    <xf borderId="0" fillId="0" fontId="38" numFmtId="3" xfId="0" applyAlignment="1" applyFont="1" applyNumberFormat="1">
      <alignment vertical="center"/>
    </xf>
    <xf borderId="0" fillId="0" fontId="1" numFmtId="0" xfId="0" applyFont="1"/>
    <xf borderId="0" fillId="0" fontId="1" numFmtId="10" xfId="0" applyAlignment="1" applyFont="1" applyNumberFormat="1">
      <alignment vertical="center"/>
    </xf>
    <xf borderId="1" fillId="12" fontId="40" numFmtId="10" xfId="0" applyAlignment="1" applyBorder="1" applyFill="1" applyFont="1" applyNumberFormat="1">
      <alignment vertical="center"/>
    </xf>
    <xf borderId="19" fillId="13" fontId="8" numFmtId="0" xfId="0" applyAlignment="1" applyBorder="1" applyFill="1" applyFont="1">
      <alignment horizontal="center" shrinkToFit="0" vertical="center" wrapText="1"/>
    </xf>
    <xf borderId="20" fillId="14" fontId="8" numFmtId="3" xfId="0" applyAlignment="1" applyBorder="1" applyFill="1" applyFont="1" applyNumberFormat="1">
      <alignment horizontal="center" shrinkToFit="0" vertical="center" wrapText="1"/>
    </xf>
    <xf borderId="21" fillId="0" fontId="13" numFmtId="0" xfId="0" applyBorder="1" applyFont="1"/>
    <xf borderId="22" fillId="15" fontId="8" numFmtId="0" xfId="0" applyAlignment="1" applyBorder="1" applyFill="1" applyFont="1">
      <alignment horizontal="center" shrinkToFit="0" vertical="center" wrapText="1"/>
    </xf>
    <xf borderId="23" fillId="15" fontId="8" numFmtId="0" xfId="0" applyAlignment="1" applyBorder="1" applyFont="1">
      <alignment horizontal="center" shrinkToFit="0" vertical="center" wrapText="1"/>
    </xf>
    <xf borderId="20" fillId="16" fontId="8" numFmtId="0" xfId="0" applyAlignment="1" applyBorder="1" applyFill="1" applyFont="1">
      <alignment horizontal="center" shrinkToFit="0" vertical="center" wrapText="1"/>
    </xf>
    <xf borderId="20" fillId="17" fontId="8" numFmtId="0" xfId="0" applyAlignment="1" applyBorder="1" applyFill="1" applyFont="1">
      <alignment horizontal="center" shrinkToFit="0" vertical="center" wrapText="1"/>
    </xf>
    <xf borderId="24" fillId="13" fontId="8" numFmtId="0" xfId="0" applyAlignment="1" applyBorder="1" applyFont="1">
      <alignment horizontal="center" shrinkToFit="0" vertical="center" wrapText="1"/>
    </xf>
    <xf borderId="25" fillId="13" fontId="8" numFmtId="0" xfId="0" applyAlignment="1" applyBorder="1" applyFont="1">
      <alignment horizontal="center" shrinkToFit="0" vertical="center" wrapText="1"/>
    </xf>
    <xf borderId="26" fillId="14" fontId="8" numFmtId="3" xfId="0" applyAlignment="1" applyBorder="1" applyFont="1" applyNumberFormat="1">
      <alignment shrinkToFit="0" vertical="center" wrapText="1"/>
    </xf>
    <xf borderId="26" fillId="14" fontId="8" numFmtId="0" xfId="0" applyAlignment="1" applyBorder="1" applyFont="1">
      <alignment horizontal="center" shrinkToFit="0" vertical="center" wrapText="1"/>
    </xf>
    <xf borderId="26" fillId="15" fontId="8" numFmtId="3" xfId="0" applyAlignment="1" applyBorder="1" applyFont="1" applyNumberFormat="1">
      <alignment horizontal="center" shrinkToFit="0" vertical="center" wrapText="1"/>
    </xf>
    <xf borderId="26" fillId="2" fontId="8" numFmtId="3" xfId="0" applyAlignment="1" applyBorder="1" applyFont="1" applyNumberFormat="1">
      <alignment shrinkToFit="0" vertical="center" wrapText="1"/>
    </xf>
    <xf borderId="26" fillId="15" fontId="8" numFmtId="0" xfId="0" applyAlignment="1" applyBorder="1" applyFont="1">
      <alignment horizontal="center" shrinkToFit="0" vertical="center" wrapText="1"/>
    </xf>
    <xf borderId="26" fillId="16" fontId="8" numFmtId="0" xfId="0" applyAlignment="1" applyBorder="1" applyFont="1">
      <alignment shrinkToFit="0" vertical="center" wrapText="1"/>
    </xf>
    <xf borderId="26" fillId="16" fontId="8" numFmtId="0" xfId="0" applyAlignment="1" applyBorder="1" applyFont="1">
      <alignment horizontal="center" shrinkToFit="0" vertical="center" wrapText="1"/>
    </xf>
    <xf borderId="26" fillId="17" fontId="8" numFmtId="0" xfId="0" applyAlignment="1" applyBorder="1" applyFont="1">
      <alignment shrinkToFit="0" vertical="center" wrapText="1"/>
    </xf>
    <xf borderId="26" fillId="17" fontId="8" numFmtId="0" xfId="0" applyAlignment="1" applyBorder="1" applyFont="1">
      <alignment horizontal="center" shrinkToFit="0" vertical="center" wrapText="1"/>
    </xf>
    <xf borderId="27" fillId="0" fontId="13" numFmtId="0" xfId="0" applyBorder="1" applyFont="1"/>
    <xf borderId="28" fillId="12" fontId="8" numFmtId="0" xfId="0" applyAlignment="1" applyBorder="1" applyFont="1">
      <alignment vertical="center"/>
    </xf>
    <xf borderId="29" fillId="12" fontId="8" numFmtId="3" xfId="0" applyAlignment="1" applyBorder="1" applyFont="1" applyNumberFormat="1">
      <alignment horizontal="center" vertical="center"/>
    </xf>
    <xf borderId="29" fillId="12" fontId="40" numFmtId="167" xfId="0" applyAlignment="1" applyBorder="1" applyFont="1" applyNumberFormat="1">
      <alignment horizontal="center" vertical="center"/>
    </xf>
    <xf borderId="30" fillId="18" fontId="1" numFmtId="168" xfId="0" applyAlignment="1" applyBorder="1" applyFill="1" applyFont="1" applyNumberFormat="1">
      <alignment horizontal="left" readingOrder="0" vertical="center"/>
    </xf>
    <xf borderId="31" fillId="0" fontId="1" numFmtId="3" xfId="0" applyAlignment="1" applyBorder="1" applyFont="1" applyNumberFormat="1">
      <alignment vertical="center"/>
    </xf>
    <xf borderId="31" fillId="0" fontId="1" numFmtId="3" xfId="0" applyAlignment="1" applyBorder="1" applyFont="1" applyNumberFormat="1">
      <alignment horizontal="right" vertical="center"/>
    </xf>
    <xf borderId="32" fillId="0" fontId="1" numFmtId="3" xfId="0" applyAlignment="1" applyBorder="1" applyFont="1" applyNumberFormat="1">
      <alignment vertical="center"/>
    </xf>
    <xf borderId="32" fillId="0" fontId="8" numFmtId="0" xfId="0" applyAlignment="1" applyBorder="1" applyFont="1">
      <alignment horizontal="center" vertical="center"/>
    </xf>
    <xf borderId="32" fillId="0" fontId="28" numFmtId="3" xfId="0" applyAlignment="1" applyBorder="1" applyFont="1" applyNumberFormat="1">
      <alignment horizontal="center" vertical="center"/>
    </xf>
    <xf borderId="32" fillId="0" fontId="28" numFmtId="9" xfId="0" applyAlignment="1" applyBorder="1" applyFont="1" applyNumberFormat="1">
      <alignment horizontal="center" vertical="center"/>
    </xf>
    <xf borderId="32" fillId="0" fontId="39" numFmtId="3" xfId="0" applyAlignment="1" applyBorder="1" applyFont="1" applyNumberFormat="1">
      <alignment horizontal="center" vertical="center"/>
    </xf>
    <xf borderId="32" fillId="0" fontId="39" numFmtId="0" xfId="0" applyAlignment="1" applyBorder="1" applyFont="1">
      <alignment horizontal="center" vertical="center"/>
    </xf>
    <xf borderId="32" fillId="0" fontId="39" numFmtId="3" xfId="0" applyAlignment="1" applyBorder="1" applyFont="1" applyNumberFormat="1">
      <alignment vertical="center"/>
    </xf>
    <xf borderId="32" fillId="0" fontId="1" numFmtId="3" xfId="0" applyAlignment="1" applyBorder="1" applyFont="1" applyNumberFormat="1">
      <alignment horizontal="center" vertical="center"/>
    </xf>
    <xf borderId="33" fillId="0" fontId="1" numFmtId="3" xfId="0" applyAlignment="1" applyBorder="1" applyFont="1" applyNumberFormat="1">
      <alignment vertical="center"/>
    </xf>
    <xf borderId="30" fillId="0" fontId="1" numFmtId="168" xfId="0" applyAlignment="1" applyBorder="1" applyFont="1" applyNumberFormat="1">
      <alignment horizontal="left" vertical="center"/>
    </xf>
    <xf borderId="0" fillId="0" fontId="1" numFmtId="3" xfId="0" applyAlignment="1" applyFont="1" applyNumberFormat="1">
      <alignment horizontal="center" vertical="center"/>
    </xf>
    <xf borderId="0" fillId="0" fontId="1" numFmtId="4" xfId="0" applyAlignment="1" applyFont="1" applyNumberFormat="1">
      <alignment vertical="center"/>
    </xf>
    <xf borderId="0" fillId="0" fontId="41" numFmtId="0" xfId="0" applyFont="1"/>
    <xf borderId="1" fillId="12" fontId="41" numFmtId="0" xfId="0" applyAlignment="1" applyBorder="1" applyFont="1">
      <alignment horizontal="center"/>
    </xf>
    <xf borderId="0" fillId="0" fontId="41" numFmtId="0" xfId="0" applyAlignment="1" applyFont="1">
      <alignment horizontal="right"/>
    </xf>
    <xf borderId="0" fillId="0" fontId="41" numFmtId="169" xfId="0" applyAlignment="1" applyFont="1" applyNumberFormat="1">
      <alignment horizontal="right"/>
    </xf>
    <xf borderId="0" fillId="0" fontId="41" numFmtId="3" xfId="0" applyFont="1" applyNumberFormat="1"/>
    <xf borderId="1" fillId="12" fontId="41" numFmtId="0" xfId="0" applyAlignment="1" applyBorder="1" applyFont="1">
      <alignment horizontal="center" shrinkToFit="0" wrapText="1"/>
    </xf>
    <xf borderId="0" fillId="0" fontId="41" numFmtId="170" xfId="0" applyFont="1" applyNumberFormat="1"/>
    <xf borderId="1" fillId="12" fontId="1" numFmtId="0" xfId="0" applyAlignment="1" applyBorder="1" applyFont="1">
      <alignment horizontal="center"/>
    </xf>
    <xf borderId="0" fillId="0" fontId="41" numFmtId="169" xfId="0" applyFont="1" applyNumberFormat="1"/>
    <xf borderId="0" fillId="0" fontId="41" numFmtId="0" xfId="0" applyAlignment="1" applyFont="1">
      <alignment horizontal="left" shrinkToFit="0" wrapText="1"/>
    </xf>
    <xf borderId="0" fillId="0" fontId="41" numFmtId="171" xfId="0" applyAlignment="1" applyFont="1" applyNumberFormat="1">
      <alignment horizontal="right"/>
    </xf>
    <xf borderId="0" fillId="0" fontId="41" numFmtId="172" xfId="0" applyAlignment="1" applyFont="1" applyNumberFormat="1">
      <alignment horizontal="right"/>
    </xf>
    <xf borderId="0" fillId="0" fontId="41" numFmtId="170" xfId="0" applyAlignment="1" applyFont="1" applyNumberFormat="1">
      <alignment horizontal="right"/>
    </xf>
    <xf borderId="0" fillId="0" fontId="41" numFmtId="173" xfId="0" applyAlignment="1" applyFont="1" applyNumberFormat="1">
      <alignment horizontal="right"/>
    </xf>
    <xf borderId="0" fillId="0" fontId="41" numFmtId="173" xfId="0" applyFont="1" applyNumberFormat="1"/>
    <xf borderId="0" fillId="0" fontId="41" numFmtId="0" xfId="0" applyAlignment="1" applyFont="1">
      <alignment horizontal="center"/>
    </xf>
    <xf borderId="0" fillId="0" fontId="41" numFmtId="174" xfId="0" applyFont="1" applyNumberFormat="1"/>
    <xf borderId="0" fillId="19" fontId="17" numFmtId="0" xfId="0" applyFill="1" applyFont="1"/>
    <xf borderId="1" fillId="19" fontId="1" numFmtId="0" xfId="0" applyAlignment="1" applyBorder="1" applyFont="1">
      <alignment horizontal="center"/>
    </xf>
    <xf borderId="0" fillId="0" fontId="41" numFmtId="0" xfId="0" applyAlignment="1" applyFont="1">
      <alignment shrinkToFit="0" vertical="bottom" wrapText="0"/>
    </xf>
    <xf borderId="0" fillId="0" fontId="41" numFmtId="0" xfId="0" applyAlignment="1" applyFont="1">
      <alignment horizontal="right" shrinkToFit="0" vertical="bottom" wrapText="0"/>
    </xf>
    <xf borderId="0" fillId="0" fontId="41" numFmtId="175" xfId="0" applyAlignment="1" applyFont="1" applyNumberFormat="1">
      <alignment horizontal="right" shrinkToFit="0" vertical="bottom" wrapText="0"/>
    </xf>
    <xf borderId="0" fillId="0" fontId="41" numFmtId="175" xfId="0" applyAlignment="1" applyFont="1" applyNumberFormat="1">
      <alignment shrinkToFit="0" vertical="bottom" wrapText="0"/>
    </xf>
    <xf borderId="0" fillId="0" fontId="41" numFmtId="176" xfId="0" applyAlignment="1" applyFont="1" applyNumberFormat="1">
      <alignment shrinkToFit="0" vertical="bottom" wrapText="0"/>
    </xf>
    <xf borderId="0" fillId="0" fontId="41" numFmtId="177" xfId="0" applyAlignment="1" applyFont="1" applyNumberFormat="1">
      <alignment horizontal="right" shrinkToFit="0" vertical="bottom" wrapText="0"/>
    </xf>
    <xf borderId="0" fillId="0" fontId="41" numFmtId="178" xfId="0" applyAlignment="1" applyFont="1" applyNumberFormat="1">
      <alignment horizontal="right" shrinkToFit="0" vertical="bottom" wrapText="0"/>
    </xf>
    <xf borderId="0" fillId="0" fontId="41" numFmtId="178" xfId="0" applyAlignment="1" applyFont="1" applyNumberFormat="1">
      <alignment shrinkToFit="0" vertical="bottom" wrapText="0"/>
    </xf>
    <xf borderId="0" fillId="0" fontId="41" numFmtId="179" xfId="0" applyAlignment="1" applyFont="1" applyNumberFormat="1">
      <alignment horizontal="right" shrinkToFit="0" vertical="bottom" wrapText="0"/>
    </xf>
    <xf borderId="0" fillId="0" fontId="41" numFmtId="176" xfId="0" applyAlignment="1" applyFont="1" applyNumberFormat="1">
      <alignment horizontal="right" shrinkToFit="0" vertical="bottom" wrapText="0"/>
    </xf>
    <xf borderId="0" fillId="0" fontId="41" numFmtId="0" xfId="0" applyAlignment="1" applyFont="1">
      <alignment horizontal="center" shrinkToFit="0" vertical="bottom" wrapText="0"/>
    </xf>
    <xf borderId="0" fillId="0" fontId="41" numFmtId="0" xfId="0" applyAlignment="1" applyFont="1">
      <alignment readingOrder="0" shrinkToFit="0" wrapText="0"/>
    </xf>
    <xf borderId="0" fillId="0" fontId="41" numFmtId="0" xfId="0" applyAlignment="1" applyFont="1">
      <alignment shrinkToFit="0" wrapText="0"/>
    </xf>
    <xf borderId="0" fillId="0" fontId="41" numFmtId="0" xfId="0" applyAlignment="1" applyFont="1">
      <alignment readingOrder="0" shrinkToFit="0" vertical="bottom" wrapText="0"/>
    </xf>
    <xf borderId="0" fillId="0" fontId="41" numFmtId="0" xfId="0" applyAlignment="1" applyFont="1">
      <alignment shrinkToFit="0" vertical="bottom" wrapText="0"/>
    </xf>
    <xf borderId="0" fillId="0" fontId="41" numFmtId="0" xfId="0" applyAlignment="1" applyFont="1">
      <alignment shrinkToFit="0" vertical="bottom" wrapText="0"/>
    </xf>
    <xf borderId="0" fillId="0" fontId="41" numFmtId="0" xfId="0" applyAlignment="1" applyFont="1">
      <alignment horizontal="right" readingOrder="0" shrinkToFit="0" wrapText="0"/>
    </xf>
    <xf borderId="0" fillId="0" fontId="41" numFmtId="175" xfId="0" applyAlignment="1" applyFont="1" applyNumberFormat="1">
      <alignment horizontal="right" readingOrder="0" shrinkToFit="0" wrapText="0"/>
    </xf>
    <xf borderId="0" fillId="0" fontId="41" numFmtId="175" xfId="0" applyAlignment="1" applyFont="1" applyNumberFormat="1">
      <alignment shrinkToFit="0" vertical="bottom" wrapText="0"/>
    </xf>
    <xf borderId="0" fillId="0" fontId="41" numFmtId="176" xfId="0" applyAlignment="1" applyFont="1" applyNumberFormat="1">
      <alignment horizontal="right" readingOrder="0" shrinkToFit="0" wrapText="0"/>
    </xf>
    <xf borderId="0" fillId="0" fontId="41" numFmtId="177" xfId="0" applyAlignment="1" applyFont="1" applyNumberFormat="1">
      <alignment horizontal="right" readingOrder="0" shrinkToFit="0" wrapText="0"/>
    </xf>
    <xf borderId="0" fillId="0" fontId="41" numFmtId="178" xfId="0" applyAlignment="1" applyFont="1" applyNumberFormat="1">
      <alignment horizontal="right" readingOrder="0" shrinkToFit="0" wrapText="0"/>
    </xf>
    <xf borderId="0" fillId="0" fontId="41" numFmtId="179" xfId="0" applyAlignment="1" applyFont="1" applyNumberFormat="1">
      <alignment horizontal="right" readingOrder="0" shrinkToFit="0" wrapText="0"/>
    </xf>
    <xf borderId="34" fillId="20" fontId="8" numFmtId="0" xfId="0" applyAlignment="1" applyBorder="1" applyFill="1" applyFont="1">
      <alignment horizontal="center" shrinkToFit="0" wrapText="1"/>
    </xf>
    <xf borderId="35" fillId="20" fontId="8" numFmtId="0" xfId="0" applyAlignment="1" applyBorder="1" applyFont="1">
      <alignment horizontal="center" shrinkToFit="0" wrapText="1"/>
    </xf>
    <xf borderId="1" fillId="12" fontId="1" numFmtId="0" xfId="0" applyBorder="1" applyFont="1"/>
    <xf borderId="0" fillId="0" fontId="40" numFmtId="0" xfId="0" applyFont="1"/>
    <xf borderId="0" fillId="0" fontId="40" numFmtId="3" xfId="0" applyAlignment="1" applyFont="1" applyNumberFormat="1">
      <alignment horizontal="right"/>
    </xf>
    <xf borderId="0" fillId="0" fontId="40" numFmtId="0" xfId="0" applyAlignment="1" applyFont="1">
      <alignment horizontal="right"/>
    </xf>
    <xf borderId="0" fillId="0" fontId="40" numFmtId="4" xfId="0" applyAlignment="1" applyFont="1" applyNumberFormat="1">
      <alignment horizontal="right"/>
    </xf>
    <xf borderId="0" fillId="0" fontId="40" numFmtId="10" xfId="0" applyAlignment="1" applyFont="1" applyNumberFormat="1">
      <alignment horizontal="right"/>
    </xf>
    <xf borderId="0" fillId="0" fontId="1" numFmtId="180" xfId="0" applyFont="1" applyNumberFormat="1"/>
    <xf borderId="0" fillId="0" fontId="1" numFmtId="168" xfId="0" applyAlignment="1" applyFont="1" applyNumberFormat="1">
      <alignment horizontal="right"/>
    </xf>
    <xf borderId="0" fillId="0" fontId="1" numFmtId="3" xfId="0" applyAlignment="1" applyFont="1" applyNumberFormat="1">
      <alignment horizontal="right"/>
    </xf>
    <xf borderId="0" fillId="0" fontId="1" numFmtId="0" xfId="0" applyAlignment="1" applyFont="1">
      <alignment horizontal="right"/>
    </xf>
    <xf borderId="0" fillId="0" fontId="1" numFmtId="4" xfId="0" applyAlignment="1" applyFont="1" applyNumberFormat="1">
      <alignment horizontal="right"/>
    </xf>
    <xf borderId="0" fillId="0" fontId="1" numFmtId="10" xfId="0" applyAlignment="1" applyFont="1" applyNumberFormat="1">
      <alignment horizontal="right"/>
    </xf>
    <xf borderId="1" fillId="3" fontId="8" numFmtId="0" xfId="0" applyAlignment="1" applyBorder="1" applyFont="1">
      <alignment horizontal="center" shrinkToFit="0" wrapText="1"/>
    </xf>
    <xf borderId="1" fillId="3" fontId="1" numFmtId="0" xfId="0" applyAlignment="1" applyBorder="1" applyFont="1">
      <alignment horizontal="center" shrinkToFit="0" wrapText="1"/>
    </xf>
    <xf borderId="0" fillId="0" fontId="1" numFmtId="0" xfId="0" applyAlignment="1" applyFont="1">
      <alignment horizontal="center" shrinkToFit="0" wrapText="1"/>
    </xf>
    <xf borderId="0" fillId="0" fontId="40" numFmtId="3" xfId="0" applyFont="1" applyNumberFormat="1"/>
    <xf borderId="0" fillId="0" fontId="40" numFmtId="10" xfId="0" applyFont="1" applyNumberFormat="1"/>
    <xf borderId="1" fillId="12" fontId="40" numFmtId="0" xfId="0" applyBorder="1" applyFont="1"/>
    <xf borderId="0" fillId="0" fontId="40" numFmtId="0" xfId="0" applyAlignment="1" applyFont="1">
      <alignment horizontal="center"/>
    </xf>
    <xf borderId="0" fillId="0" fontId="42" numFmtId="180" xfId="0" applyFont="1" applyNumberFormat="1"/>
    <xf borderId="0" fillId="0" fontId="42" numFmtId="0" xfId="0" applyFont="1"/>
    <xf borderId="0" fillId="0" fontId="1" numFmtId="0" xfId="0" applyAlignment="1" applyFont="1">
      <alignment horizontal="center"/>
    </xf>
    <xf borderId="0" fillId="0" fontId="1" numFmtId="168" xfId="0" applyFont="1" applyNumberFormat="1"/>
    <xf borderId="0" fillId="0" fontId="1" numFmtId="3" xfId="0" applyFont="1" applyNumberFormat="1"/>
    <xf borderId="0" fillId="0" fontId="1" numFmtId="4" xfId="0" applyFont="1" applyNumberFormat="1"/>
    <xf borderId="0" fillId="0" fontId="1" numFmtId="10" xfId="0" applyFont="1" applyNumberFormat="1"/>
    <xf borderId="0" fillId="0" fontId="1" numFmtId="181" xfId="0" applyFont="1" applyNumberFormat="1"/>
    <xf borderId="1" fillId="21" fontId="1" numFmtId="0" xfId="0" applyBorder="1" applyFill="1" applyFont="1"/>
    <xf borderId="1" fillId="21" fontId="1" numFmtId="3" xfId="0" applyBorder="1" applyFont="1" applyNumberFormat="1"/>
    <xf borderId="0" fillId="0" fontId="17" numFmtId="4" xfId="0" applyAlignment="1" applyFont="1" applyNumberFormat="1">
      <alignment shrinkToFit="0" vertical="bottom" wrapText="0"/>
    </xf>
    <xf borderId="0" fillId="0" fontId="17" numFmtId="0" xfId="0" applyAlignment="1" applyFont="1">
      <alignment shrinkToFit="0" vertical="bottom" wrapText="0"/>
    </xf>
    <xf borderId="0" fillId="0" fontId="17" numFmtId="10" xfId="0" applyAlignment="1" applyFont="1" applyNumberFormat="1">
      <alignment shrinkToFit="0" vertical="bottom" wrapText="0"/>
    </xf>
    <xf borderId="0" fillId="0" fontId="17" numFmtId="3" xfId="0" applyAlignment="1" applyFont="1" applyNumberFormat="1">
      <alignment shrinkToFit="0" vertical="bottom" wrapText="0"/>
    </xf>
    <xf borderId="0" fillId="0" fontId="1" numFmtId="168" xfId="0" applyAlignment="1" applyFont="1" applyNumberFormat="1">
      <alignment readingOrder="0"/>
    </xf>
    <xf borderId="0" fillId="0" fontId="35" numFmtId="4" xfId="0" applyAlignment="1" applyFont="1" applyNumberFormat="1">
      <alignment readingOrder="0" shrinkToFit="0" vertical="bottom" wrapText="0"/>
    </xf>
    <xf borderId="0" fillId="0" fontId="35" numFmtId="0" xfId="0" applyAlignment="1" applyFont="1">
      <alignment readingOrder="0" shrinkToFit="0" vertical="bottom" wrapText="0"/>
    </xf>
    <xf borderId="0" fillId="0" fontId="35" numFmtId="10" xfId="0" applyAlignment="1" applyFont="1" applyNumberFormat="1">
      <alignment readingOrder="0" shrinkToFit="0" vertical="bottom" wrapText="0"/>
    </xf>
    <xf borderId="0" fillId="0" fontId="35" numFmtId="3" xfId="0" applyAlignment="1" applyFont="1" applyNumberFormat="1">
      <alignment readingOrder="0" shrinkToFit="0" vertical="bottom" wrapText="0"/>
    </xf>
    <xf borderId="0" fillId="0" fontId="5" numFmtId="10" xfId="0" applyAlignment="1" applyFont="1" applyNumberFormat="1">
      <alignment horizontal="center" vertical="center"/>
    </xf>
    <xf borderId="0" fillId="0" fontId="10" numFmtId="164" xfId="0" applyAlignment="1" applyFont="1" applyNumberFormat="1">
      <alignment horizontal="left" vertical="center"/>
    </xf>
    <xf borderId="0" fillId="0" fontId="10" numFmtId="182" xfId="0" applyAlignment="1" applyFont="1" applyNumberFormat="1">
      <alignment horizontal="left" vertical="center"/>
    </xf>
    <xf borderId="36" fillId="22" fontId="15" numFmtId="0" xfId="0" applyAlignment="1" applyBorder="1" applyFill="1" applyFont="1">
      <alignment vertical="center"/>
    </xf>
    <xf borderId="36" fillId="0" fontId="1" numFmtId="0" xfId="0" applyAlignment="1" applyBorder="1" applyFont="1">
      <alignment vertical="center"/>
    </xf>
    <xf borderId="36" fillId="0" fontId="1" numFmtId="3" xfId="0" applyAlignment="1" applyBorder="1" applyFont="1" applyNumberFormat="1">
      <alignment vertical="center"/>
    </xf>
    <xf borderId="36" fillId="0" fontId="1" numFmtId="10" xfId="0" applyAlignment="1" applyBorder="1" applyFont="1" applyNumberFormat="1">
      <alignment vertical="center"/>
    </xf>
    <xf borderId="36" fillId="12" fontId="8" numFmtId="0" xfId="0" applyAlignment="1" applyBorder="1" applyFont="1">
      <alignment vertical="center"/>
    </xf>
    <xf borderId="36" fillId="12" fontId="8" numFmtId="3" xfId="0" applyAlignment="1" applyBorder="1" applyFont="1" applyNumberFormat="1">
      <alignment vertical="center"/>
    </xf>
    <xf borderId="36" fillId="12" fontId="8" numFmtId="10" xfId="0" applyAlignment="1" applyBorder="1" applyFont="1" applyNumberFormat="1">
      <alignment vertical="center"/>
    </xf>
    <xf borderId="1" fillId="3" fontId="1" numFmtId="0" xfId="0" applyBorder="1" applyFont="1"/>
    <xf borderId="0" fillId="0" fontId="1" numFmtId="3" xfId="0" applyAlignment="1" applyFont="1" applyNumberFormat="1">
      <alignment horizontal="center"/>
    </xf>
    <xf borderId="0" fillId="0" fontId="38" numFmtId="3" xfId="0" applyAlignment="1" applyFont="1" applyNumberFormat="1">
      <alignment horizontal="center" vertical="center"/>
    </xf>
    <xf borderId="1" fillId="3" fontId="8" numFmtId="0" xfId="0" applyBorder="1" applyFont="1"/>
    <xf borderId="1" fillId="12" fontId="8" numFmtId="0" xfId="0" applyBorder="1" applyFont="1"/>
    <xf borderId="1" fillId="12" fontId="21" numFmtId="3" xfId="0" applyAlignment="1" applyBorder="1" applyFont="1" applyNumberFormat="1">
      <alignment horizontal="right"/>
    </xf>
    <xf borderId="1" fillId="12" fontId="1" numFmtId="168" xfId="0" applyBorder="1" applyFont="1" applyNumberFormat="1"/>
    <xf borderId="1" fillId="12" fontId="1" numFmtId="3" xfId="0" applyBorder="1" applyFont="1" applyNumberFormat="1"/>
    <xf borderId="1" fillId="12" fontId="1" numFmtId="3" xfId="0" applyAlignment="1" applyBorder="1" applyFont="1" applyNumberFormat="1">
      <alignment horizontal="center"/>
    </xf>
    <xf borderId="1" fillId="3" fontId="1" numFmtId="3" xfId="0" applyBorder="1" applyFont="1" applyNumberFormat="1"/>
    <xf borderId="0" fillId="0" fontId="17" numFmtId="3" xfId="0" applyFont="1" applyNumberFormat="1"/>
    <xf borderId="1" fillId="12" fontId="8" numFmtId="0" xfId="0" applyAlignment="1" applyBorder="1" applyFont="1">
      <alignment readingOrder="0"/>
    </xf>
    <xf borderId="1" fillId="12" fontId="21" numFmtId="3" xfId="0" applyAlignment="1" applyBorder="1" applyFont="1" applyNumberFormat="1">
      <alignment horizontal="right" readingOrder="0"/>
    </xf>
    <xf borderId="0" fillId="0" fontId="1" numFmtId="0" xfId="0" applyAlignment="1" applyFont="1">
      <alignment readingOrder="0"/>
    </xf>
    <xf borderId="2" fillId="0" fontId="43" numFmtId="0" xfId="0" applyAlignment="1" applyBorder="1" applyFont="1">
      <alignment horizontal="center" shrinkToFit="0" vertical="center" wrapText="1"/>
    </xf>
    <xf borderId="3" fillId="0" fontId="43"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7" fillId="0" fontId="8"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1" fillId="23" fontId="1" numFmtId="0" xfId="0" applyAlignment="1" applyBorder="1" applyFill="1" applyFont="1">
      <alignment vertical="center"/>
    </xf>
    <xf borderId="1" fillId="23" fontId="8" numFmtId="0" xfId="0" applyAlignment="1" applyBorder="1" applyFont="1">
      <alignment vertical="center"/>
    </xf>
    <xf borderId="11" fillId="0" fontId="25" numFmtId="0" xfId="0" applyAlignment="1" applyBorder="1" applyFont="1">
      <alignment horizontal="left" shrinkToFit="0" vertical="center" wrapText="1"/>
    </xf>
    <xf borderId="0" fillId="0" fontId="10" numFmtId="3" xfId="0" applyFont="1" applyNumberFormat="1"/>
    <xf borderId="0" fillId="0" fontId="44" numFmtId="3" xfId="0" applyAlignment="1" applyFont="1" applyNumberFormat="1">
      <alignment horizontal="center" shrinkToFit="0" wrapText="1"/>
    </xf>
    <xf borderId="0" fillId="0" fontId="45" numFmtId="10" xfId="0" applyAlignment="1" applyFont="1" applyNumberFormat="1">
      <alignment horizontal="center" shrinkToFit="0" wrapText="1"/>
    </xf>
    <xf borderId="11" fillId="0" fontId="46" numFmtId="0" xfId="0" applyAlignment="1" applyBorder="1" applyFont="1">
      <alignment horizontal="left" shrinkToFit="0" vertical="center" wrapText="1"/>
    </xf>
    <xf borderId="0" fillId="0" fontId="11" numFmtId="0" xfId="0" applyAlignment="1" applyFont="1">
      <alignment horizontal="center" shrinkToFit="0" vertical="center" wrapText="1"/>
    </xf>
    <xf borderId="38" fillId="0" fontId="11" numFmtId="0" xfId="0" applyAlignment="1" applyBorder="1" applyFont="1">
      <alignment horizontal="center" shrinkToFit="0" vertical="center" wrapText="1"/>
    </xf>
    <xf borderId="12" fillId="0" fontId="11" numFmtId="0" xfId="0" applyAlignment="1" applyBorder="1" applyFont="1">
      <alignment horizontal="center" shrinkToFit="0" vertical="center" wrapText="1"/>
    </xf>
    <xf borderId="1" fillId="23" fontId="47" numFmtId="0" xfId="0" applyAlignment="1" applyBorder="1" applyFont="1">
      <alignment horizontal="left" vertical="center"/>
    </xf>
    <xf borderId="1" fillId="23" fontId="48" numFmtId="169" xfId="0" applyAlignment="1" applyBorder="1" applyFont="1" applyNumberFormat="1">
      <alignment horizontal="left" vertical="center"/>
    </xf>
    <xf borderId="0" fillId="0" fontId="10" numFmtId="3" xfId="0" applyAlignment="1" applyFont="1" applyNumberFormat="1">
      <alignment vertical="center"/>
    </xf>
    <xf borderId="38" fillId="0" fontId="38" numFmtId="0" xfId="0" applyAlignment="1" applyBorder="1" applyFont="1">
      <alignment horizontal="center" shrinkToFit="0" vertical="center" wrapText="1"/>
    </xf>
    <xf borderId="12" fillId="0" fontId="38" numFmtId="0" xfId="0" applyAlignment="1" applyBorder="1" applyFont="1">
      <alignment horizontal="center" shrinkToFit="0" vertical="center" wrapText="1"/>
    </xf>
    <xf borderId="11" fillId="0" fontId="25" numFmtId="0" xfId="0" applyAlignment="1" applyBorder="1" applyFont="1">
      <alignment horizontal="left" vertical="center"/>
    </xf>
    <xf borderId="0" fillId="0" fontId="10" numFmtId="0" xfId="0" applyAlignment="1" applyFont="1">
      <alignment vertical="center"/>
    </xf>
    <xf borderId="0" fillId="0" fontId="44" numFmtId="0" xfId="0" applyAlignment="1" applyFont="1">
      <alignment vertical="center"/>
    </xf>
    <xf borderId="0" fillId="0" fontId="36" numFmtId="0" xfId="0" applyAlignment="1" applyFont="1">
      <alignment vertical="center"/>
    </xf>
    <xf borderId="11" fillId="0" fontId="46" numFmtId="0" xfId="0" applyAlignment="1" applyBorder="1" applyFont="1">
      <alignment horizontal="left" vertical="center"/>
    </xf>
    <xf borderId="1" fillId="12" fontId="10" numFmtId="3" xfId="0" applyAlignment="1" applyBorder="1" applyFont="1" applyNumberFormat="1">
      <alignment vertical="center"/>
    </xf>
    <xf borderId="11" fillId="0" fontId="49" numFmtId="0" xfId="0" applyAlignment="1" applyBorder="1" applyFont="1">
      <alignment horizontal="left" vertical="center"/>
    </xf>
    <xf borderId="38" fillId="0" fontId="1" numFmtId="0" xfId="0" applyAlignment="1" applyBorder="1" applyFont="1">
      <alignment horizontal="center" shrinkToFit="0" vertical="center" wrapText="1"/>
    </xf>
    <xf borderId="0" fillId="0" fontId="36" numFmtId="10" xfId="0" applyAlignment="1" applyFont="1" applyNumberFormat="1">
      <alignment vertical="center"/>
    </xf>
    <xf borderId="16" fillId="0" fontId="36" numFmtId="0" xfId="0" applyAlignment="1" applyBorder="1" applyFont="1">
      <alignment vertical="center"/>
    </xf>
    <xf borderId="16" fillId="0" fontId="36" numFmtId="10" xfId="0" applyAlignment="1" applyBorder="1" applyFont="1" applyNumberFormat="1">
      <alignment vertical="center"/>
    </xf>
    <xf borderId="16" fillId="0" fontId="44" numFmtId="0" xfId="0" applyAlignment="1" applyBorder="1" applyFont="1">
      <alignment vertical="center"/>
    </xf>
    <xf borderId="17" fillId="12" fontId="37" numFmtId="10" xfId="0" applyAlignment="1" applyBorder="1" applyFont="1" applyNumberFormat="1">
      <alignment horizontal="center" shrinkToFit="0" wrapText="1"/>
    </xf>
    <xf borderId="15" fillId="0" fontId="49" numFmtId="0" xfId="0" applyAlignment="1" applyBorder="1" applyFont="1">
      <alignment horizontal="left" vertical="center"/>
    </xf>
    <xf borderId="39" fillId="0" fontId="1" numFmtId="0" xfId="0" applyAlignment="1" applyBorder="1" applyFont="1">
      <alignment horizontal="center" shrinkToFit="0" vertical="center" wrapText="1"/>
    </xf>
    <xf borderId="0" fillId="0" fontId="1" numFmtId="0" xfId="0" applyAlignment="1" applyFont="1">
      <alignment horizontal="center" vertical="center"/>
    </xf>
    <xf borderId="0" fillId="0" fontId="9" numFmtId="0" xfId="0" applyFont="1"/>
    <xf borderId="20" fillId="15" fontId="8" numFmtId="0" xfId="0" applyAlignment="1" applyBorder="1" applyFont="1">
      <alignment horizontal="center" shrinkToFit="0" vertical="center" wrapText="1"/>
    </xf>
    <xf borderId="40" fillId="0" fontId="13" numFmtId="0" xfId="0" applyBorder="1" applyFont="1"/>
    <xf borderId="0" fillId="0" fontId="9" numFmtId="3" xfId="0" applyFont="1" applyNumberFormat="1"/>
    <xf borderId="26" fillId="15" fontId="8" numFmtId="3" xfId="0" applyAlignment="1" applyBorder="1" applyFont="1" applyNumberFormat="1">
      <alignment shrinkToFit="0" vertical="center" wrapText="1"/>
    </xf>
    <xf borderId="41" fillId="21" fontId="8" numFmtId="0" xfId="0" applyAlignment="1" applyBorder="1" applyFont="1">
      <alignment horizontal="center" shrinkToFit="0" vertical="center" wrapText="1"/>
    </xf>
    <xf borderId="1" fillId="24" fontId="1" numFmtId="0" xfId="0" applyAlignment="1" applyBorder="1" applyFill="1" applyFont="1">
      <alignment vertical="center"/>
    </xf>
    <xf borderId="1" fillId="24" fontId="8" numFmtId="0" xfId="0" applyAlignment="1" applyBorder="1" applyFont="1">
      <alignment vertical="center"/>
    </xf>
    <xf borderId="29" fillId="12" fontId="8" numFmtId="0" xfId="0" applyAlignment="1" applyBorder="1" applyFont="1">
      <alignment vertical="center"/>
    </xf>
    <xf borderId="29" fillId="12" fontId="40" numFmtId="9" xfId="0" applyAlignment="1" applyBorder="1" applyFont="1" applyNumberFormat="1">
      <alignment horizontal="center" vertical="center"/>
    </xf>
    <xf borderId="28" fillId="12" fontId="8" numFmtId="3" xfId="0" applyAlignment="1" applyBorder="1" applyFont="1" applyNumberFormat="1">
      <alignment horizontal="center" vertical="center"/>
    </xf>
    <xf borderId="42" fillId="0" fontId="1" numFmtId="0" xfId="0" applyAlignment="1" applyBorder="1" applyFont="1">
      <alignment horizontal="center" vertical="center"/>
    </xf>
    <xf borderId="43" fillId="0" fontId="1" numFmtId="0" xfId="0" applyAlignment="1" applyBorder="1" applyFont="1">
      <alignment vertical="center"/>
    </xf>
    <xf borderId="43" fillId="0" fontId="1" numFmtId="0" xfId="0" applyAlignment="1" applyBorder="1" applyFont="1">
      <alignment horizontal="center" vertical="center"/>
    </xf>
    <xf borderId="43" fillId="0" fontId="1" numFmtId="3" xfId="0" applyAlignment="1" applyBorder="1" applyFont="1" applyNumberFormat="1">
      <alignment vertical="center"/>
    </xf>
    <xf borderId="44" fillId="0" fontId="1" numFmtId="0" xfId="0" applyAlignment="1" applyBorder="1" applyFont="1">
      <alignment vertical="center"/>
    </xf>
    <xf borderId="32" fillId="0" fontId="1" numFmtId="0" xfId="0" applyAlignment="1" applyBorder="1" applyFont="1">
      <alignment horizontal="center" vertical="center"/>
    </xf>
    <xf borderId="33" fillId="0" fontId="1" numFmtId="0" xfId="0" applyAlignment="1" applyBorder="1" applyFont="1">
      <alignment vertical="center"/>
    </xf>
    <xf borderId="30" fillId="0" fontId="1" numFmtId="0" xfId="0" applyAlignment="1" applyBorder="1" applyFont="1">
      <alignment horizontal="center" vertical="center"/>
    </xf>
    <xf borderId="32" fillId="0" fontId="1" numFmtId="0" xfId="0" applyAlignment="1" applyBorder="1" applyFont="1">
      <alignment vertical="center"/>
    </xf>
    <xf borderId="32" fillId="0" fontId="39" numFmtId="0" xfId="0" applyAlignment="1" applyBorder="1" applyFont="1">
      <alignment vertical="center"/>
    </xf>
    <xf borderId="30" fillId="10" fontId="39" numFmtId="0" xfId="0" applyAlignment="1" applyBorder="1" applyFont="1">
      <alignment horizontal="center" vertical="center"/>
    </xf>
    <xf borderId="32" fillId="10" fontId="39" numFmtId="0" xfId="0" applyAlignment="1" applyBorder="1" applyFont="1">
      <alignment vertical="center"/>
    </xf>
    <xf borderId="32" fillId="10" fontId="39" numFmtId="0" xfId="0" applyAlignment="1" applyBorder="1" applyFont="1">
      <alignment horizontal="center" vertical="center"/>
    </xf>
    <xf borderId="33" fillId="10" fontId="39" numFmtId="0" xfId="0" applyAlignment="1" applyBorder="1" applyFont="1">
      <alignment vertical="center"/>
    </xf>
    <xf borderId="1" fillId="23" fontId="1" numFmtId="0" xfId="0" applyBorder="1" applyFont="1"/>
    <xf borderId="1" fillId="23" fontId="48" numFmtId="0" xfId="0" applyAlignment="1" applyBorder="1" applyFont="1">
      <alignment horizontal="left" vertical="center"/>
    </xf>
    <xf borderId="32" fillId="0" fontId="1" numFmtId="0" xfId="0" applyAlignment="1" applyBorder="1" applyFont="1">
      <alignment shrinkToFit="0" vertical="center" wrapText="1"/>
    </xf>
    <xf borderId="32" fillId="0" fontId="1" numFmtId="0" xfId="0" applyAlignment="1" applyBorder="1" applyFont="1">
      <alignment horizontal="center" shrinkToFit="0" vertical="center" wrapText="1"/>
    </xf>
    <xf borderId="32" fillId="0" fontId="1" numFmtId="3" xfId="0" applyAlignment="1" applyBorder="1" applyFont="1" applyNumberFormat="1">
      <alignment shrinkToFit="0" vertical="center" wrapText="1"/>
    </xf>
    <xf borderId="45" fillId="0" fontId="1" numFmtId="0" xfId="0" applyAlignment="1" applyBorder="1" applyFont="1">
      <alignment horizontal="center" vertical="center"/>
    </xf>
    <xf borderId="46" fillId="0" fontId="1" numFmtId="0" xfId="0" applyAlignment="1" applyBorder="1" applyFont="1">
      <alignment shrinkToFit="0" vertical="center" wrapText="1"/>
    </xf>
    <xf borderId="46" fillId="0" fontId="1" numFmtId="0" xfId="0" applyAlignment="1" applyBorder="1" applyFont="1">
      <alignment horizontal="center" shrinkToFit="0" vertical="center" wrapText="1"/>
    </xf>
    <xf borderId="46" fillId="0" fontId="1" numFmtId="3" xfId="0" applyAlignment="1" applyBorder="1" applyFont="1" applyNumberFormat="1">
      <alignment shrinkToFit="0" vertical="center" wrapText="1"/>
    </xf>
    <xf borderId="47" fillId="0" fontId="1" numFmtId="0" xfId="0" applyAlignment="1" applyBorder="1" applyFont="1">
      <alignment vertical="center"/>
    </xf>
    <xf borderId="0" fillId="0" fontId="29" numFmtId="0" xfId="0" applyAlignment="1" applyFont="1">
      <alignment shrinkToFit="0" vertical="center" wrapText="1"/>
    </xf>
    <xf borderId="0" fillId="0" fontId="29" numFmtId="0" xfId="0" applyAlignment="1" applyFont="1">
      <alignment horizontal="right" vertical="center"/>
    </xf>
    <xf borderId="0" fillId="0" fontId="29" numFmtId="0" xfId="0" applyAlignment="1" applyFont="1">
      <alignment horizontal="center" vertical="center"/>
    </xf>
    <xf borderId="35" fillId="2" fontId="8" numFmtId="0" xfId="0" applyAlignment="1" applyBorder="1" applyFont="1">
      <alignment horizontal="center" shrinkToFit="0" wrapText="1"/>
    </xf>
    <xf borderId="35" fillId="6" fontId="8" numFmtId="0" xfId="0" applyAlignment="1" applyBorder="1" applyFont="1">
      <alignment horizontal="center" shrinkToFit="0" wrapText="1"/>
    </xf>
    <xf borderId="0" fillId="0" fontId="1" numFmtId="171" xfId="0" applyAlignment="1" applyFont="1" applyNumberFormat="1">
      <alignment horizontal="right"/>
    </xf>
    <xf borderId="0" fillId="0" fontId="1" numFmtId="171" xfId="0" applyFont="1" applyNumberFormat="1"/>
    <xf borderId="0" fillId="0" fontId="50" numFmtId="0" xfId="0" applyAlignment="1" applyFont="1">
      <alignment horizontal="left"/>
    </xf>
    <xf borderId="0" fillId="0" fontId="51" numFmtId="0" xfId="0" applyFont="1"/>
    <xf borderId="0" fillId="0" fontId="52" numFmtId="0" xfId="0" applyAlignment="1" applyFont="1">
      <alignment horizontal="center" shrinkToFit="0" wrapText="1"/>
    </xf>
    <xf borderId="0" fillId="0" fontId="52" numFmtId="3" xfId="0" applyAlignment="1" applyFont="1" applyNumberFormat="1">
      <alignment horizontal="center" shrinkToFit="0" wrapText="1"/>
    </xf>
    <xf borderId="1" fillId="12" fontId="1" numFmtId="0" xfId="0" applyAlignment="1" applyBorder="1" applyFont="1">
      <alignment shrinkToFit="0" wrapText="1"/>
    </xf>
    <xf borderId="0" fillId="0" fontId="1" numFmtId="0" xfId="0" applyAlignment="1" applyFont="1">
      <alignment shrinkToFit="0" wrapText="1"/>
    </xf>
    <xf borderId="0" fillId="0" fontId="50" numFmtId="0" xfId="0" applyAlignment="1" applyFont="1">
      <alignment horizontal="right"/>
    </xf>
    <xf borderId="0" fillId="0" fontId="1" numFmtId="168" xfId="0" applyAlignment="1" applyFont="1" applyNumberFormat="1">
      <alignment horizontal="left" vertical="center"/>
    </xf>
    <xf borderId="0" fillId="0" fontId="50" numFmtId="4" xfId="0" applyAlignment="1" applyFont="1" applyNumberFormat="1">
      <alignment horizontal="right"/>
    </xf>
    <xf borderId="0" fillId="0" fontId="50" numFmtId="3" xfId="0" applyAlignment="1" applyFont="1" applyNumberFormat="1">
      <alignment horizontal="right"/>
    </xf>
    <xf borderId="0" fillId="0" fontId="52" numFmtId="0" xfId="0" applyAlignment="1" applyFont="1">
      <alignment horizontal="center"/>
    </xf>
    <xf borderId="0" fillId="0" fontId="52" numFmtId="4" xfId="0" applyAlignment="1" applyFont="1" applyNumberFormat="1">
      <alignment horizontal="center"/>
    </xf>
    <xf borderId="0" fillId="0" fontId="52" numFmtId="3" xfId="0" applyAlignment="1" applyFont="1" applyNumberFormat="1">
      <alignment horizontal="center"/>
    </xf>
    <xf borderId="0" fillId="0" fontId="50" numFmtId="183" xfId="0" applyAlignment="1" applyFont="1" applyNumberFormat="1">
      <alignment horizontal="left"/>
    </xf>
    <xf borderId="1" fillId="25" fontId="50" numFmtId="183" xfId="0" applyAlignment="1" applyBorder="1" applyFill="1" applyFont="1" applyNumberFormat="1">
      <alignment horizontal="left"/>
    </xf>
    <xf borderId="1" fillId="25" fontId="50" numFmtId="3" xfId="0" applyAlignment="1" applyBorder="1" applyFont="1" applyNumberFormat="1">
      <alignment horizontal="right"/>
    </xf>
    <xf borderId="1" fillId="25" fontId="1" numFmtId="0" xfId="0" applyBorder="1" applyFont="1"/>
    <xf borderId="1" fillId="25" fontId="1" numFmtId="3" xfId="0" applyAlignment="1" applyBorder="1" applyFont="1" applyNumberFormat="1">
      <alignment vertical="center"/>
    </xf>
    <xf borderId="0" fillId="0" fontId="50" numFmtId="184" xfId="0" applyAlignment="1" applyFont="1" applyNumberFormat="1">
      <alignment horizontal="right"/>
    </xf>
    <xf borderId="0" fillId="0" fontId="50" numFmtId="0" xfId="0" applyAlignment="1" applyFont="1">
      <alignment horizontal="right" shrinkToFit="0" wrapText="0"/>
    </xf>
    <xf borderId="0" fillId="0" fontId="50" numFmtId="0" xfId="0" applyAlignment="1" applyFont="1">
      <alignment horizontal="left" shrinkToFit="0" wrapText="0"/>
    </xf>
    <xf borderId="0" fillId="0" fontId="50" numFmtId="10" xfId="0" applyAlignment="1" applyFont="1" applyNumberFormat="1">
      <alignment horizontal="right" shrinkToFit="0" wrapText="0"/>
    </xf>
    <xf borderId="0" fillId="0" fontId="50" numFmtId="3" xfId="0" applyAlignment="1" applyFont="1" applyNumberFormat="1">
      <alignment horizontal="left" shrinkToFit="0" wrapText="0"/>
    </xf>
    <xf borderId="0" fillId="0" fontId="50" numFmtId="3" xfId="0" applyAlignment="1" applyFont="1" applyNumberFormat="1">
      <alignment horizontal="right" shrinkToFit="0" wrapText="0"/>
    </xf>
    <xf borderId="0" fillId="0" fontId="17" numFmtId="0" xfId="0" applyFont="1"/>
    <xf borderId="0" fillId="0" fontId="17" numFmtId="10" xfId="0" applyFont="1" applyNumberFormat="1"/>
    <xf borderId="0" fillId="12" fontId="50" numFmtId="183" xfId="0" applyAlignment="1" applyFont="1" applyNumberFormat="1">
      <alignment horizontal="left"/>
    </xf>
    <xf borderId="0" fillId="12" fontId="17" numFmtId="0" xfId="0" applyFont="1"/>
    <xf borderId="0" fillId="12" fontId="1" numFmtId="3" xfId="0" applyFont="1" applyNumberFormat="1"/>
    <xf borderId="0" fillId="0" fontId="17" numFmtId="185" xfId="0" applyFont="1" applyNumberFormat="1"/>
    <xf borderId="0" fillId="0" fontId="17" numFmtId="179" xfId="0" applyFont="1" applyNumberFormat="1"/>
    <xf borderId="0" fillId="0" fontId="53" numFmtId="0" xfId="0" applyFont="1"/>
    <xf borderId="0" fillId="0" fontId="53" numFmtId="166" xfId="0" applyFont="1" applyNumberFormat="1"/>
    <xf borderId="0" fillId="7" fontId="53" numFmtId="0" xfId="0" applyFont="1"/>
    <xf borderId="1" fillId="12" fontId="53" numFmtId="0" xfId="0" applyAlignment="1" applyBorder="1" applyFont="1">
      <alignment horizontal="center"/>
    </xf>
    <xf borderId="0" fillId="7" fontId="41" numFmtId="0" xfId="0" applyFont="1"/>
    <xf borderId="48" fillId="26" fontId="41" numFmtId="0" xfId="0" applyBorder="1" applyFill="1" applyFont="1"/>
    <xf borderId="0" fillId="0" fontId="41" numFmtId="183" xfId="0" applyFont="1" applyNumberFormat="1"/>
    <xf borderId="0" fillId="0" fontId="41" numFmtId="4" xfId="0" applyAlignment="1" applyFont="1" applyNumberFormat="1">
      <alignment horizontal="right"/>
    </xf>
    <xf borderId="48" fillId="26" fontId="1" numFmtId="0" xfId="0" applyBorder="1" applyFont="1"/>
    <xf borderId="0" fillId="7" fontId="41" numFmtId="0" xfId="0" applyAlignment="1" applyFont="1">
      <alignment horizontal="right"/>
    </xf>
    <xf borderId="48" fillId="26" fontId="41" numFmtId="0" xfId="0" applyAlignment="1" applyBorder="1" applyFont="1">
      <alignment horizontal="right"/>
    </xf>
    <xf borderId="1" fillId="25" fontId="41" numFmtId="183" xfId="0" applyBorder="1" applyFont="1" applyNumberFormat="1"/>
    <xf borderId="1" fillId="25" fontId="41" numFmtId="4" xfId="0" applyAlignment="1" applyBorder="1" applyFont="1" applyNumberFormat="1">
      <alignment horizontal="right"/>
    </xf>
    <xf borderId="1" fillId="25" fontId="41" numFmtId="0" xfId="0" applyBorder="1" applyFont="1"/>
    <xf borderId="1" fillId="25" fontId="41" numFmtId="0" xfId="0" applyAlignment="1" applyBorder="1" applyFont="1">
      <alignment horizontal="right"/>
    </xf>
    <xf borderId="1" fillId="7" fontId="41" numFmtId="0" xfId="0" applyAlignment="1" applyBorder="1" applyFont="1">
      <alignment horizontal="right"/>
    </xf>
    <xf borderId="48" fillId="25" fontId="41" numFmtId="0" xfId="0" applyBorder="1" applyFont="1"/>
    <xf borderId="1" fillId="25" fontId="41" numFmtId="9" xfId="0" applyBorder="1" applyFont="1" applyNumberFormat="1"/>
    <xf borderId="1" fillId="25" fontId="41" numFmtId="0" xfId="0" applyAlignment="1" applyBorder="1" applyFont="1">
      <alignment horizontal="center"/>
    </xf>
    <xf borderId="0" fillId="0" fontId="41" numFmtId="9" xfId="0" applyFont="1" applyNumberFormat="1"/>
    <xf borderId="0" fillId="7" fontId="17" numFmtId="0" xfId="0" applyFont="1"/>
    <xf borderId="1" fillId="7" fontId="1" numFmtId="0" xfId="0" applyAlignment="1" applyBorder="1" applyFont="1">
      <alignment horizontal="center"/>
    </xf>
    <xf borderId="0" fillId="0" fontId="54" numFmtId="0" xfId="0" applyFont="1"/>
    <xf borderId="0" fillId="13" fontId="55" numFmtId="0" xfId="0" applyFont="1"/>
    <xf borderId="1" fillId="12" fontId="54" numFmtId="0" xfId="0" applyAlignment="1" applyBorder="1" applyFont="1">
      <alignment horizontal="center" shrinkToFit="0" wrapText="1"/>
    </xf>
    <xf borderId="0" fillId="7" fontId="54" numFmtId="0" xfId="0" applyFont="1"/>
    <xf borderId="0" fillId="3" fontId="54" numFmtId="0" xfId="0" applyAlignment="1" applyFont="1">
      <alignment shrinkToFit="0" vertical="bottom" wrapText="0"/>
    </xf>
    <xf borderId="1" fillId="12" fontId="54" numFmtId="0" xfId="0" applyAlignment="1" applyBorder="1" applyFont="1">
      <alignment horizontal="center"/>
    </xf>
    <xf borderId="0" fillId="0" fontId="41" numFmtId="186" xfId="0" applyFont="1" applyNumberFormat="1"/>
    <xf borderId="0" fillId="13" fontId="55" numFmtId="4" xfId="0" applyAlignment="1" applyFont="1" applyNumberFormat="1">
      <alignment horizontal="right" shrinkToFit="0" vertical="bottom" wrapText="0"/>
    </xf>
    <xf borderId="0" fillId="0" fontId="41" numFmtId="4" xfId="0" applyAlignment="1" applyFont="1" applyNumberFormat="1">
      <alignment horizontal="right" shrinkToFit="0" vertical="bottom" wrapText="0"/>
    </xf>
    <xf borderId="0" fillId="3" fontId="41" numFmtId="0" xfId="0" applyAlignment="1" applyFont="1">
      <alignment horizontal="right" shrinkToFit="0" vertical="bottom" wrapText="0"/>
    </xf>
    <xf borderId="0" fillId="3" fontId="41" numFmtId="0" xfId="0" applyAlignment="1" applyFont="1">
      <alignment shrinkToFit="0" vertical="bottom" wrapText="0"/>
    </xf>
    <xf borderId="0" fillId="0" fontId="41" numFmtId="10" xfId="0" applyAlignment="1" applyFont="1" applyNumberFormat="1">
      <alignment shrinkToFit="0" vertical="bottom" wrapText="0"/>
    </xf>
    <xf borderId="0" fillId="0" fontId="41" numFmtId="10" xfId="0" applyFont="1" applyNumberFormat="1"/>
    <xf borderId="48" fillId="3" fontId="41" numFmtId="0" xfId="0" applyAlignment="1" applyBorder="1" applyFont="1">
      <alignment horizontal="right"/>
    </xf>
    <xf borderId="0" fillId="3" fontId="41" numFmtId="0" xfId="0" applyAlignment="1" applyFont="1">
      <alignment horizontal="right"/>
    </xf>
    <xf borderId="0" fillId="0" fontId="41" numFmtId="187" xfId="0" applyAlignment="1" applyFont="1" applyNumberFormat="1">
      <alignment shrinkToFit="0" vertical="bottom" wrapText="0"/>
    </xf>
    <xf borderId="0" fillId="0" fontId="41" numFmtId="0" xfId="0" applyAlignment="1" applyFont="1">
      <alignment horizontal="left"/>
    </xf>
    <xf borderId="0" fillId="0" fontId="41" numFmtId="169" xfId="0" applyAlignment="1" applyFont="1" applyNumberFormat="1">
      <alignment horizontal="left"/>
    </xf>
    <xf borderId="0" fillId="0" fontId="41" numFmtId="170" xfId="0" applyAlignment="1" applyFont="1" applyNumberFormat="1">
      <alignment horizontal="left"/>
    </xf>
    <xf borderId="0" fillId="0" fontId="56" numFmtId="0" xfId="0" applyFont="1"/>
    <xf borderId="0" fillId="0" fontId="56" numFmtId="164" xfId="0" applyAlignment="1" applyFont="1" applyNumberFormat="1">
      <alignment horizontal="right"/>
    </xf>
    <xf borderId="0" fillId="0" fontId="56" numFmtId="0" xfId="0" applyAlignment="1" applyFont="1">
      <alignment horizontal="right"/>
    </xf>
    <xf borderId="0" fillId="0" fontId="56" numFmtId="3" xfId="0" applyAlignment="1" applyFont="1" applyNumberFormat="1">
      <alignment horizontal="right"/>
    </xf>
    <xf borderId="0" fillId="0" fontId="56" numFmtId="4" xfId="0" applyAlignment="1" applyFont="1" applyNumberFormat="1">
      <alignment horizontal="right"/>
    </xf>
    <xf borderId="0" fillId="0" fontId="1" numFmtId="188" xfId="0" applyFont="1" applyNumberFormat="1"/>
    <xf borderId="0" fillId="0" fontId="17" numFmtId="188" xfId="0" applyFont="1" applyNumberFormat="1"/>
    <xf borderId="0" fillId="0" fontId="41" numFmtId="0" xfId="0" applyAlignment="1" applyFont="1">
      <alignment horizontal="left" vertical="top"/>
    </xf>
    <xf borderId="1" fillId="27" fontId="57" numFmtId="0" xfId="0" applyAlignment="1" applyBorder="1" applyFill="1" applyFont="1">
      <alignment horizontal="left"/>
    </xf>
    <xf borderId="1" fillId="27" fontId="58" numFmtId="0" xfId="0" applyAlignment="1" applyBorder="1" applyFont="1">
      <alignment horizontal="left"/>
    </xf>
    <xf borderId="1" fillId="27" fontId="41" numFmtId="0" xfId="0" applyAlignment="1" applyBorder="1" applyFont="1">
      <alignment horizontal="left"/>
    </xf>
    <xf borderId="13" fillId="27" fontId="59" numFmtId="0" xfId="0" applyAlignment="1" applyBorder="1" applyFont="1">
      <alignment horizontal="left"/>
    </xf>
    <xf borderId="1" fillId="3" fontId="41" numFmtId="183" xfId="0" applyAlignment="1" applyBorder="1" applyFont="1" applyNumberFormat="1">
      <alignment horizontal="left"/>
    </xf>
    <xf borderId="1" fillId="3" fontId="41" numFmtId="0" xfId="0" applyAlignment="1" applyBorder="1" applyFont="1">
      <alignment horizontal="left"/>
    </xf>
    <xf borderId="1" fillId="3" fontId="41" numFmtId="3" xfId="0" applyAlignment="1" applyBorder="1" applyFont="1" applyNumberFormat="1">
      <alignment horizontal="left"/>
    </xf>
    <xf borderId="49" fillId="3" fontId="54" numFmtId="0" xfId="0" applyAlignment="1" applyBorder="1" applyFont="1">
      <alignment horizontal="left"/>
    </xf>
    <xf borderId="50" fillId="3" fontId="54" numFmtId="0" xfId="0" applyAlignment="1" applyBorder="1" applyFont="1">
      <alignment horizontal="left"/>
    </xf>
    <xf borderId="50" fillId="28" fontId="54" numFmtId="0" xfId="0" applyAlignment="1" applyBorder="1" applyFill="1" applyFont="1">
      <alignment horizontal="left"/>
    </xf>
    <xf borderId="50" fillId="3" fontId="54" numFmtId="3" xfId="0" applyAlignment="1" applyBorder="1" applyFont="1" applyNumberFormat="1">
      <alignment horizontal="left"/>
    </xf>
    <xf borderId="51" fillId="3" fontId="54" numFmtId="0" xfId="0" applyAlignment="1" applyBorder="1" applyFont="1">
      <alignment horizontal="left"/>
    </xf>
    <xf borderId="48" fillId="3" fontId="41" numFmtId="0" xfId="0" applyAlignment="1" applyBorder="1" applyFont="1">
      <alignment horizontal="left"/>
    </xf>
    <xf borderId="52" fillId="3" fontId="41" numFmtId="183" xfId="0" applyAlignment="1" applyBorder="1" applyFont="1" applyNumberFormat="1">
      <alignment horizontal="left"/>
    </xf>
    <xf borderId="53" fillId="3" fontId="41" numFmtId="183" xfId="0" applyAlignment="1" applyBorder="1" applyFont="1" applyNumberFormat="1">
      <alignment horizontal="left"/>
    </xf>
    <xf borderId="54" fillId="3" fontId="41" numFmtId="0" xfId="0" applyAlignment="1" applyBorder="1" applyFont="1">
      <alignment horizontal="left"/>
    </xf>
    <xf borderId="54" fillId="3" fontId="41" numFmtId="3" xfId="0" applyAlignment="1" applyBorder="1" applyFont="1" applyNumberFormat="1">
      <alignment horizontal="left"/>
    </xf>
    <xf borderId="54" fillId="3" fontId="41" numFmtId="183" xfId="0" applyAlignment="1" applyBorder="1" applyFont="1" applyNumberFormat="1">
      <alignment horizontal="left"/>
    </xf>
    <xf borderId="55" fillId="3" fontId="41" numFmtId="183" xfId="0" applyAlignment="1" applyBorder="1" applyFont="1" applyNumberFormat="1">
      <alignment horizontal="left"/>
    </xf>
    <xf borderId="1" fillId="3" fontId="41" numFmtId="171" xfId="0" applyAlignment="1" applyBorder="1" applyFont="1" applyNumberFormat="1">
      <alignment horizontal="left"/>
    </xf>
    <xf borderId="53" fillId="3" fontId="41" numFmtId="0" xfId="0" applyAlignment="1" applyBorder="1" applyFont="1">
      <alignment horizontal="left"/>
    </xf>
    <xf borderId="54" fillId="3" fontId="41" numFmtId="171" xfId="0" applyAlignment="1" applyBorder="1" applyFont="1" applyNumberFormat="1">
      <alignment horizontal="left"/>
    </xf>
    <xf borderId="1" fillId="3" fontId="41" numFmtId="172" xfId="0" applyAlignment="1" applyBorder="1" applyFont="1" applyNumberFormat="1">
      <alignment horizontal="left"/>
    </xf>
    <xf borderId="54" fillId="3" fontId="41" numFmtId="172" xfId="0" applyAlignment="1" applyBorder="1" applyFont="1" applyNumberFormat="1">
      <alignment horizontal="left"/>
    </xf>
    <xf borderId="0" fillId="0" fontId="54" numFmtId="0" xfId="0" applyAlignment="1" applyFont="1">
      <alignment shrinkToFit="0" vertical="bottom" wrapText="0"/>
    </xf>
    <xf borderId="0" fillId="0" fontId="41" numFmtId="3" xfId="0" applyAlignment="1" applyFont="1" applyNumberFormat="1">
      <alignment horizontal="right" shrinkToFit="0" vertical="bottom" wrapText="0"/>
    </xf>
    <xf borderId="0" fillId="0" fontId="60" numFmtId="189" xfId="0" applyFont="1" applyNumberFormat="1"/>
    <xf borderId="56" fillId="3" fontId="54" numFmtId="0" xfId="0" applyAlignment="1" applyBorder="1" applyFont="1">
      <alignment horizontal="left" shrinkToFit="0" wrapText="0"/>
    </xf>
    <xf borderId="56" fillId="3" fontId="55" numFmtId="0" xfId="0" applyAlignment="1" applyBorder="1" applyFont="1">
      <alignment horizontal="left" shrinkToFit="0" wrapText="0"/>
    </xf>
    <xf borderId="57" fillId="3" fontId="55" numFmtId="0" xfId="0" applyAlignment="1" applyBorder="1" applyFont="1">
      <alignment horizontal="left" shrinkToFit="0" wrapText="0"/>
    </xf>
    <xf borderId="57" fillId="3" fontId="55" numFmtId="3" xfId="0" applyAlignment="1" applyBorder="1" applyFont="1" applyNumberFormat="1">
      <alignment horizontal="left" shrinkToFit="0" wrapText="0"/>
    </xf>
    <xf borderId="57" fillId="3" fontId="55" numFmtId="187" xfId="0" applyAlignment="1" applyBorder="1" applyFont="1" applyNumberFormat="1">
      <alignment horizontal="left" shrinkToFit="0" wrapText="0"/>
    </xf>
    <xf borderId="0" fillId="0" fontId="61" numFmtId="0" xfId="0" applyFont="1"/>
    <xf borderId="56" fillId="3" fontId="41" numFmtId="0" xfId="0" applyAlignment="1" applyBorder="1" applyFont="1">
      <alignment horizontal="left" shrinkToFit="0" wrapText="0"/>
    </xf>
    <xf borderId="57" fillId="3" fontId="41" numFmtId="0" xfId="0" applyAlignment="1" applyBorder="1" applyFont="1">
      <alignment horizontal="left" shrinkToFit="0" wrapText="0"/>
    </xf>
    <xf borderId="57" fillId="3" fontId="41" numFmtId="3" xfId="0" applyAlignment="1" applyBorder="1" applyFont="1" applyNumberFormat="1">
      <alignment horizontal="left" shrinkToFit="0" wrapText="0"/>
    </xf>
    <xf borderId="57" fillId="3" fontId="41" numFmtId="187" xfId="0" applyAlignment="1" applyBorder="1" applyFont="1" applyNumberFormat="1">
      <alignment horizontal="left" shrinkToFit="0" wrapText="0"/>
    </xf>
    <xf borderId="0" fillId="3" fontId="41" numFmtId="0" xfId="0" applyAlignment="1" applyFont="1">
      <alignment horizontal="left" shrinkToFit="0" wrapText="0"/>
    </xf>
    <xf borderId="0" fillId="3" fontId="54" numFmtId="0" xfId="0" applyAlignment="1" applyFont="1">
      <alignment horizontal="left" shrinkToFit="0" wrapText="0"/>
    </xf>
    <xf borderId="57" fillId="3" fontId="41" numFmtId="190" xfId="0" applyAlignment="1" applyBorder="1" applyFont="1" applyNumberFormat="1">
      <alignment horizontal="left" shrinkToFit="0" wrapText="0"/>
    </xf>
    <xf borderId="0" fillId="0" fontId="56" numFmtId="164" xfId="0" applyAlignment="1" applyFont="1" applyNumberFormat="1">
      <alignment horizontal="left"/>
    </xf>
    <xf borderId="0" fillId="0" fontId="56" numFmtId="0" xfId="0" applyAlignment="1" applyFont="1">
      <alignment horizontal="left"/>
    </xf>
    <xf borderId="0" fillId="0" fontId="1" numFmtId="0" xfId="0" applyAlignment="1" applyFont="1">
      <alignment horizontal="left" vertical="center"/>
    </xf>
    <xf borderId="0" fillId="0" fontId="56" numFmtId="164" xfId="0" applyFont="1" applyNumberFormat="1"/>
    <xf borderId="0" fillId="0" fontId="56" numFmtId="0" xfId="0" applyFont="1"/>
    <xf borderId="0" fillId="0" fontId="56" numFmtId="3" xfId="0" applyFont="1" applyNumberFormat="1"/>
    <xf borderId="0" fillId="0" fontId="17" numFmtId="0" xfId="0" applyFont="1"/>
    <xf borderId="1" fillId="12" fontId="1" numFmtId="0" xfId="0" applyAlignment="1" applyBorder="1" applyFont="1">
      <alignment vertical="center"/>
    </xf>
    <xf borderId="0" fillId="0" fontId="62" numFmtId="164" xfId="0" applyFont="1" applyNumberFormat="1"/>
    <xf borderId="0" fillId="0" fontId="62" numFmtId="0" xfId="0" applyFont="1"/>
    <xf borderId="0" fillId="0" fontId="62" numFmtId="3" xfId="0" applyFont="1" applyNumberFormat="1"/>
    <xf borderId="0" fillId="0" fontId="62" numFmtId="0" xfId="0" applyAlignment="1" applyFont="1">
      <alignment horizontal="right"/>
    </xf>
    <xf borderId="1" fillId="3" fontId="63" numFmtId="164" xfId="0" applyAlignment="1" applyBorder="1" applyFont="1" applyNumberFormat="1">
      <alignment horizontal="left" shrinkToFit="0" vertical="center" wrapText="1"/>
    </xf>
    <xf borderId="1" fillId="3" fontId="63" numFmtId="0" xfId="0" applyAlignment="1" applyBorder="1" applyFont="1">
      <alignment horizontal="right" shrinkToFit="0" vertical="center" wrapText="1"/>
    </xf>
    <xf borderId="1" fillId="3" fontId="63" numFmtId="3" xfId="0" applyAlignment="1" applyBorder="1" applyFont="1" applyNumberFormat="1">
      <alignment horizontal="right" vertical="center"/>
    </xf>
    <xf borderId="1" fillId="3" fontId="63" numFmtId="0" xfId="0" applyAlignment="1" applyBorder="1" applyFont="1">
      <alignment horizontal="right" vertical="center"/>
    </xf>
    <xf borderId="1" fillId="29" fontId="63" numFmtId="164" xfId="0" applyAlignment="1" applyBorder="1" applyFill="1" applyFont="1" applyNumberFormat="1">
      <alignment horizontal="left" shrinkToFit="0" vertical="center" wrapText="1"/>
    </xf>
    <xf borderId="1" fillId="29" fontId="63" numFmtId="0" xfId="0" applyAlignment="1" applyBorder="1" applyFont="1">
      <alignment horizontal="right" shrinkToFit="0" vertical="center" wrapText="1"/>
    </xf>
    <xf borderId="1" fillId="29" fontId="63" numFmtId="3" xfId="0" applyAlignment="1" applyBorder="1" applyFont="1" applyNumberFormat="1">
      <alignment horizontal="right" vertical="center"/>
    </xf>
    <xf borderId="1" fillId="29" fontId="63" numFmtId="0" xfId="0" applyAlignment="1" applyBorder="1" applyFont="1">
      <alignment horizontal="right" vertical="center"/>
    </xf>
    <xf borderId="0" fillId="0" fontId="1" numFmtId="0" xfId="0" applyAlignment="1" applyFont="1">
      <alignment vertical="center"/>
    </xf>
    <xf borderId="1" fillId="29" fontId="63" numFmtId="191" xfId="0" applyAlignment="1" applyBorder="1" applyFont="1" applyNumberFormat="1">
      <alignment horizontal="right" vertical="center"/>
    </xf>
    <xf borderId="1" fillId="29" fontId="63" numFmtId="9" xfId="0" applyAlignment="1" applyBorder="1" applyFont="1" applyNumberFormat="1">
      <alignment horizontal="right" shrinkToFit="0" vertical="center" wrapText="1"/>
    </xf>
    <xf borderId="1" fillId="3" fontId="63" numFmtId="191" xfId="0" applyAlignment="1" applyBorder="1" applyFont="1" applyNumberFormat="1">
      <alignment horizontal="right" vertical="center"/>
    </xf>
    <xf borderId="1" fillId="3" fontId="63" numFmtId="9" xfId="0" applyAlignment="1" applyBorder="1" applyFont="1" applyNumberFormat="1">
      <alignment horizontal="right" shrinkToFit="0" vertical="center" wrapText="1"/>
    </xf>
    <xf borderId="1" fillId="3" fontId="63" numFmtId="164" xfId="0" applyAlignment="1" applyBorder="1" applyFont="1" applyNumberFormat="1">
      <alignment horizontal="left" shrinkToFit="0" vertical="center" wrapText="1"/>
    </xf>
    <xf borderId="0" fillId="0" fontId="17" numFmtId="191" xfId="0" applyFont="1" applyNumberFormat="1"/>
    <xf borderId="0" fillId="0" fontId="17" numFmtId="9" xfId="0" applyFont="1" applyNumberFormat="1"/>
    <xf borderId="0" fillId="0" fontId="17" numFmtId="192" xfId="0" applyFont="1" applyNumberFormat="1"/>
    <xf borderId="0" fillId="29" fontId="63" numFmtId="0" xfId="0" applyAlignment="1" applyFont="1">
      <alignment horizontal="right" shrinkToFit="0" wrapText="0"/>
    </xf>
    <xf borderId="58" fillId="29" fontId="63" numFmtId="0" xfId="0" applyAlignment="1" applyBorder="1" applyFont="1">
      <alignment horizontal="left" shrinkToFit="0" wrapText="0"/>
    </xf>
    <xf borderId="0" fillId="3" fontId="64" numFmtId="0" xfId="0" applyAlignment="1" applyFont="1">
      <alignment horizontal="left" shrinkToFit="0" wrapText="1"/>
    </xf>
    <xf borderId="0" fillId="0" fontId="65" numFmtId="0" xfId="0" applyAlignment="1" applyFont="1">
      <alignment readingOrder="0"/>
    </xf>
    <xf borderId="0" fillId="0" fontId="65" numFmtId="0" xfId="0" applyFont="1"/>
    <xf borderId="0" fillId="0" fontId="65" numFmtId="3" xfId="0" applyFont="1" applyNumberFormat="1"/>
    <xf borderId="0" fillId="0" fontId="1" numFmtId="0" xfId="0" applyAlignment="1" applyFont="1">
      <alignment shrinkToFit="0" vertical="center" wrapText="1"/>
    </xf>
    <xf borderId="59" fillId="0" fontId="28" numFmtId="0" xfId="0" applyBorder="1" applyFont="1"/>
    <xf borderId="60" fillId="0" fontId="28" numFmtId="0" xfId="0" applyBorder="1" applyFont="1"/>
    <xf borderId="61" fillId="0" fontId="28" numFmtId="0" xfId="0" applyBorder="1" applyFont="1"/>
    <xf borderId="0" fillId="0" fontId="29" numFmtId="0" xfId="0" applyAlignment="1" applyFont="1">
      <alignment horizontal="center" shrinkToFit="0" vertical="center" wrapText="1"/>
    </xf>
    <xf borderId="62" fillId="0" fontId="28" numFmtId="0" xfId="0" applyBorder="1" applyFont="1"/>
    <xf borderId="63" fillId="0" fontId="28" numFmtId="0" xfId="0" applyBorder="1" applyFont="1"/>
    <xf borderId="0" fillId="30" fontId="54" numFmtId="0" xfId="0" applyAlignment="1" applyFill="1" applyFont="1">
      <alignment horizontal="center" shrinkToFit="0" vertical="bottom" wrapText="0"/>
    </xf>
    <xf borderId="0" fillId="30" fontId="8" numFmtId="0" xfId="0" applyAlignment="1" applyFont="1">
      <alignment horizontal="center"/>
    </xf>
    <xf borderId="0" fillId="30" fontId="54" numFmtId="3" xfId="0" applyAlignment="1" applyFont="1" applyNumberFormat="1">
      <alignment horizontal="center" shrinkToFit="0" vertical="bottom" wrapText="0"/>
    </xf>
    <xf borderId="0" fillId="24" fontId="54" numFmtId="0" xfId="0" applyAlignment="1" applyFont="1">
      <alignment horizontal="center" shrinkToFit="0" vertical="bottom" wrapText="1"/>
    </xf>
    <xf borderId="0" fillId="24" fontId="8" numFmtId="0" xfId="0" applyAlignment="1" applyFont="1">
      <alignment horizontal="center" shrinkToFit="0" wrapText="1"/>
    </xf>
    <xf borderId="0" fillId="0" fontId="8" numFmtId="0" xfId="0" applyAlignment="1" applyFont="1">
      <alignment horizontal="center" shrinkToFit="0" wrapText="1"/>
    </xf>
    <xf borderId="0" fillId="0" fontId="41" numFmtId="3" xfId="0" applyAlignment="1" applyFont="1" applyNumberFormat="1">
      <alignment shrinkToFit="0" vertical="bottom" wrapText="0"/>
    </xf>
    <xf borderId="0" fillId="0" fontId="56" numFmtId="164" xfId="0" applyAlignment="1" applyFont="1" applyNumberFormat="1">
      <alignment horizontal="right" readingOrder="0"/>
    </xf>
    <xf borderId="0" fillId="0" fontId="1" numFmtId="3" xfId="0" applyAlignment="1" applyFont="1" applyNumberFormat="1">
      <alignment readingOrder="0"/>
    </xf>
    <xf borderId="0" fillId="0" fontId="66" numFmtId="0" xfId="0" applyFont="1"/>
    <xf borderId="0" fillId="0" fontId="67" numFmtId="166" xfId="0" applyFont="1" applyNumberFormat="1"/>
    <xf borderId="64" fillId="0" fontId="14" numFmtId="0" xfId="0" applyAlignment="1" applyBorder="1" applyFont="1">
      <alignment shrinkToFit="0" vertical="bottom" wrapText="0"/>
    </xf>
    <xf borderId="65" fillId="0" fontId="14" numFmtId="0" xfId="0" applyAlignment="1" applyBorder="1" applyFont="1">
      <alignment shrinkToFit="0" vertical="bottom" wrapText="0"/>
    </xf>
    <xf borderId="0" fillId="0" fontId="29" numFmtId="0" xfId="0" applyAlignment="1" applyFont="1">
      <alignment shrinkToFit="0" vertical="bottom" wrapText="0"/>
    </xf>
    <xf borderId="0" fillId="0" fontId="29" numFmtId="0" xfId="0" applyAlignment="1" applyFont="1">
      <alignment horizontal="right" shrinkToFit="0" vertical="bottom" wrapText="0"/>
    </xf>
    <xf borderId="1" fillId="3" fontId="8" numFmtId="3" xfId="0" applyAlignment="1" applyBorder="1" applyFont="1" applyNumberFormat="1">
      <alignment horizontal="center"/>
    </xf>
    <xf borderId="0" fillId="0" fontId="8" numFmtId="3" xfId="0" applyAlignment="1" applyFont="1" applyNumberFormat="1">
      <alignment horizontal="center"/>
    </xf>
    <xf borderId="0" fillId="0" fontId="8" numFmtId="10" xfId="0" applyAlignment="1" applyFont="1" applyNumberFormat="1">
      <alignment horizontal="center"/>
    </xf>
    <xf borderId="66" fillId="4" fontId="14" numFmtId="0" xfId="0" applyAlignment="1" applyBorder="1" applyFont="1">
      <alignment horizontal="center" shrinkToFit="0" wrapText="1"/>
    </xf>
    <xf borderId="67" fillId="0" fontId="13" numFmtId="0" xfId="0" applyBorder="1" applyFont="1"/>
    <xf borderId="68" fillId="0" fontId="13" numFmtId="0" xfId="0" applyBorder="1" applyFont="1"/>
    <xf borderId="57" fillId="15" fontId="1" numFmtId="9" xfId="0" applyAlignment="1" applyBorder="1" applyFont="1" applyNumberFormat="1">
      <alignment horizontal="center" shrinkToFit="0" wrapText="1"/>
    </xf>
    <xf borderId="57" fillId="15" fontId="1" numFmtId="193" xfId="0" applyAlignment="1" applyBorder="1" applyFont="1" applyNumberFormat="1">
      <alignment horizontal="center" shrinkToFit="0" wrapText="1"/>
    </xf>
    <xf borderId="57" fillId="15" fontId="1" numFmtId="0" xfId="0" applyAlignment="1" applyBorder="1" applyFont="1">
      <alignment horizontal="center" shrinkToFit="0" wrapText="1"/>
    </xf>
    <xf borderId="57" fillId="15" fontId="1" numFmtId="3" xfId="0" applyAlignment="1" applyBorder="1" applyFont="1" applyNumberFormat="1">
      <alignment horizontal="center" shrinkToFit="0" wrapText="1"/>
    </xf>
    <xf borderId="1" fillId="3" fontId="8" numFmtId="194" xfId="0" applyBorder="1" applyFont="1" applyNumberFormat="1"/>
    <xf borderId="0" fillId="0" fontId="1" numFmtId="194" xfId="0" applyAlignment="1" applyFont="1" applyNumberFormat="1">
      <alignment horizontal="center"/>
    </xf>
    <xf borderId="1" fillId="3" fontId="1" numFmtId="3" xfId="0" applyAlignment="1" applyBorder="1" applyFont="1" applyNumberFormat="1">
      <alignment horizontal="center"/>
    </xf>
    <xf borderId="0" fillId="0" fontId="1" numFmtId="10" xfId="0" applyAlignment="1" applyFont="1" applyNumberFormat="1">
      <alignment horizontal="center"/>
    </xf>
    <xf borderId="0" fillId="0" fontId="1" numFmtId="9" xfId="0" applyAlignment="1" applyFont="1" applyNumberFormat="1">
      <alignment horizontal="center"/>
    </xf>
    <xf borderId="1" fillId="12" fontId="68" numFmtId="0" xfId="0" applyAlignment="1" applyBorder="1" applyFont="1">
      <alignment horizontal="center" vertical="center"/>
    </xf>
    <xf borderId="1" fillId="12" fontId="68" numFmtId="0" xfId="0" applyAlignment="1" applyBorder="1" applyFont="1">
      <alignment vertical="center"/>
    </xf>
    <xf borderId="69" fillId="7" fontId="69" numFmtId="0" xfId="0" applyAlignment="1" applyBorder="1" applyFont="1">
      <alignment horizontal="center" shrinkToFit="0" vertical="center" wrapText="1"/>
    </xf>
    <xf borderId="70" fillId="0" fontId="13" numFmtId="0" xfId="0" applyBorder="1" applyFont="1"/>
    <xf borderId="57" fillId="0" fontId="68" numFmtId="0" xfId="0" applyAlignment="1" applyBorder="1" applyFont="1">
      <alignment horizontal="center" shrinkToFit="0" vertical="center" wrapText="1"/>
    </xf>
    <xf borderId="66" fillId="0" fontId="68" numFmtId="0" xfId="0" applyAlignment="1" applyBorder="1" applyFont="1">
      <alignment horizontal="center" shrinkToFit="0" vertical="center" wrapText="1"/>
    </xf>
    <xf borderId="57" fillId="12" fontId="1" numFmtId="0" xfId="0" applyAlignment="1" applyBorder="1" applyFont="1">
      <alignment vertical="center"/>
    </xf>
    <xf borderId="57" fillId="12" fontId="1" numFmtId="0" xfId="0" applyAlignment="1" applyBorder="1" applyFont="1">
      <alignment horizontal="center" vertical="center"/>
    </xf>
    <xf borderId="57" fillId="12" fontId="70" numFmtId="0" xfId="0" applyAlignment="1" applyBorder="1" applyFont="1">
      <alignment horizontal="center" vertical="center"/>
    </xf>
    <xf borderId="57" fillId="12" fontId="70" numFmtId="9" xfId="0" applyAlignment="1" applyBorder="1" applyFont="1" applyNumberFormat="1">
      <alignment horizontal="center" vertical="center"/>
    </xf>
    <xf borderId="71" fillId="0" fontId="1" numFmtId="0" xfId="0" applyAlignment="1" applyBorder="1" applyFont="1">
      <alignment horizontal="center" vertical="center"/>
    </xf>
    <xf borderId="57" fillId="0" fontId="1" numFmtId="0" xfId="0" applyAlignment="1" applyBorder="1" applyFont="1">
      <alignment vertical="center"/>
    </xf>
    <xf borderId="57" fillId="0" fontId="71" numFmtId="0" xfId="0" applyAlignment="1" applyBorder="1" applyFont="1">
      <alignment horizontal="center" vertical="center"/>
    </xf>
    <xf borderId="71" fillId="0" fontId="71" numFmtId="0" xfId="0" applyAlignment="1" applyBorder="1" applyFont="1">
      <alignment vertical="center"/>
    </xf>
    <xf borderId="71" fillId="0" fontId="71" numFmtId="0" xfId="0" applyAlignment="1" applyBorder="1" applyFont="1">
      <alignment horizontal="center" vertical="center"/>
    </xf>
    <xf borderId="71" fillId="0" fontId="70" numFmtId="0" xfId="0" applyAlignment="1" applyBorder="1" applyFont="1">
      <alignment horizontal="center" shrinkToFit="0" vertical="center" wrapText="1"/>
    </xf>
    <xf borderId="57" fillId="0" fontId="70" numFmtId="0" xfId="0" applyAlignment="1" applyBorder="1" applyFont="1">
      <alignment horizontal="center" shrinkToFit="0" vertical="center" wrapText="1"/>
    </xf>
    <xf borderId="57" fillId="0" fontId="70" numFmtId="3" xfId="0" applyAlignment="1" applyBorder="1" applyFont="1" applyNumberFormat="1">
      <alignment horizontal="center" shrinkToFit="0" vertical="center" wrapText="1"/>
    </xf>
    <xf borderId="57" fillId="0" fontId="70" numFmtId="0" xfId="0" applyAlignment="1" applyBorder="1" applyFont="1">
      <alignment horizontal="center" vertical="center"/>
    </xf>
    <xf borderId="71" fillId="0" fontId="70" numFmtId="9" xfId="0" applyAlignment="1" applyBorder="1" applyFont="1" applyNumberFormat="1">
      <alignment horizontal="center" shrinkToFit="0" vertical="center" wrapText="1"/>
    </xf>
    <xf borderId="64" fillId="0" fontId="13" numFmtId="0" xfId="0" applyBorder="1" applyFont="1"/>
    <xf borderId="72" fillId="0" fontId="13" numFmtId="0" xfId="0" applyBorder="1" applyFont="1"/>
    <xf borderId="57" fillId="0" fontId="70" numFmtId="1" xfId="0" applyAlignment="1" applyBorder="1" applyFont="1" applyNumberFormat="1">
      <alignment horizontal="center" shrinkToFit="0" vertical="center" wrapText="1"/>
    </xf>
    <xf borderId="57" fillId="0" fontId="71" numFmtId="0" xfId="0" applyAlignment="1" applyBorder="1" applyFont="1">
      <alignment vertical="center"/>
    </xf>
    <xf borderId="57" fillId="0" fontId="70" numFmtId="10" xfId="0" applyAlignment="1" applyBorder="1" applyFont="1" applyNumberFormat="1">
      <alignment horizontal="center" shrinkToFit="0" vertical="center" wrapText="1"/>
    </xf>
    <xf borderId="57" fillId="0" fontId="1" numFmtId="0" xfId="0" applyAlignment="1" applyBorder="1" applyFont="1">
      <alignment horizontal="center" vertical="center"/>
    </xf>
    <xf borderId="57" fillId="0" fontId="70" numFmtId="9" xfId="0" applyAlignment="1" applyBorder="1" applyFont="1" applyNumberFormat="1">
      <alignment horizontal="center" vertical="center"/>
    </xf>
    <xf borderId="57" fillId="0" fontId="70" numFmtId="195" xfId="0" applyAlignment="1" applyBorder="1" applyFont="1" applyNumberFormat="1">
      <alignment horizontal="center" shrinkToFit="0" vertical="center" wrapText="1"/>
    </xf>
    <xf borderId="57" fillId="0" fontId="70" numFmtId="2" xfId="0" applyAlignment="1" applyBorder="1" applyFont="1" applyNumberFormat="1">
      <alignment horizontal="center" shrinkToFit="0" vertical="center" wrapText="1"/>
    </xf>
    <xf borderId="57" fillId="0" fontId="1" numFmtId="9" xfId="0" applyAlignment="1" applyBorder="1" applyFont="1" applyNumberFormat="1">
      <alignment vertical="center"/>
    </xf>
    <xf borderId="57" fillId="0" fontId="70" numFmtId="10" xfId="0" applyAlignment="1" applyBorder="1" applyFont="1" applyNumberFormat="1">
      <alignment horizontal="center" vertical="center"/>
    </xf>
    <xf borderId="57" fillId="0" fontId="1" numFmtId="4" xfId="0" applyAlignment="1" applyBorder="1" applyFont="1" applyNumberFormat="1">
      <alignment vertical="center"/>
    </xf>
    <xf borderId="0" fillId="0" fontId="1" numFmtId="2" xfId="0" applyAlignment="1" applyFont="1" applyNumberFormat="1">
      <alignment vertical="center"/>
    </xf>
    <xf borderId="53" fillId="7" fontId="69" numFmtId="0" xfId="0" applyAlignment="1" applyBorder="1" applyFont="1">
      <alignment horizontal="center" shrinkToFit="0" vertical="center" wrapText="1"/>
    </xf>
    <xf borderId="54" fillId="7" fontId="1" numFmtId="0" xfId="0" applyAlignment="1" applyBorder="1" applyFont="1">
      <alignment vertical="center"/>
    </xf>
    <xf borderId="57" fillId="0" fontId="68" numFmtId="0" xfId="0" applyAlignment="1" applyBorder="1" applyFont="1">
      <alignment horizontal="center" vertical="center"/>
    </xf>
    <xf borderId="57" fillId="0" fontId="68" numFmtId="196" xfId="0" applyAlignment="1" applyBorder="1" applyFont="1" applyNumberFormat="1">
      <alignment horizontal="center" shrinkToFit="0" vertical="center" wrapText="1"/>
    </xf>
    <xf borderId="71" fillId="3" fontId="68" numFmtId="0" xfId="0" applyAlignment="1" applyBorder="1" applyFont="1">
      <alignment horizontal="center" vertical="center"/>
    </xf>
    <xf borderId="73" fillId="31" fontId="68" numFmtId="0" xfId="0" applyAlignment="1" applyBorder="1" applyFill="1" applyFont="1">
      <alignment horizontal="center" shrinkToFit="0" vertical="center" wrapText="1"/>
    </xf>
    <xf borderId="73" fillId="31" fontId="70" numFmtId="195" xfId="0" applyAlignment="1" applyBorder="1" applyFont="1" applyNumberFormat="1">
      <alignment horizontal="center" vertical="center"/>
    </xf>
    <xf borderId="57" fillId="31" fontId="70" numFmtId="195" xfId="0" applyAlignment="1" applyBorder="1" applyFont="1" applyNumberFormat="1">
      <alignment horizontal="center" vertical="center"/>
    </xf>
    <xf borderId="57" fillId="31" fontId="70" numFmtId="0" xfId="0" applyAlignment="1" applyBorder="1" applyFont="1">
      <alignment horizontal="center" vertical="center"/>
    </xf>
    <xf borderId="57" fillId="31" fontId="70" numFmtId="3" xfId="0" applyAlignment="1" applyBorder="1" applyFont="1" applyNumberFormat="1">
      <alignment horizontal="center" shrinkToFit="0" vertical="center" wrapText="1"/>
    </xf>
    <xf borderId="71" fillId="31" fontId="70" numFmtId="9" xfId="0" applyAlignment="1" applyBorder="1" applyFont="1" applyNumberFormat="1">
      <alignment horizontal="center" vertical="center"/>
    </xf>
    <xf borderId="29" fillId="31" fontId="70" numFmtId="195" xfId="0" applyAlignment="1" applyBorder="1" applyFont="1" applyNumberFormat="1">
      <alignment horizontal="center" vertical="center"/>
    </xf>
    <xf borderId="0" fillId="0" fontId="1" numFmtId="10" xfId="0" applyAlignment="1" applyFont="1" applyNumberFormat="1">
      <alignment horizontal="right" vertical="center"/>
    </xf>
    <xf borderId="0" fillId="0" fontId="1" numFmtId="0" xfId="0" applyAlignment="1" applyFont="1">
      <alignment horizontal="right" vertical="center"/>
    </xf>
    <xf borderId="29" fillId="31" fontId="70" numFmtId="9" xfId="0" applyAlignment="1" applyBorder="1" applyFont="1" applyNumberFormat="1">
      <alignment horizontal="center" vertical="center"/>
    </xf>
    <xf borderId="29" fillId="31" fontId="70" numFmtId="195" xfId="0" applyAlignment="1" applyBorder="1" applyFont="1" applyNumberFormat="1">
      <alignment horizontal="center" shrinkToFit="0" vertical="center" wrapText="1"/>
    </xf>
    <xf borderId="66" fillId="31" fontId="68" numFmtId="0" xfId="0" applyAlignment="1" applyBorder="1" applyFont="1">
      <alignment horizontal="center" shrinkToFit="0" vertical="center" wrapText="1"/>
    </xf>
    <xf borderId="74" fillId="0" fontId="68" numFmtId="0" xfId="0" applyAlignment="1" applyBorder="1" applyFont="1">
      <alignment horizontal="center" vertical="center"/>
    </xf>
    <xf borderId="71" fillId="31" fontId="68" numFmtId="0" xfId="0" applyAlignment="1" applyBorder="1" applyFont="1">
      <alignment shrinkToFit="0" vertical="center" wrapText="1"/>
    </xf>
    <xf borderId="71" fillId="31" fontId="70" numFmtId="195" xfId="0" applyAlignment="1" applyBorder="1" applyFont="1" applyNumberFormat="1">
      <alignment horizontal="center" vertical="center"/>
    </xf>
  </cellXfs>
  <cellStyles count="1">
    <cellStyle xfId="0" name="Normal" builtinId="0"/>
  </cellStyles>
  <dxfs count="5">
    <dxf>
      <font>
        <b/>
      </font>
      <fill>
        <patternFill patternType="solid">
          <fgColor rgb="FFFF0000"/>
          <bgColor rgb="FFFF000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WEB-style">
      <tableStyleElement dxfId="2" type="headerRow"/>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pivotCacheDefinition" Target="pivotCache/pivotCacheDefinition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9.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304800</xdr:colOff>
      <xdr:row>2</xdr:row>
      <xdr:rowOff>133350</xdr:rowOff>
    </xdr:from>
    <xdr:ext cx="2009775" cy="600075"/>
    <xdr:pic>
      <xdr:nvPicPr>
        <xdr:cNvPr id="0" name="image5.png" title="Biểu đồ"/>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304800</xdr:colOff>
      <xdr:row>5</xdr:row>
      <xdr:rowOff>0</xdr:rowOff>
    </xdr:from>
    <xdr:ext cx="2009775" cy="600075"/>
    <xdr:pic>
      <xdr:nvPicPr>
        <xdr:cNvPr id="0" name="image2.png" title="Biểu đồ"/>
        <xdr:cNvPicPr preferRelativeResize="0"/>
      </xdr:nvPicPr>
      <xdr:blipFill>
        <a:blip cstate="print" r:embed="rId2"/>
        <a:stretch>
          <a:fillRect/>
        </a:stretch>
      </xdr:blipFill>
      <xdr:spPr>
        <a:prstGeom prst="rect">
          <a:avLst/>
        </a:prstGeom>
        <a:noFill/>
      </xdr:spPr>
    </xdr:pic>
    <xdr:clientData fLocksWithSheet="0"/>
  </xdr:oneCellAnchor>
  <xdr:oneCellAnchor>
    <xdr:from>
      <xdr:col>25</xdr:col>
      <xdr:colOff>428625</xdr:colOff>
      <xdr:row>14</xdr:row>
      <xdr:rowOff>0</xdr:rowOff>
    </xdr:from>
    <xdr:ext cx="3762375" cy="819150"/>
    <xdr:pic>
      <xdr:nvPicPr>
        <xdr:cNvPr id="0" name="image1.png" title="Biểu đồ"/>
        <xdr:cNvPicPr preferRelativeResize="0"/>
      </xdr:nvPicPr>
      <xdr:blipFill>
        <a:blip cstate="print" r:embed="rId3"/>
        <a:stretch>
          <a:fillRect/>
        </a:stretch>
      </xdr:blipFill>
      <xdr:spPr>
        <a:prstGeom prst="rect">
          <a:avLst/>
        </a:prstGeom>
        <a:noFill/>
      </xdr:spPr>
    </xdr:pic>
    <xdr:clientData fLocksWithSheet="0"/>
  </xdr:oneCellAnchor>
  <xdr:oneCellAnchor>
    <xdr:from>
      <xdr:col>25</xdr:col>
      <xdr:colOff>428625</xdr:colOff>
      <xdr:row>18</xdr:row>
      <xdr:rowOff>161925</xdr:rowOff>
    </xdr:from>
    <xdr:ext cx="3762375" cy="819150"/>
    <xdr:pic>
      <xdr:nvPicPr>
        <xdr:cNvPr id="0" name="image6.png" title="Biểu đồ"/>
        <xdr:cNvPicPr preferRelativeResize="0"/>
      </xdr:nvPicPr>
      <xdr:blipFill>
        <a:blip cstate="print" r:embed="rId4"/>
        <a:stretch>
          <a:fillRect/>
        </a:stretch>
      </xdr:blipFill>
      <xdr:spPr>
        <a:prstGeom prst="rect">
          <a:avLst/>
        </a:prstGeom>
        <a:noFill/>
      </xdr:spPr>
    </xdr:pic>
    <xdr:clientData fLocksWithSheet="0"/>
  </xdr:oneCellAnchor>
  <xdr:oneCellAnchor>
    <xdr:from>
      <xdr:col>25</xdr:col>
      <xdr:colOff>428625</xdr:colOff>
      <xdr:row>30</xdr:row>
      <xdr:rowOff>38100</xdr:rowOff>
    </xdr:from>
    <xdr:ext cx="3762375" cy="752475"/>
    <xdr:pic>
      <xdr:nvPicPr>
        <xdr:cNvPr id="0" name="image7.png" title="Biểu đồ"/>
        <xdr:cNvPicPr preferRelativeResize="0"/>
      </xdr:nvPicPr>
      <xdr:blipFill>
        <a:blip cstate="print" r:embed="rId5"/>
        <a:stretch>
          <a:fillRect/>
        </a:stretch>
      </xdr:blipFill>
      <xdr:spPr>
        <a:prstGeom prst="rect">
          <a:avLst/>
        </a:prstGeom>
        <a:noFill/>
      </xdr:spPr>
    </xdr:pic>
    <xdr:clientData fLocksWithSheet="0"/>
  </xdr:oneCellAnchor>
  <xdr:oneCellAnchor>
    <xdr:from>
      <xdr:col>25</xdr:col>
      <xdr:colOff>428625</xdr:colOff>
      <xdr:row>34</xdr:row>
      <xdr:rowOff>142875</xdr:rowOff>
    </xdr:from>
    <xdr:ext cx="3762375" cy="752475"/>
    <xdr:pic>
      <xdr:nvPicPr>
        <xdr:cNvPr id="0" name="image4.png" title="Biểu đồ"/>
        <xdr:cNvPicPr preferRelativeResize="0"/>
      </xdr:nvPicPr>
      <xdr:blipFill>
        <a:blip cstate="print" r:embed="rId6"/>
        <a:stretch>
          <a:fillRect/>
        </a:stretch>
      </xdr:blipFill>
      <xdr:spPr>
        <a:prstGeom prst="rect">
          <a:avLst/>
        </a:prstGeom>
        <a:noFill/>
      </xdr:spPr>
    </xdr:pic>
    <xdr:clientData fLocksWithSheet="0"/>
  </xdr:oneCellAnchor>
  <xdr:oneCellAnchor>
    <xdr:from>
      <xdr:col>25</xdr:col>
      <xdr:colOff>476250</xdr:colOff>
      <xdr:row>4</xdr:row>
      <xdr:rowOff>19050</xdr:rowOff>
    </xdr:from>
    <xdr:ext cx="3714750" cy="600075"/>
    <xdr:pic>
      <xdr:nvPicPr>
        <xdr:cNvPr id="0" name="image8.png" title="Biểu đồ"/>
        <xdr:cNvPicPr preferRelativeResize="0"/>
      </xdr:nvPicPr>
      <xdr:blipFill>
        <a:blip cstate="print" r:embed="rId7"/>
        <a:stretch>
          <a:fillRect/>
        </a:stretch>
      </xdr:blipFill>
      <xdr:spPr>
        <a:prstGeom prst="rect">
          <a:avLst/>
        </a:prstGeom>
        <a:noFill/>
      </xdr:spPr>
    </xdr:pic>
    <xdr:clientData fLocksWithSheet="0"/>
  </xdr:oneCellAnchor>
  <xdr:oneCellAnchor>
    <xdr:from>
      <xdr:col>25</xdr:col>
      <xdr:colOff>476250</xdr:colOff>
      <xdr:row>7</xdr:row>
      <xdr:rowOff>152400</xdr:rowOff>
    </xdr:from>
    <xdr:ext cx="3714750" cy="600075"/>
    <xdr:pic>
      <xdr:nvPicPr>
        <xdr:cNvPr id="0" name="image3.png" title="Biểu đồ"/>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895350</xdr:colOff>
      <xdr:row>2</xdr:row>
      <xdr:rowOff>133350</xdr:rowOff>
    </xdr:from>
    <xdr:ext cx="1809750" cy="1400175"/>
    <xdr:pic>
      <xdr:nvPicPr>
        <xdr:cNvPr id="0" name="image9.png" title="Biểu đồ"/>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5:AB121" sheet="Sản phẩm"/>
  </cacheSource>
  <cacheFields>
    <cacheField name="Có giá trị" numFmtId="0">
      <sharedItems containsSemiMixedTypes="0" containsString="0" containsNumber="1" containsInteger="1">
        <n v="2.5666719442E10"/>
        <n v="8.782633181E9"/>
        <n v="5.158911395E9"/>
        <n v="6.917016018E9"/>
        <n v="5.519393895E9"/>
        <n v="3.862340378E9"/>
        <n v="2.4667488336E10"/>
        <n v="2.486748184E10"/>
        <n v="3.934257539E9"/>
        <n v="2.4867724627E10"/>
        <n v="1.0014812415E10"/>
        <n v="2.7540123008E10"/>
        <n v="2.2657955668E10"/>
        <n v="2.6291184268E10"/>
        <n v="4.2318210434E10"/>
        <n v="5.219966803E9"/>
        <n v="2.4367745053E10"/>
        <n v="2.6690114427E10"/>
        <n v="2.9840196606E10"/>
        <n v="4.066407109E10"/>
        <n v="3.1275154E9"/>
        <n v="4.517408573E9"/>
        <n v="6.319391113E9"/>
        <n v="1.1372319169E10"/>
        <n v="1.2146844429E10"/>
        <n v="1.3953468578E10"/>
        <n v="1.4500181135E10"/>
        <n v="1.5403948801E10"/>
        <n v="2.1287412861E10"/>
        <n v="2.2864051694E10"/>
        <n v="2.4067721716E10"/>
        <n v="2.4576774667E10"/>
      </sharedItems>
    </cacheField>
    <cacheField name="Sản phẩm" numFmtId="0">
      <sharedItems>
        <s v="Viên uống giúp tái tạo và nuôi dưỡng mô sụn - HB Glucollagen 7 in 1"/>
        <s v="Viên Uống Giúp Chống Nắng Trắng Da Mờ Nám HB GLUTA WHITE +"/>
        <s v="Khẩu Trang Y Tế Kháng Khuẩn HB Medical Mask Cao Cấp Healthy Beauty 1 Hộp 50 cái"/>
        <s v="Viên uống giúp Bổ Sung Canxi và Vitamin D3 HB CALCIDSOFT"/>
        <s v="Viên Uống Giảm Gãy Rụng và Đen Tóc HB Black Hair Healthy Beauty (date 15/02/2026)"/>
        <s v="Viên Uống Giảm Cân An Toàn Ban Ngày HB SLIMDAY 60 Viên"/>
        <s v="Viên uống HB Glutathione - C Plus 30 viên"/>
        <s v="Viên uống HB Glucosamine 3 in 1 60 viên - 200 viên"/>
        <s v="Viên Uống HB Collagen Type 1,2&amp;3 Healthy Beauty 120 Viên"/>
        <s v="Viên uống HB Arginmilk Plus 60 viên"/>
        <s v="Viên Uống Bổ Sung Vitamin &amp; Khoáng Chất Cho Bà Bầu HB PRENATAL SUPPORT"/>
        <s v="[HB Gift]_Túi vải đay linen Healthy Beauty 40x35cm, thiết kế thanh lịch, chắc chắn, dung tích rộng"/>
        <s v="Viên uống HB GutCare (30 - 60 viên) hỗ trợ giảm triệu chứng đau khớp"/>
        <s v="[HB Gift] _01 cây Bút Bi Healthy Beauty"/>
        <s v="Combo X 2 - Viên uống giúp tái tạo và nuôi dưỡng mô sụn - HB Glucollagen 7 in 1"/>
        <s v="Viên Uống Đông Trùng Hạ Thảo Bồi Bổ Khí Huyết HB CORDY EXTRACT"/>
        <s v="HB MEDICAL MASK - Túi zip - Khẩu trang y tế 4 lớp kháng khuẩn chuẩn nhóm A"/>
        <s v="Combo Tiết Kiệm Chắc Khoẻ X3 HB CALCIDSOFT (combo 03 hộp)"/>
        <s v="Combo Mượt khớp, chắc xương (HB CALCIDSOFT - 30V + HB SHARK CARTILARGE - 100V)"/>
        <s v="Combo Chắc Xương - Khoẻ Khớp (HB GLUCOLLAGEN 7 IN 1 - 30V + HB CALCIDSOFT - 30V)"/>
        <s v="Viên Uống Healthy Beauty Omega 3,6,9 Từ Dầu Hạt Lanh 100 Viên &amp; 200 Viên"/>
        <s v="Viên Uống Bổ Sung 30 Loại Vitamin Và Khoáng Chất Cho Nam HB ONCE DAILY MEN'S MULTI"/>
        <s v="Viên Uống Bổ Sung 28 Loại Vitamin Và Khoáng Chất Cho Phụ Nữ HB ONCE DAILY WOMEN'S MULTI"/>
        <s v="Combo Trẻ Hóa Làn Da Gluta White+ &amp; HB Collagen Type 1,2,3 Healthy Beauty"/>
        <s v="Combo Cải Thiện Thị Lực Tăng Cường Trí Nhớ HB Ginkgo Biloba 120Mg &amp; HB Visionfort Support 30V"/>
        <s v="ComBo Vui Khỏe Vận Động HB Calcidsoft &amp; Shark Cartilage 750Mg Healthy Beauty Giúp Xương Chắc Khỏe Khớp Dẻo Dai"/>
        <s v="Combo Ngủ Ngon Sâu Giấc HB Cordy Extract &amp; HB Ginkgo Biloba 120Mg Healthy Beauty"/>
        <s v="Bộ Đôi Giảm Cân An Toàn Hiệu Quả HB SLIMDAY &amp; HB SLIMNIGHT"/>
        <s v="Viên uống HB Gingko Biloba 30 viên - 60 viên"/>
        <s v="Viên uống HB Visionfort Support 30 viên - 60 viên"/>
        <s v="Viên uống HB Shark Cartilage 100 viên"/>
        <s v="VIÊN UỐNG GIẢI ĐỘC GAN, CHỐNG OXY HÓA, DƯỠNG SÁNG DA HB GLUTATHION-C PLUS 30 VIÊN"/>
      </sharedItems>
    </cacheField>
    <cacheField name="Tình trạng sản phẩm hiện tại" numFmtId="0">
      <sharedItems>
        <s v="Đang hoạt động"/>
      </sharedItems>
    </cacheField>
    <cacheField name="Mã phân loại hàng">
      <sharedItems containsMixedTypes="1" containsNumber="1" containsInteger="1">
        <s v="-"/>
        <n v="2.55410547718E11"/>
        <n v="2.55410547719E11"/>
        <n v="9.3855942766E10"/>
        <n v="9.3855942767E10"/>
        <n v="9.3855942768E10"/>
        <n v="1.21223345683E11"/>
        <n v="1.21223345684E11"/>
        <n v="7.6595553673E10"/>
        <n v="7.6595553674E10"/>
        <n v="2.22571286446E11"/>
        <n v="6.9751100999E10"/>
        <n v="1.97356160607E11"/>
        <n v="5.6678491253E10"/>
        <n v="5.6678491254E10"/>
        <n v="2.65663431573E11"/>
        <n v="2.17104025857E11"/>
        <n v="2.86496443347E11"/>
        <n v="2.86496443348E11"/>
        <n v="1.58543871026E11"/>
        <n v="2.45478515347E11"/>
        <n v="2.86143543153E11"/>
        <n v="2.86143543154E11"/>
        <n v="2.7988409751E10"/>
        <n v="8.8883451652E10"/>
      </sharedItems>
    </cacheField>
    <cacheField name="Tên Phân Loại" numFmtId="0">
      <sharedItems>
        <s v="-"/>
        <s v="30 viên"/>
        <s v="60 viên"/>
        <s v="Than Hoạt Tính"/>
        <s v="Màu Trắng"/>
        <s v="Màu Xanh"/>
        <s v="Hộp 30 Viên"/>
        <s v="Hộp 60 Viên"/>
        <s v="Hộp/Vỉ 10 viên x 3"/>
        <s v="100 viên"/>
      </sharedItems>
    </cacheField>
    <cacheField name="Trạng thái phân loại sản phẩm hiện tại" numFmtId="0">
      <sharedItems>
        <s v="-"/>
        <s v="Đang hoạt động"/>
      </sharedItems>
    </cacheField>
    <cacheField name="SKU phân loại" numFmtId="0">
      <sharedItems>
        <s v="-"/>
        <s v="HB002"/>
        <s v="HB003"/>
        <s v="HB024"/>
        <s v="HB025"/>
        <s v="HB028"/>
        <s v="HB026"/>
        <s v="HB030"/>
        <s v="HB005"/>
        <s v="HB018"/>
        <s v="HB033"/>
        <s v="HB034"/>
        <s v="HB039"/>
        <s v="HB038"/>
        <s v="HB03"/>
        <s v="HB010"/>
      </sharedItems>
    </cacheField>
    <cacheField name="SKU sản phẩm" numFmtId="0">
      <sharedItems containsBlank="1">
        <s v="-"/>
        <m/>
        <s v="HB006"/>
        <s v="HB007"/>
        <s v="HB030"/>
        <s v="HB001"/>
        <s v="HB018"/>
        <s v="HB015"/>
        <s v="HB013"/>
        <s v="HB014"/>
        <s v="HB010"/>
      </sharedItems>
    </cacheField>
    <cacheField name="Lượt truy cập sản phẩm">
      <sharedItems containsMixedTypes="1" containsNumber="1" containsInteger="1">
        <n v="337.0"/>
        <s v="-"/>
        <n v="295.0"/>
        <n v="79.0"/>
        <n v="217.0"/>
        <n v="113.0"/>
        <n v="393.0"/>
        <n v="75.0"/>
        <n v="34.0"/>
        <n v="164.0"/>
        <n v="50.0"/>
        <n v="23.0"/>
        <n v="10.0"/>
        <n v="18.0"/>
        <n v="87.0"/>
        <n v="15.0"/>
        <n v="9.0"/>
        <n v="3.0"/>
        <n v="1.0"/>
        <n v="25.0"/>
        <n v="7.0"/>
        <n v="5.0"/>
        <n v="13.0"/>
        <n v="8.0"/>
        <n v="21.0"/>
        <n v="20.0"/>
      </sharedItems>
    </cacheField>
    <cacheField name="Lượt xem trang sản phẩm">
      <sharedItems containsMixedTypes="1" containsNumber="1" containsInteger="1">
        <n v="794.0"/>
        <s v="-"/>
        <n v="790.0"/>
        <n v="164.0"/>
        <n v="520.0"/>
        <n v="264.0"/>
        <n v="742.0"/>
        <n v="156.0"/>
        <n v="109.0"/>
        <n v="310.0"/>
        <n v="112.0"/>
        <n v="46.0"/>
        <n v="13.0"/>
        <n v="29.0"/>
        <n v="26.0"/>
        <n v="37.0"/>
        <n v="206.0"/>
        <n v="15.0"/>
        <n v="35.0"/>
        <n v="25.0"/>
        <n v="64.0"/>
        <n v="3.0"/>
        <n v="1.0"/>
        <n v="7.0"/>
        <n v="8.0"/>
        <n v="33.0"/>
        <n v="14.0"/>
        <n v="34.0"/>
        <n v="30.0"/>
      </sharedItems>
    </cacheField>
    <cacheField name="Số lượng khách thoát trang sản phẩm">
      <sharedItems containsMixedTypes="1" containsNumber="1" containsInteger="1">
        <n v="56.0"/>
        <s v="-"/>
        <n v="67.0"/>
        <n v="18.0"/>
        <n v="44.0"/>
        <n v="32.0"/>
        <n v="72.0"/>
        <n v="22.0"/>
        <n v="11.0"/>
        <n v="52.0"/>
        <n v="7.0"/>
        <n v="5.0"/>
        <n v="3.0"/>
        <n v="8.0"/>
        <n v="19.0"/>
        <n v="2.0"/>
        <n v="4.0"/>
        <n v="13.0"/>
        <n v="0.0"/>
        <n v="9.0"/>
      </sharedItems>
    </cacheField>
    <cacheField name="Tỷ lệ thoát Trang sản phẩm">
      <sharedItems containsMixedTypes="1" containsNumber="1">
        <n v="0.1662"/>
        <s v="-"/>
        <n v="0.2271"/>
        <n v="0.2278"/>
        <n v="0.2028"/>
        <n v="0.2832"/>
        <n v="0.1832"/>
        <n v="0.2933"/>
        <n v="0.3235"/>
        <n v="0.3171"/>
        <n v="0.14"/>
        <n v="0.2174"/>
        <n v="0.3"/>
        <n v="0.2778"/>
        <n v="0.4444"/>
        <n v="0.1304"/>
        <n v="0.2184"/>
        <n v="0.2"/>
        <n v="0.2667"/>
        <n v="0.1333"/>
        <n v="0.3824"/>
        <n v="0.3333"/>
        <n v="0.6667"/>
        <n v="0.0"/>
        <n v="0.5714"/>
        <n v="0.4"/>
        <n v="0.3913"/>
        <n v="0.3077"/>
        <n v="0.25"/>
        <n v="0.2381"/>
      </sharedItems>
    </cacheField>
    <cacheField name="Lượt click từ Trang tìm kiếm">
      <sharedItems containsMixedTypes="1" containsNumber="1" containsInteger="1">
        <n v="48.0"/>
        <s v="-"/>
        <n v="119.0"/>
        <n v="43.0"/>
        <n v="107.0"/>
        <n v="25.0"/>
        <n v="216.0"/>
        <n v="16.0"/>
        <n v="6.0"/>
        <n v="61.0"/>
        <n v="3.0"/>
        <n v="5.0"/>
        <n v="0.0"/>
        <n v="1.0"/>
        <n v="30.0"/>
        <n v="4.0"/>
        <n v="2.0"/>
      </sharedItems>
    </cacheField>
    <cacheField name="Lượt thích">
      <sharedItems containsMixedTypes="1" containsNumber="1" containsInteger="1">
        <n v="13.0"/>
        <s v="-"/>
        <n v="24.0"/>
        <n v="11.0"/>
        <n v="54.0"/>
        <n v="2.0"/>
        <n v="9.0"/>
        <n v="3.0"/>
        <n v="0.0"/>
        <n v="1.0"/>
      </sharedItems>
    </cacheField>
    <cacheField name="Lượt truy cập sản phẩm (Thêm vào giỏ hàng)" numFmtId="3">
      <sharedItems containsSemiMixedTypes="0" containsString="0" containsNumber="1" containsInteger="1">
        <n v="72.0"/>
        <n v="28.0"/>
        <n v="57.0"/>
        <n v="38.0"/>
        <n v="19.0"/>
        <n v="4.0"/>
        <n v="16.0"/>
        <n v="2.0"/>
        <n v="33.0"/>
        <n v="7.0"/>
        <n v="27.0"/>
        <n v="20.0"/>
        <n v="11.0"/>
        <n v="34.0"/>
        <n v="10.0"/>
        <n v="9.0"/>
        <n v="8.0"/>
        <n v="14.0"/>
        <n v="13.0"/>
        <n v="0.0"/>
        <n v="1.0"/>
        <n v="5.0"/>
        <n v="3.0"/>
      </sharedItems>
    </cacheField>
    <cacheField name="Sản phẩm (Thêm vào giỏ hàng)" numFmtId="0">
      <sharedItems containsSemiMixedTypes="0" containsString="0" containsNumber="1" containsInteger="1">
        <n v="158.0"/>
        <n v="53.0"/>
        <n v="105.0"/>
        <n v="137.0"/>
        <n v="78.0"/>
        <n v="35.0"/>
        <n v="40.0"/>
        <n v="3.0"/>
        <n v="77.0"/>
        <n v="10.0"/>
        <n v="67.0"/>
        <n v="69.0"/>
        <n v="32.0"/>
        <n v="37.0"/>
        <n v="42.0"/>
        <n v="28.0"/>
        <n v="17.0"/>
        <n v="29.0"/>
        <n v="26.0"/>
        <n v="2.0"/>
        <n v="0.0"/>
        <n v="1.0"/>
        <n v="6.0"/>
        <n v="15.0"/>
        <n v="18.0"/>
        <n v="13.0"/>
      </sharedItems>
    </cacheField>
    <cacheField name="Tỷ lệ chuyển đổi (theo lượt thêm vào giỏ hàng)">
      <sharedItems containsMixedTypes="1" containsNumber="1">
        <n v="0.2136"/>
        <s v="-"/>
        <n v="0.1288"/>
        <n v="0.2405"/>
        <n v="0.1521"/>
        <n v="0.2389"/>
        <n v="0.0865"/>
        <n v="0.1333"/>
        <n v="0.2353"/>
        <n v="0.0976"/>
        <n v="0.28"/>
        <n v="0.087"/>
        <n v="0.0"/>
        <n v="0.1111"/>
        <n v="0.2778"/>
        <n v="0.1739"/>
        <n v="0.092"/>
        <n v="0.3"/>
        <n v="0.0667"/>
        <n v="0.2"/>
        <n v="0.1176"/>
        <n v="0.1429"/>
        <n v="0.1"/>
      </sharedItems>
    </cacheField>
    <cacheField name="Người mua đã đặt hàng" numFmtId="0">
      <sharedItems containsSemiMixedTypes="0" containsString="0" containsNumber="1" containsInteger="1">
        <n v="23.0"/>
        <n v="4.0"/>
        <n v="21.0"/>
        <n v="10.0"/>
        <n v="6.0"/>
        <n v="1.0"/>
        <n v="5.0"/>
        <n v="11.0"/>
        <n v="2.0"/>
        <n v="9.0"/>
        <n v="8.0"/>
        <n v="3.0"/>
        <n v="0.0"/>
      </sharedItems>
    </cacheField>
    <cacheField name="Sản phẩm (Đơn đã đặt)" numFmtId="0">
      <sharedItems containsSemiMixedTypes="0" containsString="0" containsNumber="1" containsInteger="1">
        <n v="33.0"/>
        <n v="4.0"/>
        <n v="29.0"/>
        <n v="27.0"/>
        <n v="17.0"/>
        <n v="5.0"/>
        <n v="11.0"/>
        <n v="1.0"/>
        <n v="14.0"/>
        <n v="2.0"/>
        <n v="12.0"/>
        <n v="6.0"/>
        <n v="8.0"/>
        <n v="3.0"/>
        <n v="0.0"/>
      </sharedItems>
    </cacheField>
    <cacheField name="Doanh số (Đơn đã đặt) (VND)" numFmtId="3">
      <sharedItems containsSemiMixedTypes="0" containsString="0" containsNumber="1" containsInteger="1">
        <n v="2.5286817E7"/>
        <n v="1818607.0"/>
        <n v="2.346821E7"/>
        <n v="2.511623E7"/>
        <n v="952500.0"/>
        <n v="295000.0"/>
        <n v="609500.0"/>
        <n v="48000.0"/>
        <n v="3955531.0"/>
        <n v="389880.0"/>
        <n v="3565651.0"/>
        <n v="6811660.0"/>
        <n v="2558639.0"/>
        <n v="4253021.0"/>
        <n v="5310019.0"/>
        <n v="5278000.0"/>
        <n v="1733140.0"/>
        <n v="2753068.0"/>
        <n v="2364865.0"/>
        <n v="1447200.0"/>
        <n v="395240.0"/>
        <n v="677320.0"/>
        <n v="374640.0"/>
        <n v="0.0"/>
        <n v="1166880.0"/>
        <n v="27500.0"/>
        <n v="3095820.0"/>
        <n v="807100.0"/>
        <n v="18000.0"/>
        <n v="1214100.0"/>
        <n v="727600.0"/>
        <n v="677880.0"/>
      </sharedItems>
    </cacheField>
    <cacheField name="Tỷ lệ chuyển đổi (Đơn đã đặt)">
      <sharedItems containsMixedTypes="1" containsNumber="1">
        <n v="0.0682"/>
        <s v="-"/>
        <n v="0.0339"/>
        <n v="0.0759"/>
        <n v="0.0507"/>
        <n v="0.0708"/>
        <n v="0.0204"/>
        <n v="0.04"/>
        <n v="0.0882"/>
        <n v="0.0244"/>
        <n v="0.08"/>
        <n v="0.1304"/>
        <n v="0.3"/>
        <n v="0.0556"/>
        <n v="0.1111"/>
        <n v="0.0435"/>
        <n v="0.0115"/>
        <n v="0.1"/>
        <n v="0.0667"/>
        <n v="0.0294"/>
        <n v="0.0"/>
      </sharedItems>
    </cacheField>
    <cacheField name="Người mua có đơn đã xác nhận" numFmtId="0">
      <sharedItems containsSemiMixedTypes="0" containsString="0" containsNumber="1" containsInteger="1">
        <n v="23.0"/>
        <n v="4.0"/>
        <n v="21.0"/>
        <n v="10.0"/>
        <n v="6.0"/>
        <n v="1.0"/>
        <n v="5.0"/>
        <n v="11.0"/>
        <n v="2.0"/>
        <n v="9.0"/>
        <n v="7.0"/>
        <n v="8.0"/>
        <n v="3.0"/>
        <n v="0.0"/>
      </sharedItems>
    </cacheField>
    <cacheField name="Sản phẩm (Đơn đã xác nhận)" numFmtId="0">
      <sharedItems containsSemiMixedTypes="0" containsString="0" containsNumber="1" containsInteger="1">
        <n v="33.0"/>
        <n v="4.0"/>
        <n v="29.0"/>
        <n v="25.0"/>
        <n v="17.0"/>
        <n v="5.0"/>
        <n v="11.0"/>
        <n v="1.0"/>
        <n v="13.0"/>
        <n v="2.0"/>
        <n v="9.0"/>
        <n v="3.0"/>
        <n v="6.0"/>
        <n v="8.0"/>
        <n v="0.0"/>
      </sharedItems>
    </cacheField>
    <cacheField name="Doanh số (Đơn đã xác nhận) (VND)" numFmtId="3">
      <sharedItems containsSemiMixedTypes="0" containsString="0" containsNumber="1" containsInteger="1">
        <n v="2.5286817E7"/>
        <n v="1818607.0"/>
        <n v="2.346821E7"/>
        <n v="2.334908E7"/>
        <n v="952500.0"/>
        <n v="295000.0"/>
        <n v="609500.0"/>
        <n v="48000.0"/>
        <n v="3674311.0"/>
        <n v="389880.0"/>
        <n v="3284431.0"/>
        <n v="5496780.0"/>
        <n v="1243759.0"/>
        <n v="4253021.0"/>
        <n v="5310019.0"/>
        <n v="5278000.0"/>
        <n v="1733140.0"/>
        <n v="2753068.0"/>
        <n v="2364865.0"/>
        <n v="1447200.0"/>
        <n v="395240.0"/>
        <n v="677320.0"/>
        <n v="374640.0"/>
        <n v="0.0"/>
        <n v="1166880.0"/>
        <n v="3095820.0"/>
        <n v="727600.0"/>
      </sharedItems>
    </cacheField>
    <cacheField name="Tỷ lệ chuyển đổi (Đơn đã xác nhận)">
      <sharedItems containsMixedTypes="1" containsNumber="1">
        <n v="0.0682"/>
        <s v="-"/>
        <n v="0.0339"/>
        <n v="0.0759"/>
        <n v="0.0507"/>
        <n v="0.0619"/>
        <n v="0.0204"/>
        <n v="0.04"/>
        <n v="0.0882"/>
        <n v="0.0244"/>
        <n v="0.08"/>
        <n v="0.1304"/>
        <n v="0.3"/>
        <n v="0.0556"/>
        <n v="0.0"/>
        <n v="0.0435"/>
        <n v="0.0667"/>
      </sharedItems>
    </cacheField>
    <cacheField name="Tỷ lệ chuyển đổi (Từ Đơn đã đặt thanh Đơn đã xác nhận)" numFmtId="10">
      <sharedItems containsSemiMixedTypes="0" containsString="0" containsNumber="1">
        <n v="1.0"/>
        <n v="0.875"/>
        <n v="0.5"/>
        <n v="0.0"/>
      </sharedItems>
    </cacheField>
    <cacheField name="Tỷ lệ đặt hàng lặp lại (Đơn hàng đã được xác nhận)" numFmtId="10">
      <sharedItems containsSemiMixedTypes="0" containsString="0" containsNumber="1">
        <n v="0.2069"/>
        <n v="0.0"/>
        <n v="0.1923"/>
        <n v="0.5"/>
        <n v="0.0833"/>
        <n v="0.1"/>
        <n v="0.125"/>
        <n v="0.1667"/>
        <n v="0.4"/>
      </sharedItems>
    </cacheField>
    <cacheField name="Số ngày trung bình để lặp lại đơn hàng (Đơn hàng đã được xác nhận)">
      <sharedItems containsDate="1" containsMixedTypes="1">
        <d v="2025-02-01T00:00:00Z"/>
        <n v="0.0"/>
        <s v="0.4"/>
        <d v="2025-08-03T00:00:00Z"/>
        <n v="18.0"/>
        <d v="2025-05-03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5:AB116" sheet="Sản phẩm"/>
  </cacheSource>
  <cacheFields>
    <cacheField name="Có giá trị" numFmtId="0">
      <sharedItems containsSemiMixedTypes="0" containsString="0" containsNumber="1" containsInteger="1">
        <n v="2.5666719442E10"/>
        <n v="8.782633181E9"/>
        <n v="5.158911395E9"/>
        <n v="6.917016018E9"/>
        <n v="5.519393895E9"/>
        <n v="3.862340378E9"/>
        <n v="2.4667488336E10"/>
        <n v="2.486748184E10"/>
        <n v="3.934257539E9"/>
        <n v="2.4867724627E10"/>
        <n v="1.0014812415E10"/>
        <n v="2.7540123008E10"/>
        <n v="2.2657955668E10"/>
        <n v="2.6291184268E10"/>
        <n v="4.2318210434E10"/>
        <n v="5.219966803E9"/>
        <n v="2.4367745053E10"/>
        <n v="2.6690114427E10"/>
        <n v="2.9840196606E10"/>
        <n v="4.066407109E10"/>
        <n v="3.1275154E9"/>
        <n v="4.517408573E9"/>
        <n v="6.319391113E9"/>
        <n v="1.1372319169E10"/>
        <n v="1.2146844429E10"/>
        <n v="1.3953468578E10"/>
        <n v="1.4500181135E10"/>
        <n v="1.5403948801E10"/>
      </sharedItems>
    </cacheField>
    <cacheField name="Sản phẩm" numFmtId="0">
      <sharedItems>
        <s v="Viên uống giúp tái tạo và nuôi dưỡng mô sụn - HB Glucollagen 7 in 1"/>
        <s v="Viên Uống Giúp Chống Nắng Trắng Da Mờ Nám HB GLUTA WHITE +"/>
        <s v="Khẩu Trang Y Tế Kháng Khuẩn HB Medical Mask Cao Cấp Healthy Beauty 1 Hộp 50 cái"/>
        <s v="Viên uống giúp Bổ Sung Canxi và Vitamin D3 HB CALCIDSOFT"/>
        <s v="Viên Uống Giảm Gãy Rụng và Đen Tóc HB Black Hair Healthy Beauty (date 15/02/2026)"/>
        <s v="Viên Uống Giảm Cân An Toàn Ban Ngày HB SLIMDAY 60 Viên"/>
        <s v="Viên uống HB Glutathione - C Plus 30 viên"/>
        <s v="Viên uống HB Glucosamine 3 in 1 60 viên - 200 viên"/>
        <s v="Viên Uống HB Collagen Type 1,2&amp;3 Healthy Beauty 120 Viên"/>
        <s v="Viên uống HB Arginmilk Plus 60 viên"/>
        <s v="Viên Uống Bổ Sung Vitamin &amp; Khoáng Chất Cho Bà Bầu HB PRENATAL SUPPORT"/>
        <s v="[HB Gift]_Túi vải đay linen Healthy Beauty 40x35cm, thiết kế thanh lịch, chắc chắn, dung tích rộng"/>
        <s v="Viên uống HB GutCare (30 - 60 viên) hỗ trợ giảm triệu chứng đau khớp"/>
        <s v="[HB Gift] _01 cây Bút Bi Healthy Beauty"/>
        <s v="Combo X 2 - Viên uống giúp tái tạo và nuôi dưỡng mô sụn - HB Glucollagen 7 in 1"/>
        <s v="Viên Uống Đông Trùng Hạ Thảo Bồi Bổ Khí Huyết HB CORDY EXTRACT"/>
        <s v="HB MEDICAL MASK - Túi zip - Khẩu trang y tế 4 lớp kháng khuẩn chuẩn nhóm A"/>
        <s v="Combo Tiết Kiệm Chắc Khoẻ X3 HB CALCIDSOFT (combo 03 hộp)"/>
        <s v="Combo Mượt khớp, chắc xương (HB CALCIDSOFT - 30V + HB SHARK CARTILARGE - 100V)"/>
        <s v="Combo Chắc Xương - Khoẻ Khớp (HB GLUCOLLAGEN 7 IN 1 - 30V + HB CALCIDSOFT - 30V)"/>
        <s v="Viên Uống Healthy Beauty Omega 3,6,9 Từ Dầu Hạt Lanh 100 Viên &amp; 200 Viên"/>
        <s v="Viên Uống Bổ Sung 30 Loại Vitamin Và Khoáng Chất Cho Nam HB ONCE DAILY MEN'S MULTI"/>
        <s v="Viên Uống Bổ Sung 28 Loại Vitamin Và Khoáng Chất Cho Phụ Nữ HB ONCE DAILY WOMEN'S MULTI"/>
        <s v="Combo Trẻ Hóa Làn Da Gluta White+ &amp; HB Collagen Type 1,2,3 Healthy Beauty"/>
        <s v="Combo Cải Thiện Thị Lực Tăng Cường Trí Nhớ HB Ginkgo Biloba 120Mg &amp; HB Visionfort Support 30V"/>
        <s v="ComBo Vui Khỏe Vận Động HB Calcidsoft &amp; Shark Cartilage 750Mg Healthy Beauty Giúp Xương Chắc Khỏe Khớp Dẻo Dai"/>
        <s v="Combo Ngủ Ngon Sâu Giấc HB Cordy Extract &amp; HB Ginkgo Biloba 120Mg Healthy Beauty"/>
        <s v="Bộ Đôi Giảm Cân An Toàn Hiệu Quả HB SLIMDAY &amp; HB SLIMNIGHT"/>
      </sharedItems>
    </cacheField>
    <cacheField name="Tình trạng sản phẩm hiện tại" numFmtId="0">
      <sharedItems>
        <s v="Đang hoạt động"/>
      </sharedItems>
    </cacheField>
    <cacheField name="Mã phân loại hàng">
      <sharedItems containsMixedTypes="1" containsNumber="1" containsInteger="1">
        <s v="-"/>
        <n v="2.55410547718E11"/>
        <n v="2.55410547719E11"/>
        <n v="9.3855942766E10"/>
        <n v="9.3855942767E10"/>
        <n v="9.3855942768E10"/>
        <n v="1.21223345683E11"/>
        <n v="1.21223345684E11"/>
        <n v="7.6595553673E10"/>
        <n v="7.6595553674E10"/>
        <n v="2.22571286446E11"/>
        <n v="6.9751100999E10"/>
        <n v="1.97356160607E11"/>
        <n v="5.6678491253E10"/>
        <n v="5.6678491254E10"/>
        <n v="2.65663431573E11"/>
        <n v="2.17104025857E11"/>
        <n v="2.86496443347E11"/>
        <n v="2.86496443348E11"/>
        <n v="1.58543871026E11"/>
        <n v="2.45478515347E11"/>
        <n v="2.86143543153E11"/>
        <n v="2.86143543154E11"/>
        <n v="2.7988409751E10"/>
      </sharedItems>
    </cacheField>
    <cacheField name="Tên Phân Loại" numFmtId="0">
      <sharedItems>
        <s v="-"/>
        <s v="30 viên"/>
        <s v="60 viên"/>
        <s v="Than Hoạt Tính"/>
        <s v="Màu Trắng"/>
        <s v="Màu Xanh"/>
        <s v="Hộp 30 Viên"/>
        <s v="Hộp 60 Viên"/>
        <s v="Hộp/Vỉ 10 viên x 3"/>
      </sharedItems>
    </cacheField>
    <cacheField name="Trạng thái phân loại sản phẩm hiện tại" numFmtId="0">
      <sharedItems>
        <s v="-"/>
        <s v="Đang hoạt động"/>
      </sharedItems>
    </cacheField>
    <cacheField name="SKU phân loại" numFmtId="0">
      <sharedItems>
        <s v="-"/>
        <s v="HB002"/>
        <s v="HB003"/>
        <s v="HB024"/>
        <s v="HB025"/>
        <s v="HB028"/>
        <s v="HB026"/>
        <s v="HB030"/>
        <s v="HB005"/>
        <s v="HB018"/>
        <s v="HB033"/>
        <s v="HB034"/>
        <s v="HB039"/>
        <s v="HB038"/>
        <s v="HB03"/>
      </sharedItems>
    </cacheField>
    <cacheField name="SKU sản phẩm" numFmtId="0">
      <sharedItems containsBlank="1">
        <s v="-"/>
        <m/>
        <s v="HB006"/>
        <s v="HB007"/>
        <s v="HB030"/>
        <s v="HB001"/>
        <s v="HB018"/>
        <s v="HB015"/>
        <s v="HB013"/>
        <s v="HB014"/>
      </sharedItems>
    </cacheField>
    <cacheField name="Lượt truy cập sản phẩm">
      <sharedItems containsMixedTypes="1" containsNumber="1" containsInteger="1">
        <n v="337.0"/>
        <s v="-"/>
        <n v="295.0"/>
        <n v="79.0"/>
        <n v="217.0"/>
        <n v="113.0"/>
        <n v="393.0"/>
        <n v="75.0"/>
        <n v="34.0"/>
        <n v="164.0"/>
        <n v="50.0"/>
        <n v="23.0"/>
        <n v="10.0"/>
        <n v="18.0"/>
        <n v="87.0"/>
        <n v="15.0"/>
        <n v="9.0"/>
        <n v="3.0"/>
        <n v="1.0"/>
        <n v="25.0"/>
        <n v="7.0"/>
        <n v="5.0"/>
      </sharedItems>
    </cacheField>
    <cacheField name="Lượt xem trang sản phẩm">
      <sharedItems containsMixedTypes="1" containsNumber="1" containsInteger="1">
        <n v="794.0"/>
        <s v="-"/>
        <n v="790.0"/>
        <n v="164.0"/>
        <n v="520.0"/>
        <n v="264.0"/>
        <n v="742.0"/>
        <n v="156.0"/>
        <n v="109.0"/>
        <n v="310.0"/>
        <n v="112.0"/>
        <n v="46.0"/>
        <n v="13.0"/>
        <n v="29.0"/>
        <n v="26.0"/>
        <n v="37.0"/>
        <n v="206.0"/>
        <n v="15.0"/>
        <n v="35.0"/>
        <n v="25.0"/>
        <n v="64.0"/>
        <n v="3.0"/>
        <n v="1.0"/>
        <n v="7.0"/>
        <n v="8.0"/>
        <n v="33.0"/>
      </sharedItems>
    </cacheField>
    <cacheField name="Số lượng khách thoát trang sản phẩm">
      <sharedItems containsMixedTypes="1" containsNumber="1" containsInteger="1">
        <n v="56.0"/>
        <s v="-"/>
        <n v="67.0"/>
        <n v="18.0"/>
        <n v="44.0"/>
        <n v="32.0"/>
        <n v="72.0"/>
        <n v="22.0"/>
        <n v="11.0"/>
        <n v="52.0"/>
        <n v="7.0"/>
        <n v="5.0"/>
        <n v="3.0"/>
        <n v="8.0"/>
        <n v="19.0"/>
        <n v="2.0"/>
        <n v="4.0"/>
        <n v="13.0"/>
        <n v="0.0"/>
        <n v="9.0"/>
      </sharedItems>
    </cacheField>
    <cacheField name="Tỷ lệ thoát Trang sản phẩm">
      <sharedItems containsMixedTypes="1" containsNumber="1">
        <n v="0.1662"/>
        <s v="-"/>
        <n v="0.2271"/>
        <n v="0.2278"/>
        <n v="0.2028"/>
        <n v="0.2832"/>
        <n v="0.1832"/>
        <n v="0.2933"/>
        <n v="0.3235"/>
        <n v="0.3171"/>
        <n v="0.14"/>
        <n v="0.2174"/>
        <n v="0.3"/>
        <n v="0.2778"/>
        <n v="0.4444"/>
        <n v="0.1304"/>
        <n v="0.2184"/>
        <n v="0.2"/>
        <n v="0.2667"/>
        <n v="0.1333"/>
        <n v="0.3824"/>
        <n v="0.3333"/>
        <n v="0.6667"/>
        <n v="0.0"/>
        <n v="0.5714"/>
        <n v="0.4"/>
        <n v="0.3913"/>
      </sharedItems>
    </cacheField>
    <cacheField name="Lượt click từ Trang tìm kiếm">
      <sharedItems containsMixedTypes="1" containsNumber="1" containsInteger="1">
        <n v="48.0"/>
        <s v="-"/>
        <n v="119.0"/>
        <n v="43.0"/>
        <n v="107.0"/>
        <n v="25.0"/>
        <n v="216.0"/>
        <n v="16.0"/>
        <n v="6.0"/>
        <n v="61.0"/>
        <n v="3.0"/>
        <n v="5.0"/>
        <n v="0.0"/>
        <n v="1.0"/>
        <n v="30.0"/>
        <n v="4.0"/>
        <n v="2.0"/>
      </sharedItems>
    </cacheField>
    <cacheField name="Lượt thích">
      <sharedItems containsMixedTypes="1" containsNumber="1" containsInteger="1">
        <n v="13.0"/>
        <s v="-"/>
        <n v="24.0"/>
        <n v="11.0"/>
        <n v="54.0"/>
        <n v="2.0"/>
        <n v="9.0"/>
        <n v="3.0"/>
        <n v="0.0"/>
        <n v="1.0"/>
      </sharedItems>
    </cacheField>
    <cacheField name="Lượt truy cập sản phẩm (Thêm vào giỏ hàng)" numFmtId="3">
      <sharedItems containsSemiMixedTypes="0" containsString="0" containsNumber="1" containsInteger="1">
        <n v="72.0"/>
        <n v="28.0"/>
        <n v="57.0"/>
        <n v="38.0"/>
        <n v="19.0"/>
        <n v="4.0"/>
        <n v="16.0"/>
        <n v="2.0"/>
        <n v="33.0"/>
        <n v="7.0"/>
        <n v="27.0"/>
        <n v="20.0"/>
        <n v="11.0"/>
        <n v="34.0"/>
        <n v="10.0"/>
        <n v="9.0"/>
        <n v="8.0"/>
        <n v="14.0"/>
        <n v="13.0"/>
        <n v="0.0"/>
        <n v="1.0"/>
        <n v="5.0"/>
        <n v="3.0"/>
      </sharedItems>
    </cacheField>
    <cacheField name="Sản phẩm (Thêm vào giỏ hàng)" numFmtId="0">
      <sharedItems containsSemiMixedTypes="0" containsString="0" containsNumber="1" containsInteger="1">
        <n v="158.0"/>
        <n v="53.0"/>
        <n v="105.0"/>
        <n v="137.0"/>
        <n v="78.0"/>
        <n v="35.0"/>
        <n v="40.0"/>
        <n v="3.0"/>
        <n v="77.0"/>
        <n v="10.0"/>
        <n v="67.0"/>
        <n v="69.0"/>
        <n v="32.0"/>
        <n v="37.0"/>
        <n v="42.0"/>
        <n v="28.0"/>
        <n v="17.0"/>
        <n v="29.0"/>
        <n v="26.0"/>
        <n v="2.0"/>
        <n v="0.0"/>
        <n v="1.0"/>
        <n v="6.0"/>
        <n v="15.0"/>
        <n v="18.0"/>
      </sharedItems>
    </cacheField>
    <cacheField name="Tỷ lệ chuyển đổi (theo lượt thêm vào giỏ hàng)">
      <sharedItems containsMixedTypes="1" containsNumber="1">
        <n v="0.2136"/>
        <s v="-"/>
        <n v="0.1288"/>
        <n v="0.2405"/>
        <n v="0.1521"/>
        <n v="0.2389"/>
        <n v="0.0865"/>
        <n v="0.1333"/>
        <n v="0.2353"/>
        <n v="0.0976"/>
        <n v="0.28"/>
        <n v="0.087"/>
        <n v="0.0"/>
        <n v="0.1111"/>
        <n v="0.2778"/>
        <n v="0.1739"/>
        <n v="0.092"/>
        <n v="0.3"/>
        <n v="0.0667"/>
        <n v="0.2"/>
        <n v="0.1176"/>
        <n v="0.1429"/>
      </sharedItems>
    </cacheField>
    <cacheField name="Người mua đã đặt hàng" numFmtId="0">
      <sharedItems containsSemiMixedTypes="0" containsString="0" containsNumber="1" containsInteger="1">
        <n v="23.0"/>
        <n v="4.0"/>
        <n v="21.0"/>
        <n v="10.0"/>
        <n v="6.0"/>
        <n v="1.0"/>
        <n v="5.0"/>
        <n v="11.0"/>
        <n v="2.0"/>
        <n v="9.0"/>
        <n v="8.0"/>
        <n v="3.0"/>
        <n v="0.0"/>
      </sharedItems>
    </cacheField>
    <cacheField name="Sản phẩm (Đơn đã đặt)" numFmtId="0">
      <sharedItems containsSemiMixedTypes="0" containsString="0" containsNumber="1" containsInteger="1">
        <n v="33.0"/>
        <n v="4.0"/>
        <n v="29.0"/>
        <n v="27.0"/>
        <n v="17.0"/>
        <n v="5.0"/>
        <n v="11.0"/>
        <n v="1.0"/>
        <n v="14.0"/>
        <n v="2.0"/>
        <n v="12.0"/>
        <n v="6.0"/>
        <n v="8.0"/>
        <n v="3.0"/>
        <n v="0.0"/>
      </sharedItems>
    </cacheField>
    <cacheField name="Doanh số (Đơn đã đặt) (VND)" numFmtId="3">
      <sharedItems containsSemiMixedTypes="0" containsString="0" containsNumber="1" containsInteger="1">
        <n v="2.5286817E7"/>
        <n v="1818607.0"/>
        <n v="2.346821E7"/>
        <n v="2.511623E7"/>
        <n v="952500.0"/>
        <n v="295000.0"/>
        <n v="609500.0"/>
        <n v="48000.0"/>
        <n v="3955531.0"/>
        <n v="389880.0"/>
        <n v="3565651.0"/>
        <n v="6811660.0"/>
        <n v="2558639.0"/>
        <n v="4253021.0"/>
        <n v="5310019.0"/>
        <n v="5278000.0"/>
        <n v="1733140.0"/>
        <n v="2753068.0"/>
        <n v="2364865.0"/>
        <n v="1447200.0"/>
        <n v="395240.0"/>
        <n v="677320.0"/>
        <n v="374640.0"/>
        <n v="0.0"/>
        <n v="1166880.0"/>
        <n v="27500.0"/>
        <n v="3095820.0"/>
        <n v="807100.0"/>
        <n v="18000.0"/>
        <n v="1214100.0"/>
        <n v="727600.0"/>
        <n v="677880.0"/>
      </sharedItems>
    </cacheField>
    <cacheField name="Tỷ lệ chuyển đổi (Đơn đã đặt)">
      <sharedItems containsMixedTypes="1" containsNumber="1">
        <n v="0.0682"/>
        <s v="-"/>
        <n v="0.0339"/>
        <n v="0.0759"/>
        <n v="0.0507"/>
        <n v="0.0708"/>
        <n v="0.0204"/>
        <n v="0.04"/>
        <n v="0.0882"/>
        <n v="0.0244"/>
        <n v="0.08"/>
        <n v="0.1304"/>
        <n v="0.3"/>
        <n v="0.0556"/>
        <n v="0.1111"/>
        <n v="0.0435"/>
        <n v="0.0115"/>
        <n v="0.1"/>
        <n v="0.0667"/>
        <n v="0.0294"/>
        <n v="0.0"/>
      </sharedItems>
    </cacheField>
    <cacheField name="Người mua có đơn đã xác nhận" numFmtId="0">
      <sharedItems containsSemiMixedTypes="0" containsString="0" containsNumber="1" containsInteger="1">
        <n v="23.0"/>
        <n v="4.0"/>
        <n v="21.0"/>
        <n v="10.0"/>
        <n v="6.0"/>
        <n v="1.0"/>
        <n v="5.0"/>
        <n v="11.0"/>
        <n v="2.0"/>
        <n v="9.0"/>
        <n v="7.0"/>
        <n v="8.0"/>
        <n v="3.0"/>
        <n v="0.0"/>
      </sharedItems>
    </cacheField>
    <cacheField name="Sản phẩm (Đơn đã xác nhận)" numFmtId="0">
      <sharedItems containsSemiMixedTypes="0" containsString="0" containsNumber="1" containsInteger="1">
        <n v="33.0"/>
        <n v="4.0"/>
        <n v="29.0"/>
        <n v="25.0"/>
        <n v="17.0"/>
        <n v="5.0"/>
        <n v="11.0"/>
        <n v="1.0"/>
        <n v="13.0"/>
        <n v="2.0"/>
        <n v="9.0"/>
        <n v="3.0"/>
        <n v="6.0"/>
        <n v="8.0"/>
        <n v="0.0"/>
      </sharedItems>
    </cacheField>
    <cacheField name="Doanh số (Đơn đã xác nhận) (VND)" numFmtId="3">
      <sharedItems containsSemiMixedTypes="0" containsString="0" containsNumber="1" containsInteger="1">
        <n v="2.5286817E7"/>
        <n v="1818607.0"/>
        <n v="2.346821E7"/>
        <n v="2.334908E7"/>
        <n v="952500.0"/>
        <n v="295000.0"/>
        <n v="609500.0"/>
        <n v="48000.0"/>
        <n v="3674311.0"/>
        <n v="389880.0"/>
        <n v="3284431.0"/>
        <n v="5496780.0"/>
        <n v="1243759.0"/>
        <n v="4253021.0"/>
        <n v="5310019.0"/>
        <n v="5278000.0"/>
        <n v="1733140.0"/>
        <n v="2753068.0"/>
        <n v="2364865.0"/>
        <n v="1447200.0"/>
        <n v="395240.0"/>
        <n v="677320.0"/>
        <n v="374640.0"/>
        <n v="0.0"/>
        <n v="1166880.0"/>
        <n v="3095820.0"/>
        <n v="727600.0"/>
      </sharedItems>
    </cacheField>
    <cacheField name="Tỷ lệ chuyển đổi (Đơn đã xác nhận)">
      <sharedItems containsMixedTypes="1" containsNumber="1">
        <n v="0.0682"/>
        <s v="-"/>
        <n v="0.0339"/>
        <n v="0.0759"/>
        <n v="0.0507"/>
        <n v="0.0619"/>
        <n v="0.0204"/>
        <n v="0.04"/>
        <n v="0.0882"/>
        <n v="0.0244"/>
        <n v="0.08"/>
        <n v="0.1304"/>
        <n v="0.3"/>
        <n v="0.0556"/>
        <n v="0.0"/>
        <n v="0.0435"/>
        <n v="0.0667"/>
      </sharedItems>
    </cacheField>
    <cacheField name="Tỷ lệ chuyển đổi (Từ Đơn đã đặt thanh Đơn đã xác nhận)" numFmtId="10">
      <sharedItems containsSemiMixedTypes="0" containsString="0" containsNumber="1">
        <n v="1.0"/>
        <n v="0.875"/>
        <n v="0.5"/>
        <n v="0.0"/>
      </sharedItems>
    </cacheField>
    <cacheField name="Tỷ lệ đặt hàng lặp lại (Đơn hàng đã được xác nhận)" numFmtId="10">
      <sharedItems containsSemiMixedTypes="0" containsString="0" containsNumber="1">
        <n v="0.2069"/>
        <n v="0.0"/>
        <n v="0.1923"/>
        <n v="0.5"/>
        <n v="0.0833"/>
        <n v="0.1"/>
        <n v="0.125"/>
        <n v="0.1667"/>
        <n v="0.4"/>
      </sharedItems>
    </cacheField>
    <cacheField name="Số ngày trung bình để lặp lại đơn hàng (Đơn hàng đã được xác nhận)">
      <sharedItems containsDate="1" containsMixedTypes="1">
        <d v="2025-02-01T00:00:00Z"/>
        <n v="0.0"/>
        <s v="0.4"/>
        <d v="2025-08-03T00:00:00Z"/>
        <n v="18.0"/>
        <d v="2025-05-03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Bảng tổng hợp 2" cacheId="0" dataCaption="" rowGrandTotals="0" compact="0" compactData="0">
  <location ref="A1:D57" firstHeaderRow="0" firstDataRow="3" firstDataCol="0"/>
  <pivotFields>
    <pivotField name="Có giá trị"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Sản phẩm"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references>
            <reference field="4294967294">
              <x v="1"/>
            </reference>
          </references>
        </pivotArea>
      </autoSortScope>
    </pivotField>
    <pivotField name="Tình trạng sản phẩm hiện tại" compact="0" outline="0" multipleItemSelectionAllowed="1" showAll="0">
      <items>
        <item x="0"/>
        <item t="default"/>
      </items>
    </pivotField>
    <pivotField name="Mã phân loại hà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ên Phân Loại" axis="axisRow" compact="0" outline="0" multipleItemSelectionAllowed="1" showAll="0" sortType="ascending">
      <items>
        <item x="0"/>
        <item x="1"/>
        <item x="2"/>
        <item x="3"/>
        <item x="4"/>
        <item x="5"/>
        <item x="6"/>
        <item x="7"/>
        <item x="8"/>
        <item x="9"/>
        <item t="default"/>
      </items>
      <autoSortScope>
        <pivotArea>
          <references>
            <reference field="4294967294">
              <x v="0"/>
            </reference>
          </references>
        </pivotArea>
      </autoSortScope>
    </pivotField>
    <pivotField name="Trạng thái phân loại sản phẩm hiện tại" compact="0" outline="0" multipleItemSelectionAllowed="1" showAll="0">
      <items>
        <item x="0"/>
        <item x="1"/>
        <item t="default"/>
      </items>
    </pivotField>
    <pivotField name="SKU phân loại" compact="0" outline="0" multipleItemSelectionAllowed="1" showAll="0">
      <items>
        <item x="0"/>
        <item x="1"/>
        <item x="2"/>
        <item x="3"/>
        <item x="4"/>
        <item x="5"/>
        <item x="6"/>
        <item x="7"/>
        <item x="8"/>
        <item x="9"/>
        <item x="10"/>
        <item x="11"/>
        <item x="12"/>
        <item x="13"/>
        <item x="14"/>
        <item x="15"/>
        <item t="default"/>
      </items>
    </pivotField>
    <pivotField name="SKU sản phẩm" compact="0" outline="0" multipleItemSelectionAllowed="1" showAll="0">
      <items>
        <item x="0"/>
        <item x="1"/>
        <item x="2"/>
        <item x="3"/>
        <item x="4"/>
        <item x="5"/>
        <item x="6"/>
        <item x="7"/>
        <item x="8"/>
        <item x="9"/>
        <item x="10"/>
        <item t="default"/>
      </items>
    </pivotField>
    <pivotField name="Lượt truy cập sản phẩ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Lượt xem trang sản phẩ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ố lượng khách thoát trang sản phẩ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ỷ lệ thoát Trang sản phẩ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Lượt click từ Trang tìm kiếm" compact="0" outline="0" multipleItemSelectionAllowed="1" showAll="0">
      <items>
        <item x="0"/>
        <item x="1"/>
        <item x="2"/>
        <item x="3"/>
        <item x="4"/>
        <item x="5"/>
        <item x="6"/>
        <item x="7"/>
        <item x="8"/>
        <item x="9"/>
        <item x="10"/>
        <item x="11"/>
        <item x="12"/>
        <item x="13"/>
        <item x="14"/>
        <item x="15"/>
        <item x="16"/>
        <item t="default"/>
      </items>
    </pivotField>
    <pivotField name="Lượt thích" compact="0" outline="0" multipleItemSelectionAllowed="1" showAll="0">
      <items>
        <item x="0"/>
        <item x="1"/>
        <item x="2"/>
        <item x="3"/>
        <item x="4"/>
        <item x="5"/>
        <item x="6"/>
        <item x="7"/>
        <item x="8"/>
        <item x="9"/>
        <item t="default"/>
      </items>
    </pivotField>
    <pivotField name="Lượt truy cập sản phẩm (Thêm vào giỏ hàng)" compact="0" numFmtId="3"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ản phẩm (Thêm vào giỏ hà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ỷ lệ chuyển đổi (theo lượt thêm vào giỏ hàng)"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Người mua đã đặt hàng" compact="0" outline="0" multipleItemSelectionAllowed="1" showAll="0">
      <items>
        <item x="0"/>
        <item x="1"/>
        <item x="2"/>
        <item x="3"/>
        <item x="4"/>
        <item x="5"/>
        <item x="6"/>
        <item x="7"/>
        <item x="8"/>
        <item x="9"/>
        <item x="10"/>
        <item x="11"/>
        <item x="12"/>
        <item t="default"/>
      </items>
    </pivotField>
    <pivotField name="Sản phẩm (Đơn đã đặt)" compact="0" outline="0" multipleItemSelectionAllowed="1" showAll="0">
      <items>
        <item x="0"/>
        <item x="1"/>
        <item x="2"/>
        <item x="3"/>
        <item x="4"/>
        <item x="5"/>
        <item x="6"/>
        <item x="7"/>
        <item x="8"/>
        <item x="9"/>
        <item x="10"/>
        <item x="11"/>
        <item x="12"/>
        <item x="13"/>
        <item x="14"/>
        <item t="default"/>
      </items>
    </pivotField>
    <pivotField name="Doanh số (Đơn đã đặt) (VN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ỷ lệ chuyển đổi (Đơn đã đặ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gười mua có đơn đã xác nhận" compact="0" outline="0" multipleItemSelectionAllowed="1" showAll="0">
      <items>
        <item x="0"/>
        <item x="1"/>
        <item x="2"/>
        <item x="3"/>
        <item x="4"/>
        <item x="5"/>
        <item x="6"/>
        <item x="7"/>
        <item x="8"/>
        <item x="9"/>
        <item x="10"/>
        <item x="11"/>
        <item x="12"/>
        <item x="13"/>
        <item t="default"/>
      </items>
    </pivotField>
    <pivotField name="Sản phẩm (Đơn đã xác nhận)" dataField="1" compact="0" outline="0" multipleItemSelectionAllowed="1" showAll="0">
      <items>
        <item x="0"/>
        <item x="1"/>
        <item x="2"/>
        <item x="3"/>
        <item x="4"/>
        <item x="5"/>
        <item x="6"/>
        <item x="7"/>
        <item x="8"/>
        <item x="9"/>
        <item x="10"/>
        <item x="11"/>
        <item x="12"/>
        <item x="13"/>
        <item x="14"/>
        <item t="default"/>
      </items>
    </pivotField>
    <pivotField name="Doanh số (Đơn đã xác nhận) (VN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ỷ lệ chuyển đổi (Đơn đã xác nhận)" compact="0" outline="0" multipleItemSelectionAllowed="1" showAll="0">
      <items>
        <item x="0"/>
        <item x="1"/>
        <item x="2"/>
        <item x="3"/>
        <item x="4"/>
        <item x="5"/>
        <item x="6"/>
        <item x="7"/>
        <item x="8"/>
        <item x="9"/>
        <item x="10"/>
        <item x="11"/>
        <item x="12"/>
        <item x="13"/>
        <item x="14"/>
        <item x="15"/>
        <item x="16"/>
        <item t="default"/>
      </items>
    </pivotField>
    <pivotField name="Tỷ lệ chuyển đổi (Từ Đơn đã đặt thanh Đơn đã xác nhận)" compact="0" numFmtId="10" outline="0" multipleItemSelectionAllowed="1" showAll="0">
      <items>
        <item x="0"/>
        <item x="1"/>
        <item x="2"/>
        <item x="3"/>
        <item t="default"/>
      </items>
    </pivotField>
    <pivotField name="Tỷ lệ đặt hàng lặp lại (Đơn hàng đã được xác nhận)" compact="0" numFmtId="10" outline="0" multipleItemSelectionAllowed="1" showAll="0">
      <items>
        <item x="0"/>
        <item x="1"/>
        <item x="2"/>
        <item x="3"/>
        <item x="4"/>
        <item x="5"/>
        <item x="6"/>
        <item x="7"/>
        <item x="8"/>
        <item t="default"/>
      </items>
    </pivotField>
    <pivotField name="Số ngày trung bình để lặp lại đơn hàng (Đơn hàng đã được xác nhận)" compact="0" outline="0" multipleItemSelectionAllowed="1" showAll="0">
      <items>
        <item x="0"/>
        <item x="1"/>
        <item x="2"/>
        <item x="3"/>
        <item x="4"/>
        <item x="5"/>
        <item t="default"/>
      </items>
    </pivotField>
  </pivotFields>
  <rowFields>
    <field x="1"/>
    <field x="4"/>
  </rowFields>
  <colFields>
    <field x="-2"/>
  </colFields>
  <dataFields>
    <dataField name="SUM of Doanh số (Đơn đã xác nhận) (VND)" fld="23" baseField="0"/>
    <dataField name="SUM of Sản phẩm (Đơn đã xác nhận)" fld="22" baseField="0"/>
  </dataFields>
</pivotTableDefinition>
</file>

<file path=xl/pivotTables/pivotTable2.xml><?xml version="1.0" encoding="utf-8"?>
<pivotTableDefinition xmlns="http://schemas.openxmlformats.org/spreadsheetml/2006/main" name="Bảng tổng hợp 1" cacheId="1" dataCaption="" rowGrandTotals="0" compact="0" compactData="0">
  <location ref="A1:D52" firstHeaderRow="0" firstDataRow="3" firstDataCol="0"/>
  <pivotFields>
    <pivotField name="Có giá trị"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ản phẩm" axis="axisRow" compact="0" outline="0" multipleItemSelectionAllowed="1" showAll="0" sortType="descending" defaultSubtotal="0">
      <items>
        <item x="20"/>
        <item x="12"/>
        <item x="6"/>
        <item x="7"/>
        <item x="8"/>
        <item x="9"/>
        <item x="0"/>
        <item x="1"/>
        <item x="3"/>
        <item x="4"/>
        <item x="5"/>
        <item x="15"/>
        <item x="10"/>
        <item x="21"/>
        <item x="22"/>
        <item x="2"/>
        <item x="16"/>
        <item x="14"/>
        <item x="25"/>
        <item x="23"/>
        <item x="17"/>
        <item x="26"/>
        <item x="18"/>
        <item x="19"/>
        <item x="24"/>
        <item x="27"/>
        <item x="11"/>
        <item x="13"/>
      </items>
    </pivotField>
    <pivotField name="Tình trạng sản phẩm hiện tại" compact="0" outline="0" multipleItemSelectionAllowed="1" showAll="0">
      <items>
        <item x="0"/>
        <item t="default"/>
      </items>
    </pivotField>
    <pivotField name="Mã phân loại hàng"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ên Phân Loại" axis="axisRow" compact="0" outline="0" multipleItemSelectionAllowed="1" showAll="0" sortType="ascending">
      <items>
        <item x="0"/>
        <item x="1"/>
        <item x="2"/>
        <item x="6"/>
        <item x="7"/>
        <item x="8"/>
        <item x="4"/>
        <item x="5"/>
        <item x="3"/>
        <item t="default"/>
      </items>
    </pivotField>
    <pivotField name="Trạng thái phân loại sản phẩm hiện tại" compact="0" outline="0" multipleItemSelectionAllowed="1" showAll="0">
      <items>
        <item x="0"/>
        <item x="1"/>
        <item t="default"/>
      </items>
    </pivotField>
    <pivotField name="SKU phân loại" compact="0" outline="0" multipleItemSelectionAllowed="1" showAll="0">
      <items>
        <item x="0"/>
        <item x="1"/>
        <item x="2"/>
        <item x="3"/>
        <item x="4"/>
        <item x="5"/>
        <item x="6"/>
        <item x="7"/>
        <item x="8"/>
        <item x="9"/>
        <item x="10"/>
        <item x="11"/>
        <item x="12"/>
        <item x="13"/>
        <item x="14"/>
        <item t="default"/>
      </items>
    </pivotField>
    <pivotField name="SKU sản phẩm" compact="0" outline="0" multipleItemSelectionAllowed="1" showAll="0">
      <items>
        <item x="0"/>
        <item x="1"/>
        <item x="2"/>
        <item x="3"/>
        <item x="4"/>
        <item x="5"/>
        <item x="6"/>
        <item x="7"/>
        <item x="8"/>
        <item x="9"/>
        <item t="default"/>
      </items>
    </pivotField>
    <pivotField name="Lượt truy cập sản phẩm"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Lượt xem trang sản phẩ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ố lượng khách thoát trang sản phẩm"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ỷ lệ thoát Trang sản phẩ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Lượt click từ Trang tìm kiếm" compact="0" outline="0" multipleItemSelectionAllowed="1" showAll="0">
      <items>
        <item x="0"/>
        <item x="1"/>
        <item x="2"/>
        <item x="3"/>
        <item x="4"/>
        <item x="5"/>
        <item x="6"/>
        <item x="7"/>
        <item x="8"/>
        <item x="9"/>
        <item x="10"/>
        <item x="11"/>
        <item x="12"/>
        <item x="13"/>
        <item x="14"/>
        <item x="15"/>
        <item x="16"/>
        <item t="default"/>
      </items>
    </pivotField>
    <pivotField name="Lượt thích" compact="0" outline="0" multipleItemSelectionAllowed="1" showAll="0">
      <items>
        <item x="0"/>
        <item x="1"/>
        <item x="2"/>
        <item x="3"/>
        <item x="4"/>
        <item x="5"/>
        <item x="6"/>
        <item x="7"/>
        <item x="8"/>
        <item x="9"/>
        <item t="default"/>
      </items>
    </pivotField>
    <pivotField name="Lượt truy cập sản phẩm (Thêm vào giỏ hàng)" compact="0" numFmtId="3"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ản phẩm (Thêm vào giỏ hà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ỷ lệ chuyển đổi (theo lượt thêm vào giỏ hàng)"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gười mua đã đặt hàng" compact="0" outline="0" multipleItemSelectionAllowed="1" showAll="0">
      <items>
        <item x="0"/>
        <item x="1"/>
        <item x="2"/>
        <item x="3"/>
        <item x="4"/>
        <item x="5"/>
        <item x="6"/>
        <item x="7"/>
        <item x="8"/>
        <item x="9"/>
        <item x="10"/>
        <item x="11"/>
        <item x="12"/>
        <item t="default"/>
      </items>
    </pivotField>
    <pivotField name="Sản phẩm (Đơn đã đặt)" compact="0" outline="0" multipleItemSelectionAllowed="1" showAll="0">
      <items>
        <item x="0"/>
        <item x="1"/>
        <item x="2"/>
        <item x="3"/>
        <item x="4"/>
        <item x="5"/>
        <item x="6"/>
        <item x="7"/>
        <item x="8"/>
        <item x="9"/>
        <item x="10"/>
        <item x="11"/>
        <item x="12"/>
        <item x="13"/>
        <item x="14"/>
        <item t="default"/>
      </items>
    </pivotField>
    <pivotField name="Doanh số (Đơn đã đặt) (VN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ỷ lệ chuyển đổi (Đơn đã đặ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Người mua có đơn đã xác nhận" compact="0" outline="0" multipleItemSelectionAllowed="1" showAll="0">
      <items>
        <item x="0"/>
        <item x="1"/>
        <item x="2"/>
        <item x="3"/>
        <item x="4"/>
        <item x="5"/>
        <item x="6"/>
        <item x="7"/>
        <item x="8"/>
        <item x="9"/>
        <item x="10"/>
        <item x="11"/>
        <item x="12"/>
        <item x="13"/>
        <item t="default"/>
      </items>
    </pivotField>
    <pivotField name="Sản phẩm (Đơn đã xác nhận)" dataField="1" compact="0" outline="0" multipleItemSelectionAllowed="1" showAll="0">
      <items>
        <item x="0"/>
        <item x="1"/>
        <item x="2"/>
        <item x="3"/>
        <item x="4"/>
        <item x="5"/>
        <item x="6"/>
        <item x="7"/>
        <item x="8"/>
        <item x="9"/>
        <item x="10"/>
        <item x="11"/>
        <item x="12"/>
        <item x="13"/>
        <item x="14"/>
        <item t="default"/>
      </items>
    </pivotField>
    <pivotField name="Doanh số (Đơn đã xác nhận) (VN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ỷ lệ chuyển đổi (Đơn đã xác nhận)" compact="0" outline="0" multipleItemSelectionAllowed="1" showAll="0">
      <items>
        <item x="0"/>
        <item x="1"/>
        <item x="2"/>
        <item x="3"/>
        <item x="4"/>
        <item x="5"/>
        <item x="6"/>
        <item x="7"/>
        <item x="8"/>
        <item x="9"/>
        <item x="10"/>
        <item x="11"/>
        <item x="12"/>
        <item x="13"/>
        <item x="14"/>
        <item x="15"/>
        <item x="16"/>
        <item t="default"/>
      </items>
    </pivotField>
    <pivotField name="Tỷ lệ chuyển đổi (Từ Đơn đã đặt thanh Đơn đã xác nhận)" compact="0" numFmtId="10" outline="0" multipleItemSelectionAllowed="1" showAll="0">
      <items>
        <item x="0"/>
        <item x="1"/>
        <item x="2"/>
        <item x="3"/>
        <item t="default"/>
      </items>
    </pivotField>
    <pivotField name="Tỷ lệ đặt hàng lặp lại (Đơn hàng đã được xác nhận)" compact="0" numFmtId="10" outline="0" multipleItemSelectionAllowed="1" showAll="0">
      <items>
        <item x="0"/>
        <item x="1"/>
        <item x="2"/>
        <item x="3"/>
        <item x="4"/>
        <item x="5"/>
        <item x="6"/>
        <item x="7"/>
        <item x="8"/>
        <item t="default"/>
      </items>
    </pivotField>
    <pivotField name="Số ngày trung bình để lặp lại đơn hàng (Đơn hàng đã được xác nhận)" compact="0" outline="0" multipleItemSelectionAllowed="1" showAll="0">
      <items>
        <item x="0"/>
        <item x="1"/>
        <item x="2"/>
        <item x="3"/>
        <item x="4"/>
        <item x="5"/>
        <item t="default"/>
      </items>
    </pivotField>
  </pivotFields>
  <rowFields>
    <field x="1"/>
    <field x="4"/>
  </rowFields>
  <colFields>
    <field x="-2"/>
  </colFields>
  <dataFields>
    <dataField name="SUM of Sản phẩm (Đơn đã xác nhận)" fld="22" baseField="0"/>
    <dataField name="SUM of Doanh số (Đơn đã xác nhận) (VND)" fld="23" baseField="0"/>
  </dataFields>
</pivotTableDefinition>
</file>

<file path=xl/tables/table1.xml><?xml version="1.0" encoding="utf-8"?>
<table xmlns="http://schemas.openxmlformats.org/spreadsheetml/2006/main" ref="A1:O32" displayName="Table_1" name="Table_1" id="1">
  <tableColumns count="15">
    <tableColumn name="Ngày" id="1"/>
    <tableColumn name="Đơn hàng" id="2"/>
    <tableColumn name="Doanh thu" id="3"/>
    <tableColumn name="Giảm giá" id="4"/>
    <tableColumn name="Doanh thu thuần" id="5"/>
    <tableColumn name="Cột 1" id="6"/>
    <tableColumn name="Cột 2" id="7"/>
    <tableColumn name="Tổng hoá đơn" id="8"/>
    <tableColumn name="Đã thu" id="9"/>
    <tableColumn name="Hoàn trả" id="10"/>
    <tableColumn name="Tổng giá vốn" id="11"/>
    <tableColumn name="Tổng lợi nhuận" id="12"/>
    <tableColumn name="% lợi nhuận" id="13"/>
    <tableColumn name="Month" id="14"/>
    <tableColumn name="Cột 3" id="15"/>
  </tableColumns>
  <tableStyleInfo name="WE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ellercenter.lazada.vn/ba/dashboard"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1" width="2.88"/>
    <col customWidth="1" min="2" max="2" width="14.75"/>
    <col customWidth="1" min="4" max="4" width="13.13"/>
    <col customWidth="1" min="5" max="5" width="20.0"/>
    <col customWidth="1" min="6" max="6" width="21.13"/>
    <col customWidth="1" min="7" max="7" width="17.38"/>
    <col customWidth="1" min="8" max="8" width="15.88"/>
    <col customWidth="1" min="9" max="9" width="12.75"/>
    <col customWidth="1" min="10" max="11" width="16.0"/>
    <col customWidth="1" min="12" max="12" width="13.0"/>
    <col customWidth="1" min="13" max="13" width="10.88"/>
    <col customWidth="1" min="14" max="14" width="15.25"/>
    <col customWidth="1" min="15" max="15" width="11.13"/>
    <col customWidth="1" min="17" max="17" width="9.13"/>
    <col customWidth="1" min="18" max="18" width="11.75"/>
    <col customWidth="1" min="19" max="19" width="28.5"/>
    <col customWidth="1" min="20" max="20" width="20.25"/>
    <col customWidth="1" min="22" max="22" width="9.5"/>
    <col customWidth="1" min="23" max="23" width="9.63"/>
  </cols>
  <sheetData>
    <row r="1" ht="10.5" customHeight="1">
      <c r="A1" s="1"/>
      <c r="B1" s="2"/>
      <c r="C1" s="3"/>
      <c r="D1" s="1"/>
      <c r="E1" s="1"/>
      <c r="F1" s="1"/>
      <c r="H1" s="1"/>
      <c r="I1" s="1"/>
      <c r="J1" s="4"/>
      <c r="K1" s="4"/>
      <c r="L1" s="4"/>
      <c r="M1" s="5"/>
      <c r="N1" s="6"/>
      <c r="O1" s="4"/>
      <c r="P1" s="3"/>
      <c r="Q1" s="3"/>
      <c r="R1" s="1"/>
      <c r="S1" s="1"/>
      <c r="T1" s="1"/>
      <c r="U1" s="1"/>
      <c r="V1" s="1"/>
      <c r="W1" s="1"/>
      <c r="X1" s="1"/>
      <c r="Y1" s="1"/>
      <c r="Z1" s="1"/>
      <c r="AA1" s="1"/>
      <c r="AB1" s="1"/>
      <c r="AC1" s="1"/>
      <c r="AD1" s="1"/>
      <c r="AE1" s="1"/>
      <c r="AF1" s="1"/>
      <c r="AG1" s="1"/>
      <c r="AH1" s="1"/>
      <c r="AI1" s="1"/>
    </row>
    <row r="2" ht="31.5" customHeight="1">
      <c r="A2" s="1"/>
      <c r="B2" s="7" t="s">
        <v>0</v>
      </c>
      <c r="C2" s="8"/>
      <c r="D2" s="9"/>
      <c r="E2" s="9"/>
      <c r="F2" s="9"/>
      <c r="G2" s="10"/>
      <c r="H2" s="11">
        <v>2.0</v>
      </c>
      <c r="I2" s="12">
        <v>2026.0</v>
      </c>
      <c r="J2" s="13"/>
      <c r="K2" s="13"/>
      <c r="L2" s="13"/>
      <c r="M2" s="14"/>
      <c r="P2" s="3"/>
      <c r="Q2" s="1"/>
      <c r="R2" s="15"/>
      <c r="S2" s="16" t="s">
        <v>1</v>
      </c>
      <c r="T2" s="17">
        <f>L9/L5</f>
        <v>9.609608213</v>
      </c>
      <c r="U2" s="1"/>
      <c r="V2" s="1"/>
      <c r="W2" s="1"/>
      <c r="X2" s="1"/>
      <c r="Y2" s="1"/>
      <c r="Z2" s="1"/>
      <c r="AA2" s="1"/>
      <c r="AB2" s="1"/>
      <c r="AC2" s="1"/>
      <c r="AD2" s="1"/>
      <c r="AE2" s="1"/>
      <c r="AF2" s="1"/>
      <c r="AG2" s="1"/>
      <c r="AH2" s="1"/>
      <c r="AI2" s="1"/>
    </row>
    <row r="3" ht="24.0" customHeight="1">
      <c r="A3" s="1"/>
      <c r="B3" s="18" t="s">
        <v>2</v>
      </c>
      <c r="C3" s="3"/>
      <c r="D3" s="19">
        <v>46054.0</v>
      </c>
      <c r="F3" s="20">
        <f>TODAY()</f>
        <v>46082</v>
      </c>
      <c r="H3" s="1"/>
      <c r="I3" s="1"/>
      <c r="J3" s="4"/>
      <c r="K3" s="4"/>
      <c r="L3" s="4"/>
      <c r="M3" s="5"/>
      <c r="N3" s="4"/>
      <c r="O3" s="4"/>
      <c r="P3" s="3"/>
      <c r="Q3" s="1"/>
      <c r="R3" s="21"/>
      <c r="S3" s="16"/>
      <c r="T3" s="16"/>
      <c r="U3" s="1"/>
      <c r="V3" s="1"/>
      <c r="W3" s="1"/>
      <c r="X3" s="1"/>
      <c r="Y3" s="1"/>
      <c r="Z3" s="1"/>
      <c r="AA3" s="1"/>
      <c r="AB3" s="1"/>
      <c r="AC3" s="1"/>
      <c r="AD3" s="1"/>
      <c r="AE3" s="1"/>
      <c r="AF3" s="1"/>
      <c r="AG3" s="1"/>
      <c r="AH3" s="1"/>
      <c r="AI3" s="1"/>
    </row>
    <row r="4" ht="39.0" customHeight="1">
      <c r="A4" s="22"/>
      <c r="B4" s="23" t="s">
        <v>3</v>
      </c>
      <c r="C4" s="24"/>
      <c r="D4" s="25" t="s">
        <v>4</v>
      </c>
      <c r="E4" s="25" t="s">
        <v>5</v>
      </c>
      <c r="F4" s="25" t="s">
        <v>6</v>
      </c>
      <c r="G4" s="25" t="s">
        <v>7</v>
      </c>
      <c r="H4" s="26" t="s">
        <v>8</v>
      </c>
      <c r="I4" s="27" t="s">
        <v>9</v>
      </c>
      <c r="J4" s="24"/>
      <c r="K4" s="24"/>
      <c r="L4" s="28" t="s">
        <v>10</v>
      </c>
      <c r="M4" s="29" t="s">
        <v>11</v>
      </c>
      <c r="N4" s="30" t="s">
        <v>12</v>
      </c>
      <c r="O4" s="31" t="s">
        <v>13</v>
      </c>
      <c r="P4" s="32" t="s">
        <v>14</v>
      </c>
      <c r="Q4" s="33" t="s">
        <v>15</v>
      </c>
      <c r="R4" s="34"/>
      <c r="S4" s="35"/>
      <c r="T4" s="34"/>
      <c r="U4" s="36">
        <f>L5+N5+R3</f>
        <v>7590676</v>
      </c>
      <c r="V4" s="1"/>
      <c r="W4" s="1"/>
      <c r="X4" s="1"/>
      <c r="Y4" s="1"/>
      <c r="Z4" s="1"/>
      <c r="AA4" s="1"/>
      <c r="AB4" s="1"/>
      <c r="AC4" s="1"/>
      <c r="AD4" s="1"/>
      <c r="AE4" s="1"/>
      <c r="AF4" s="1"/>
      <c r="AG4" s="1"/>
      <c r="AH4" s="1"/>
      <c r="AI4" s="1"/>
    </row>
    <row r="5" ht="27.0" customHeight="1">
      <c r="A5" s="1"/>
      <c r="B5" s="37" t="s">
        <v>16</v>
      </c>
      <c r="C5" s="38"/>
      <c r="D5" s="39">
        <f>C16</f>
        <v>125000000</v>
      </c>
      <c r="E5" s="40">
        <f>K16</f>
        <v>85299165</v>
      </c>
      <c r="F5" s="41">
        <f t="shared" ref="F5:F7" si="1">E5-D5</f>
        <v>-39700835</v>
      </c>
      <c r="G5" s="42">
        <f t="shared" ref="G5:G7" si="2">E5/D5</f>
        <v>0.68239332</v>
      </c>
      <c r="H5" s="43">
        <f t="shared" ref="H5:H7" si="3">E5/D5-1</f>
        <v>-0.31760668</v>
      </c>
      <c r="I5" s="44" t="s">
        <v>17</v>
      </c>
      <c r="J5" s="45"/>
      <c r="K5" s="45"/>
      <c r="L5" s="46">
        <f>'ADS SHOPEE'!Y213</f>
        <v>7050676</v>
      </c>
      <c r="M5" s="46"/>
      <c r="N5" s="47">
        <v>540000.0</v>
      </c>
      <c r="O5" s="47">
        <v>1160000.0</v>
      </c>
      <c r="P5" s="46"/>
      <c r="Q5" s="48"/>
      <c r="R5" s="49" t="s">
        <v>18</v>
      </c>
      <c r="S5" s="38"/>
      <c r="T5" s="50">
        <f>L5+M5+N5+O5+P5+Q5+L10+L11</f>
        <v>14971476</v>
      </c>
      <c r="U5" s="1"/>
      <c r="V5" s="1"/>
      <c r="W5" s="1"/>
      <c r="X5" s="1"/>
      <c r="Y5" s="1"/>
      <c r="Z5" s="1"/>
      <c r="AA5" s="1"/>
      <c r="AB5" s="1"/>
      <c r="AC5" s="1"/>
      <c r="AD5" s="1"/>
      <c r="AE5" s="1"/>
      <c r="AF5" s="1"/>
      <c r="AG5" s="1"/>
      <c r="AH5" s="1"/>
      <c r="AI5" s="1"/>
    </row>
    <row r="6" ht="15.75" customHeight="1">
      <c r="A6" s="1"/>
      <c r="B6" s="51" t="s">
        <v>19</v>
      </c>
      <c r="D6" s="52">
        <f>D16</f>
        <v>192.3076923</v>
      </c>
      <c r="E6" s="53">
        <f>L16</f>
        <v>89</v>
      </c>
      <c r="F6" s="54">
        <f t="shared" si="1"/>
        <v>-103.3076923</v>
      </c>
      <c r="G6" s="55">
        <f t="shared" si="2"/>
        <v>0.4628</v>
      </c>
      <c r="H6" s="56">
        <f t="shared" si="3"/>
        <v>-0.5372</v>
      </c>
      <c r="I6" s="57" t="s">
        <v>20</v>
      </c>
      <c r="J6" s="58"/>
      <c r="K6" s="58"/>
      <c r="L6" s="59">
        <f>L9/I16</f>
        <v>0.8463906257</v>
      </c>
      <c r="M6" s="60"/>
      <c r="N6" s="61"/>
      <c r="O6" s="60"/>
      <c r="P6" s="60"/>
      <c r="Q6" s="62"/>
      <c r="R6" s="63" t="s">
        <v>21</v>
      </c>
      <c r="T6" s="64">
        <f>T5/E5</f>
        <v>0.1755172633</v>
      </c>
      <c r="U6" s="1"/>
      <c r="V6" s="1"/>
      <c r="W6" s="1"/>
      <c r="X6" s="1"/>
      <c r="Y6" s="1"/>
      <c r="Z6" s="1"/>
      <c r="AA6" s="1"/>
      <c r="AB6" s="1"/>
      <c r="AC6" s="1"/>
      <c r="AD6" s="1"/>
      <c r="AE6" s="1"/>
      <c r="AF6" s="1"/>
      <c r="AG6" s="1"/>
      <c r="AH6" s="1"/>
      <c r="AI6" s="1"/>
    </row>
    <row r="7" ht="15.75" customHeight="1">
      <c r="A7" s="65"/>
      <c r="B7" s="66" t="s">
        <v>22</v>
      </c>
      <c r="C7" s="67"/>
      <c r="D7" s="68">
        <f t="shared" ref="D7:E7" si="4">D5/D6</f>
        <v>650000</v>
      </c>
      <c r="E7" s="68">
        <f t="shared" si="4"/>
        <v>958417.5843</v>
      </c>
      <c r="F7" s="54">
        <f t="shared" si="1"/>
        <v>308417.5843</v>
      </c>
      <c r="G7" s="55">
        <f t="shared" si="2"/>
        <v>1.474488591</v>
      </c>
      <c r="H7" s="56">
        <f t="shared" si="3"/>
        <v>0.4744885912</v>
      </c>
      <c r="I7" s="57" t="s">
        <v>23</v>
      </c>
      <c r="J7" s="69"/>
      <c r="K7" s="69"/>
      <c r="L7" s="70">
        <f>L5/L9</f>
        <v>0.1040625151</v>
      </c>
      <c r="M7" s="60"/>
      <c r="N7" s="71"/>
      <c r="O7" s="60"/>
      <c r="P7" s="60"/>
      <c r="Q7" s="62"/>
      <c r="U7" s="1"/>
      <c r="V7" s="1"/>
      <c r="W7" s="1"/>
      <c r="X7" s="1"/>
      <c r="Y7" s="1"/>
      <c r="Z7" s="1"/>
      <c r="AA7" s="1"/>
      <c r="AB7" s="1"/>
      <c r="AC7" s="1"/>
      <c r="AD7" s="1"/>
      <c r="AE7" s="1"/>
      <c r="AF7" s="1"/>
      <c r="AG7" s="1"/>
      <c r="AH7" s="1"/>
      <c r="AI7" s="1"/>
    </row>
    <row r="8" ht="15.75" customHeight="1">
      <c r="A8" s="1"/>
      <c r="B8" s="72" t="s">
        <v>24</v>
      </c>
      <c r="C8" s="73"/>
      <c r="D8" s="74">
        <f>D5/30</f>
        <v>4166666.667</v>
      </c>
      <c r="E8" s="75">
        <f>AVERAGEIF(B17:B44,"&lt;"&amp;TODAY(),K17:K44)</f>
        <v>3046398.75</v>
      </c>
      <c r="F8" s="76"/>
      <c r="G8" s="77"/>
      <c r="H8" s="78"/>
      <c r="I8" s="57" t="s">
        <v>25</v>
      </c>
      <c r="J8" s="69"/>
      <c r="K8" s="69"/>
      <c r="L8" s="59">
        <f>L5/I16</f>
        <v>0.08807753728</v>
      </c>
      <c r="M8" s="79"/>
      <c r="N8" s="61"/>
      <c r="O8" s="60"/>
      <c r="P8" s="60"/>
      <c r="Q8" s="62"/>
      <c r="R8" s="63" t="s">
        <v>26</v>
      </c>
      <c r="T8" s="80">
        <v>0.19</v>
      </c>
      <c r="U8" s="1"/>
      <c r="V8" s="1"/>
      <c r="W8" s="1"/>
      <c r="X8" s="1"/>
      <c r="Y8" s="1"/>
      <c r="Z8" s="1"/>
      <c r="AA8" s="1"/>
      <c r="AB8" s="1"/>
      <c r="AC8" s="1"/>
      <c r="AD8" s="1"/>
      <c r="AE8" s="1"/>
      <c r="AF8" s="1"/>
      <c r="AG8" s="1"/>
      <c r="AH8" s="1"/>
      <c r="AI8" s="1"/>
    </row>
    <row r="9" ht="17.25" customHeight="1">
      <c r="A9" s="1"/>
      <c r="B9" s="81" t="s">
        <v>27</v>
      </c>
      <c r="C9" s="82"/>
      <c r="D9" s="1"/>
      <c r="E9" s="83">
        <f>IFERROR(__xludf.DUMMYFUNCTION("IFERROR(SUM(FILTER(L17:L44, B17:B44&lt;=$F$3)) / COUNT(FILTER(B17:B44, B17:B44&lt;=$F$3)),
"""")"),3.1785714285714284)</f>
        <v>3.178571429</v>
      </c>
      <c r="F9" s="84" t="s">
        <v>28</v>
      </c>
      <c r="H9" s="85">
        <f>T6+T8</f>
        <v>0.3655172633</v>
      </c>
      <c r="I9" s="72" t="s">
        <v>29</v>
      </c>
      <c r="J9" s="86"/>
      <c r="K9" s="86"/>
      <c r="L9" s="87">
        <f>'ADS SHOPEE'!W213</f>
        <v>67754234</v>
      </c>
      <c r="M9" s="79"/>
      <c r="N9" s="88"/>
      <c r="O9" s="60"/>
      <c r="P9" s="60"/>
      <c r="Q9" s="62"/>
      <c r="R9" s="84" t="s">
        <v>28</v>
      </c>
      <c r="T9" s="89">
        <f>T6+T8</f>
        <v>0.3655172633</v>
      </c>
      <c r="U9" s="1"/>
      <c r="V9" s="1"/>
      <c r="W9" s="1"/>
      <c r="X9" s="1"/>
      <c r="Y9" s="1"/>
      <c r="Z9" s="1"/>
      <c r="AA9" s="1"/>
      <c r="AB9" s="1"/>
      <c r="AC9" s="1"/>
      <c r="AD9" s="1"/>
      <c r="AE9" s="1"/>
      <c r="AF9" s="1"/>
      <c r="AG9" s="1"/>
      <c r="AH9" s="1"/>
      <c r="AI9" s="1"/>
    </row>
    <row r="10" ht="22.5" customHeight="1">
      <c r="A10" s="1"/>
      <c r="B10" s="81"/>
      <c r="C10" s="82"/>
      <c r="D10" s="90"/>
      <c r="E10" s="91"/>
      <c r="H10" s="92"/>
      <c r="I10" s="93" t="s">
        <v>30</v>
      </c>
      <c r="K10" s="93"/>
      <c r="L10" s="94">
        <v>1350000.0</v>
      </c>
      <c r="M10" s="93"/>
      <c r="N10" s="93"/>
      <c r="O10" s="93"/>
      <c r="P10" s="93"/>
      <c r="Q10" s="95"/>
      <c r="U10" s="1"/>
      <c r="V10" s="1"/>
      <c r="W10" s="1"/>
      <c r="X10" s="1"/>
      <c r="Y10" s="1"/>
      <c r="Z10" s="1"/>
      <c r="AA10" s="1"/>
      <c r="AB10" s="1"/>
      <c r="AC10" s="1"/>
      <c r="AD10" s="1"/>
      <c r="AE10" s="1"/>
      <c r="AF10" s="1"/>
      <c r="AG10" s="1"/>
      <c r="AH10" s="1"/>
      <c r="AI10" s="1"/>
    </row>
    <row r="11" ht="22.5" customHeight="1">
      <c r="A11" s="1"/>
      <c r="B11" s="96"/>
      <c r="C11" s="97"/>
      <c r="D11" s="98"/>
      <c r="E11" s="99"/>
      <c r="F11" s="100"/>
      <c r="G11" s="100"/>
      <c r="H11" s="101"/>
      <c r="I11" s="102" t="s">
        <v>31</v>
      </c>
      <c r="J11" s="100"/>
      <c r="K11" s="102"/>
      <c r="L11" s="103">
        <v>4870800.0</v>
      </c>
      <c r="M11" s="102"/>
      <c r="N11" s="102"/>
      <c r="O11" s="102"/>
      <c r="P11" s="102"/>
      <c r="Q11" s="104"/>
      <c r="U11" s="1"/>
      <c r="V11" s="1"/>
      <c r="W11" s="1"/>
      <c r="X11" s="1"/>
      <c r="Y11" s="1"/>
      <c r="Z11" s="1"/>
      <c r="AA11" s="1"/>
      <c r="AB11" s="1"/>
      <c r="AC11" s="1"/>
      <c r="AD11" s="1"/>
      <c r="AE11" s="1"/>
      <c r="AF11" s="1"/>
      <c r="AG11" s="1"/>
      <c r="AH11" s="1"/>
      <c r="AI11" s="1"/>
    </row>
    <row r="12" ht="9.75" customHeight="1">
      <c r="A12" s="1"/>
      <c r="B12" s="1"/>
      <c r="C12" s="3"/>
      <c r="D12" s="1"/>
      <c r="F12" s="1"/>
      <c r="G12" s="1"/>
      <c r="H12" s="1"/>
      <c r="I12" s="1"/>
      <c r="J12" s="1"/>
      <c r="K12" s="1"/>
      <c r="L12" s="1"/>
      <c r="M12" s="1"/>
      <c r="N12" s="105"/>
      <c r="O12" s="93"/>
      <c r="P12" s="106"/>
      <c r="Q12" s="107"/>
      <c r="R12" s="1"/>
      <c r="S12" s="1"/>
      <c r="T12" s="1"/>
      <c r="U12" s="3"/>
      <c r="V12" s="1"/>
      <c r="W12" s="1"/>
      <c r="X12" s="1"/>
      <c r="Y12" s="1"/>
      <c r="Z12" s="1"/>
      <c r="AA12" s="1"/>
      <c r="AB12" s="1"/>
      <c r="AC12" s="1"/>
      <c r="AD12" s="1"/>
      <c r="AE12" s="1"/>
      <c r="AF12" s="1"/>
      <c r="AG12" s="1"/>
      <c r="AH12" s="1"/>
    </row>
    <row r="13" ht="20.25" customHeight="1">
      <c r="A13" s="1"/>
      <c r="B13" s="108" t="s">
        <v>32</v>
      </c>
      <c r="C13" s="109"/>
      <c r="D13" s="108">
        <v>650000.0</v>
      </c>
      <c r="E13" s="1"/>
      <c r="F13" s="110"/>
      <c r="G13" s="110"/>
      <c r="H13" s="110"/>
      <c r="I13" s="110"/>
      <c r="J13" s="110"/>
      <c r="K13" s="110"/>
      <c r="L13" s="3"/>
      <c r="N13" s="111">
        <f t="shared" ref="N13:O13" si="5">K16/C16-1</f>
        <v>-0.31760668</v>
      </c>
      <c r="O13" s="111">
        <f t="shared" si="5"/>
        <v>-0.5372</v>
      </c>
      <c r="P13" s="3"/>
      <c r="Q13" s="3"/>
      <c r="R13" s="3"/>
      <c r="S13" s="3"/>
      <c r="T13" s="3"/>
      <c r="U13" s="3"/>
      <c r="V13" s="1"/>
      <c r="W13" s="1"/>
      <c r="X13" s="1"/>
      <c r="Y13" s="1"/>
      <c r="Z13" s="1"/>
      <c r="AA13" s="1"/>
      <c r="AB13" s="1"/>
      <c r="AC13" s="1"/>
      <c r="AD13" s="1"/>
      <c r="AE13" s="1"/>
      <c r="AF13" s="1"/>
      <c r="AG13" s="1"/>
      <c r="AH13" s="1"/>
      <c r="AI13" s="1"/>
    </row>
    <row r="14" ht="38.25" customHeight="1">
      <c r="A14" s="1"/>
      <c r="B14" s="112" t="s">
        <v>33</v>
      </c>
      <c r="C14" s="113" t="s">
        <v>4</v>
      </c>
      <c r="D14" s="114"/>
      <c r="E14" s="115" t="s">
        <v>34</v>
      </c>
      <c r="F14" s="116"/>
      <c r="G14" s="116"/>
      <c r="H14" s="116"/>
      <c r="I14" s="116"/>
      <c r="J14" s="116"/>
      <c r="K14" s="116"/>
      <c r="L14" s="116"/>
      <c r="M14" s="116"/>
      <c r="N14" s="117" t="s">
        <v>35</v>
      </c>
      <c r="O14" s="114"/>
      <c r="P14" s="118" t="s">
        <v>36</v>
      </c>
      <c r="Q14" s="114"/>
      <c r="R14" s="119" t="s">
        <v>37</v>
      </c>
      <c r="S14" s="119" t="s">
        <v>38</v>
      </c>
      <c r="T14" s="119" t="s">
        <v>39</v>
      </c>
      <c r="U14" s="119" t="s">
        <v>40</v>
      </c>
      <c r="V14" s="3"/>
      <c r="W14" s="1"/>
      <c r="X14" s="1"/>
      <c r="Y14" s="1"/>
      <c r="Z14" s="1"/>
      <c r="AA14" s="1"/>
      <c r="AB14" s="1"/>
      <c r="AC14" s="1"/>
      <c r="AD14" s="1"/>
      <c r="AE14" s="1"/>
      <c r="AF14" s="1"/>
      <c r="AG14" s="1"/>
      <c r="AH14" s="1"/>
      <c r="AI14" s="1"/>
    </row>
    <row r="15" ht="36.75" customHeight="1">
      <c r="A15" s="1"/>
      <c r="B15" s="120">
        <f>COUNTA(B17:B47)</f>
        <v>28</v>
      </c>
      <c r="C15" s="121" t="s">
        <v>41</v>
      </c>
      <c r="D15" s="122" t="s">
        <v>42</v>
      </c>
      <c r="E15" s="123" t="s">
        <v>43</v>
      </c>
      <c r="F15" s="123" t="s">
        <v>44</v>
      </c>
      <c r="G15" s="123" t="s">
        <v>45</v>
      </c>
      <c r="H15" s="123" t="s">
        <v>46</v>
      </c>
      <c r="I15" s="123" t="s">
        <v>47</v>
      </c>
      <c r="J15" s="123" t="s">
        <v>48</v>
      </c>
      <c r="K15" s="124" t="s">
        <v>49</v>
      </c>
      <c r="L15" s="125" t="s">
        <v>42</v>
      </c>
      <c r="M15" s="125" t="s">
        <v>50</v>
      </c>
      <c r="N15" s="126" t="s">
        <v>51</v>
      </c>
      <c r="O15" s="127" t="s">
        <v>42</v>
      </c>
      <c r="P15" s="128" t="s">
        <v>51</v>
      </c>
      <c r="Q15" s="129" t="s">
        <v>42</v>
      </c>
      <c r="R15" s="130"/>
      <c r="S15" s="130"/>
      <c r="T15" s="130"/>
      <c r="U15" s="130"/>
      <c r="V15" s="1"/>
      <c r="W15" s="1"/>
      <c r="X15" s="1"/>
      <c r="Y15" s="1"/>
      <c r="Z15" s="1"/>
      <c r="AA15" s="1"/>
      <c r="AB15" s="1"/>
      <c r="AC15" s="1"/>
      <c r="AD15" s="1"/>
      <c r="AE15" s="1"/>
      <c r="AF15" s="1"/>
      <c r="AG15" s="1"/>
      <c r="AH15" s="1"/>
      <c r="AI15" s="1"/>
    </row>
    <row r="16" ht="22.5" customHeight="1">
      <c r="A16" s="1"/>
      <c r="B16" s="131" t="s">
        <v>52</v>
      </c>
      <c r="C16" s="132">
        <f>SUBTOTAL(9,C17:C47)</f>
        <v>125000000</v>
      </c>
      <c r="D16" s="132">
        <f t="shared" ref="D16:L16" si="6">SUBTOTAL(9,D17:D50)</f>
        <v>192.3076923</v>
      </c>
      <c r="E16" s="132">
        <f t="shared" si="6"/>
        <v>2107000</v>
      </c>
      <c r="F16" s="132">
        <f t="shared" si="6"/>
        <v>909000</v>
      </c>
      <c r="G16" s="132">
        <f t="shared" si="6"/>
        <v>0</v>
      </c>
      <c r="H16" s="132">
        <f t="shared" si="6"/>
        <v>0</v>
      </c>
      <c r="I16" s="132">
        <f t="shared" si="6"/>
        <v>80050785</v>
      </c>
      <c r="J16" s="132">
        <f t="shared" si="6"/>
        <v>2232380</v>
      </c>
      <c r="K16" s="132">
        <f t="shared" si="6"/>
        <v>85299165</v>
      </c>
      <c r="L16" s="132">
        <f t="shared" si="6"/>
        <v>89</v>
      </c>
      <c r="M16" s="132">
        <f t="shared" ref="M16:M18" si="9">K16/L16</f>
        <v>958417.5843</v>
      </c>
      <c r="N16" s="133">
        <f t="shared" ref="N16:O16" si="7">K16/C16</f>
        <v>0.68239332</v>
      </c>
      <c r="O16" s="133">
        <f t="shared" si="7"/>
        <v>0.4628</v>
      </c>
      <c r="P16" s="132">
        <f t="shared" ref="P16:U16" si="8">SUBTOTAL(9,P17:P50)</f>
        <v>-39700835</v>
      </c>
      <c r="Q16" s="132">
        <f t="shared" si="8"/>
        <v>-103.3076923</v>
      </c>
      <c r="R16" s="132">
        <f t="shared" si="8"/>
        <v>12</v>
      </c>
      <c r="S16" s="132">
        <f t="shared" si="8"/>
        <v>12539712</v>
      </c>
      <c r="T16" s="132">
        <f t="shared" si="8"/>
        <v>2</v>
      </c>
      <c r="U16" s="132">
        <f t="shared" si="8"/>
        <v>1570000</v>
      </c>
      <c r="V16" s="110"/>
      <c r="W16" s="1"/>
      <c r="X16" s="1"/>
      <c r="Y16" s="1"/>
      <c r="Z16" s="1"/>
      <c r="AA16" s="1"/>
      <c r="AB16" s="1"/>
      <c r="AC16" s="1"/>
      <c r="AD16" s="1"/>
      <c r="AE16" s="1"/>
      <c r="AF16" s="1"/>
      <c r="AG16" s="1"/>
      <c r="AH16" s="1"/>
      <c r="AI16" s="1"/>
    </row>
    <row r="17" ht="15.75" customHeight="1">
      <c r="A17" s="1"/>
      <c r="B17" s="134">
        <v>46054.0</v>
      </c>
      <c r="C17" s="135">
        <f>SUMIFS(TARGET!E:E,TARGET!D:D,B17)</f>
        <v>4464285.714</v>
      </c>
      <c r="D17" s="135">
        <f t="shared" ref="D17:D44" si="12">C17/$D$13</f>
        <v>6.868131868</v>
      </c>
      <c r="E17" s="135">
        <f>SUMIFS(ZALO!C:C,ZALO!A:A,B17)</f>
        <v>0</v>
      </c>
      <c r="F17" s="136">
        <f>SUMIFS(WEB!C:C,WEB!A:A,B17)</f>
        <v>0</v>
      </c>
      <c r="G17" s="135">
        <f>SUMIFS(FANPAGE!C:C,FANPAGE!A:A,B17)</f>
        <v>0</v>
      </c>
      <c r="H17" s="135">
        <f>SUMIFS(LAZADA!B:B,LAZADA!A:A,B17)</f>
        <v>0</v>
      </c>
      <c r="I17" s="135">
        <f>SUMIFS('DS Shoppe (đã xác nhận)'!B:B,'DS Shoppe (đã xác nhận)'!A:A,B17)</f>
        <v>2764634</v>
      </c>
      <c r="J17" s="135">
        <f>SUMIFS(TIKTOK!B:B,TIKTOK!A:A,B25)</f>
        <v>0</v>
      </c>
      <c r="K17" s="137">
        <f t="shared" ref="K17:K44" si="13">SUM(E17:J17)</f>
        <v>2764634</v>
      </c>
      <c r="L17" s="138">
        <f>SUMIFS('DS Shoppe (đã xác nhận)'!C:C,'DS Shoppe (đã xác nhận)'!A:A,B17)+SUMIFS(LAZADA!E:E,LAZADA!A:A,B17)+SUMIFS(WEB!B:B,WEB!A:A,B17)+SUMIFS(ZALO!B:B,ZALO!A:A,B17)+SUMIFS(FANPAGE!B:B,FANPAGE!A:A,B17)+SUMIFS(TIKTOK!J6:J35,TIKTOK!A6:A35,B17)</f>
        <v>4</v>
      </c>
      <c r="M17" s="139">
        <f t="shared" si="9"/>
        <v>691158.5</v>
      </c>
      <c r="N17" s="140">
        <f t="shared" ref="N17:O17" si="10">K17/C17</f>
        <v>0.619278016</v>
      </c>
      <c r="O17" s="140">
        <f t="shared" si="10"/>
        <v>0.5824</v>
      </c>
      <c r="P17" s="141">
        <f t="shared" ref="P17:Q17" si="11">K17-C17</f>
        <v>-1699651.714</v>
      </c>
      <c r="Q17" s="141">
        <f t="shared" si="11"/>
        <v>-2.868131868</v>
      </c>
      <c r="R17" s="142">
        <f>SUMIFS('DS Shoppe (đã xác nhận)'!H:H,'DS Shoppe (đã xác nhận)'!A:A,B17)</f>
        <v>0</v>
      </c>
      <c r="S17" s="143">
        <f>SUMIFS('DS Shoppe (đã xác nhận)'!I:I,'DS Shoppe (đã xác nhận)'!A:A,B17)</f>
        <v>0</v>
      </c>
      <c r="T17" s="144">
        <f>SUMIFS('DS Shoppe (đã xác nhận)'!J:J,'DS Shoppe (đã xác nhận)'!A:A,B17)</f>
        <v>0</v>
      </c>
      <c r="U17" s="145">
        <f>SUMIFS('DS Shoppe (đã xác nhận)'!K:K,'DS Shoppe (đã xác nhận)'!A:A,B17)</f>
        <v>0</v>
      </c>
      <c r="V17" s="1"/>
      <c r="W17" s="1"/>
      <c r="X17" s="1"/>
      <c r="Y17" s="1"/>
      <c r="Z17" s="1"/>
      <c r="AA17" s="1"/>
      <c r="AB17" s="1"/>
      <c r="AC17" s="1"/>
      <c r="AD17" s="1"/>
      <c r="AE17" s="1"/>
      <c r="AF17" s="1"/>
      <c r="AG17" s="1"/>
      <c r="AH17" s="1"/>
      <c r="AI17" s="1"/>
    </row>
    <row r="18" ht="15.75" customHeight="1">
      <c r="A18" s="1"/>
      <c r="B18" s="146">
        <f t="shared" ref="B18:B44" si="16">B17+1</f>
        <v>46055</v>
      </c>
      <c r="C18" s="135">
        <f>SUMIFS(TARGET!E:E,TARGET!D:D,B18)</f>
        <v>4464285.714</v>
      </c>
      <c r="D18" s="135">
        <f t="shared" si="12"/>
        <v>6.868131868</v>
      </c>
      <c r="E18" s="135">
        <f>SUMIFS(ZALO!C:C,ZALO!A:A,B18)</f>
        <v>0</v>
      </c>
      <c r="F18" s="136">
        <f>SUMIFS(WEB!C:C,WEB!A:A,B18)</f>
        <v>0</v>
      </c>
      <c r="G18" s="135">
        <f>SUMIFS(FANPAGE!C:C,FANPAGE!A:A,B18)</f>
        <v>0</v>
      </c>
      <c r="H18" s="135">
        <f>SUMIFS(LAZADA!B:B,LAZADA!A:A,B18)</f>
        <v>0</v>
      </c>
      <c r="I18" s="135">
        <f>SUMIFS('DS Shoppe (đã xác nhận)'!B:B,'DS Shoppe (đã xác nhận)'!A:A,B18)</f>
        <v>12891791</v>
      </c>
      <c r="J18" s="135">
        <f>SUMIFS(TIKTOK!B:B,TIKTOK!A:A,B18)</f>
        <v>0</v>
      </c>
      <c r="K18" s="137">
        <f t="shared" si="13"/>
        <v>12891791</v>
      </c>
      <c r="L18" s="138">
        <f>SUMIFS('DS Shoppe (đã xác nhận)'!C:C,'DS Shoppe (đã xác nhận)'!A:A,B18)+SUMIFS(LAZADA!E:E,LAZADA!A:A,B18)+SUMIFS(WEB!B:B,WEB!A:A,B18)+SUMIFS(ZALO!B:B,ZALO!A:A,B18)+SUMIFS(FANPAGE!B:B,FANPAGE!A:A,B18)+SUMIFS(TIKTOK!J7:J36,TIKTOK!A7:A36,B18)</f>
        <v>15</v>
      </c>
      <c r="M18" s="139">
        <f t="shared" si="9"/>
        <v>859452.7333</v>
      </c>
      <c r="N18" s="140">
        <f t="shared" ref="N18:O18" si="14">K18/C18</f>
        <v>2.887761184</v>
      </c>
      <c r="O18" s="140">
        <f t="shared" si="14"/>
        <v>2.184</v>
      </c>
      <c r="P18" s="141">
        <f t="shared" ref="P18:Q18" si="15">K18-C18</f>
        <v>8427505.286</v>
      </c>
      <c r="Q18" s="141">
        <f t="shared" si="15"/>
        <v>8.131868132</v>
      </c>
      <c r="R18" s="142">
        <f>SUMIFS('DS Shoppe (đã xác nhận)'!H:H,'DS Shoppe (đã xác nhận)'!A:A,B18)</f>
        <v>0</v>
      </c>
      <c r="S18" s="143">
        <f>SUMIFS('DS Shoppe (đã xác nhận)'!I:I,'DS Shoppe (đã xác nhận)'!A:A,B18)</f>
        <v>0</v>
      </c>
      <c r="T18" s="144">
        <f>SUMIFS('DS Shoppe (đã xác nhận)'!J:J,'DS Shoppe (đã xác nhận)'!A:A,B18)</f>
        <v>0</v>
      </c>
      <c r="U18" s="145">
        <f>SUMIFS('DS Shoppe (đã xác nhận)'!K:K,'DS Shoppe (đã xác nhận)'!A:A,B18)</f>
        <v>0</v>
      </c>
      <c r="V18" s="1"/>
      <c r="W18" s="1"/>
      <c r="X18" s="1"/>
      <c r="Y18" s="1"/>
      <c r="Z18" s="1"/>
      <c r="AA18" s="1"/>
      <c r="AB18" s="1"/>
      <c r="AC18" s="1"/>
      <c r="AD18" s="1"/>
      <c r="AE18" s="1"/>
      <c r="AF18" s="1"/>
      <c r="AG18" s="1"/>
      <c r="AH18" s="1"/>
      <c r="AI18" s="1"/>
    </row>
    <row r="19" ht="15.75" customHeight="1">
      <c r="A19" s="1"/>
      <c r="B19" s="146">
        <f t="shared" si="16"/>
        <v>46056</v>
      </c>
      <c r="C19" s="135">
        <f>SUMIFS(TARGET!E:E,TARGET!D:D,B19)</f>
        <v>4464285.714</v>
      </c>
      <c r="D19" s="135">
        <f t="shared" si="12"/>
        <v>6.868131868</v>
      </c>
      <c r="E19" s="135">
        <f>SUMIFS(ZALO!C:C,ZALO!A:A,B19)</f>
        <v>0</v>
      </c>
      <c r="F19" s="136">
        <f>SUMIFS(WEB!C:C,WEB!A:A,B19)</f>
        <v>0</v>
      </c>
      <c r="G19" s="135">
        <f>SUMIFS(FANPAGE!C:C,FANPAGE!A:A,B19)</f>
        <v>0</v>
      </c>
      <c r="H19" s="135">
        <f>SUMIFS(LAZADA!B:B,LAZADA!A:A,B19)</f>
        <v>0</v>
      </c>
      <c r="I19" s="135">
        <f>SUMIFS('DS Shoppe (đã xác nhận)'!B:B,'DS Shoppe (đã xác nhận)'!A:A,B19)</f>
        <v>3577124</v>
      </c>
      <c r="J19" s="135">
        <f>SUMIFS(TIKTOK!B:B,TIKTOK!A:A,B19)</f>
        <v>0</v>
      </c>
      <c r="K19" s="137">
        <f t="shared" si="13"/>
        <v>3577124</v>
      </c>
      <c r="L19" s="138">
        <f>SUMIFS('DS Shoppe (đã xác nhận)'!C:C,'DS Shoppe (đã xác nhận)'!A:A,B19)+SUMIFS(LAZADA!E:E,LAZADA!A:A,B19)+SUMIFS(WEB!B:B,WEB!A:A,B19)+SUMIFS(ZALO!B:B,ZALO!A:A,B19)+SUMIFS(FANPAGE!B:B,FANPAGE!A:A,B19)+SUMIFS(TIKTOK!J8:J37,TIKTOK!A8:A37,B19)</f>
        <v>5</v>
      </c>
      <c r="M19" s="139">
        <f t="shared" ref="M19:M44" si="19">IF(L19=0,"0",K19/L19)</f>
        <v>715424.8</v>
      </c>
      <c r="N19" s="140">
        <f t="shared" ref="N19:O19" si="17">K19/C19</f>
        <v>0.801275776</v>
      </c>
      <c r="O19" s="140">
        <f t="shared" si="17"/>
        <v>0.728</v>
      </c>
      <c r="P19" s="141">
        <f t="shared" ref="P19:Q19" si="18">K19-C19</f>
        <v>-887161.7143</v>
      </c>
      <c r="Q19" s="141">
        <f t="shared" si="18"/>
        <v>-1.868131868</v>
      </c>
      <c r="R19" s="142">
        <f>SUMIFS('DS Shoppe (đã xác nhận)'!H:H,'DS Shoppe (đã xác nhận)'!A:A,B19)</f>
        <v>0</v>
      </c>
      <c r="S19" s="143">
        <f>SUMIFS('DS Shoppe (đã xác nhận)'!I:I,'DS Shoppe (đã xác nhận)'!A:A,B19)</f>
        <v>0</v>
      </c>
      <c r="T19" s="144">
        <f>SUMIFS('DS Shoppe (đã xác nhận)'!J:J,'DS Shoppe (đã xác nhận)'!A:A,B19)</f>
        <v>0</v>
      </c>
      <c r="U19" s="145">
        <f>SUMIFS('DS Shoppe (đã xác nhận)'!K:K,'DS Shoppe (đã xác nhận)'!A:A,B19)</f>
        <v>0</v>
      </c>
      <c r="V19" s="1"/>
      <c r="W19" s="1"/>
      <c r="X19" s="1"/>
      <c r="Y19" s="1"/>
      <c r="Z19" s="1"/>
      <c r="AA19" s="1"/>
      <c r="AB19" s="1"/>
      <c r="AC19" s="1"/>
      <c r="AD19" s="1"/>
      <c r="AE19" s="1"/>
      <c r="AF19" s="1"/>
      <c r="AG19" s="1"/>
      <c r="AH19" s="1"/>
      <c r="AI19" s="1"/>
    </row>
    <row r="20" ht="15.75" customHeight="1">
      <c r="A20" s="1"/>
      <c r="B20" s="146">
        <f t="shared" si="16"/>
        <v>46057</v>
      </c>
      <c r="C20" s="135">
        <f>SUMIFS(TARGET!E:E,TARGET!D:D,B20)</f>
        <v>4464285.714</v>
      </c>
      <c r="D20" s="135">
        <f t="shared" si="12"/>
        <v>6.868131868</v>
      </c>
      <c r="E20" s="135">
        <f>SUMIFS(ZALO!C:C,ZALO!A:A,B20)</f>
        <v>0</v>
      </c>
      <c r="F20" s="136">
        <f>SUMIFS(WEB!C:C,WEB!A:A,B20)</f>
        <v>0</v>
      </c>
      <c r="G20" s="135">
        <f>SUMIFS(FANPAGE!C:C,FANPAGE!A:A,B20)</f>
        <v>0</v>
      </c>
      <c r="H20" s="135">
        <f>SUMIFS(LAZADA!B:B,LAZADA!A:A,B20)</f>
        <v>0</v>
      </c>
      <c r="I20" s="135">
        <f>SUMIFS('DS Shoppe (đã xác nhận)'!B:B,'DS Shoppe (đã xác nhận)'!A:A,B20)</f>
        <v>2578636</v>
      </c>
      <c r="J20" s="135">
        <f>SUMIFS(TIKTOK!B:B,TIKTOK!A:A,B20)</f>
        <v>0</v>
      </c>
      <c r="K20" s="137">
        <f t="shared" si="13"/>
        <v>2578636</v>
      </c>
      <c r="L20" s="138">
        <f>SUMIFS('DS Shoppe (đã xác nhận)'!C:C,'DS Shoppe (đã xác nhận)'!A:A,B20)+SUMIFS(LAZADA!E:E,LAZADA!A:A,B20)+SUMIFS(WEB!B:B,WEB!A:A,B20)+SUMIFS(ZALO!B:B,ZALO!A:A,B20)+SUMIFS(FANPAGE!B:B,FANPAGE!A:A,B20)+SUMIFS(TIKTOK!J9:J38,TIKTOK!A9:A38,B20)</f>
        <v>3</v>
      </c>
      <c r="M20" s="139">
        <f t="shared" si="19"/>
        <v>859545.3333</v>
      </c>
      <c r="N20" s="140">
        <f t="shared" ref="N20:O20" si="20">K20/C20</f>
        <v>0.577614464</v>
      </c>
      <c r="O20" s="140">
        <f t="shared" si="20"/>
        <v>0.4368</v>
      </c>
      <c r="P20" s="141">
        <f t="shared" ref="P20:Q20" si="21">K20-C20</f>
        <v>-1885649.714</v>
      </c>
      <c r="Q20" s="141">
        <f t="shared" si="21"/>
        <v>-3.868131868</v>
      </c>
      <c r="R20" s="142">
        <f>SUMIFS('DS Shoppe (đã xác nhận)'!H:H,'DS Shoppe (đã xác nhận)'!A:A,B20)</f>
        <v>0</v>
      </c>
      <c r="S20" s="143">
        <f>SUMIFS('DS Shoppe (đã xác nhận)'!I:I,'DS Shoppe (đã xác nhận)'!A:A,B20)</f>
        <v>0</v>
      </c>
      <c r="T20" s="144">
        <f>SUMIFS('DS Shoppe (đã xác nhận)'!J:J,'DS Shoppe (đã xác nhận)'!A:A,B20)</f>
        <v>0</v>
      </c>
      <c r="U20" s="145">
        <f>SUMIFS('DS Shoppe (đã xác nhận)'!K:K,'DS Shoppe (đã xác nhận)'!A:A,B20)</f>
        <v>0</v>
      </c>
      <c r="V20" s="1"/>
      <c r="W20" s="1"/>
      <c r="X20" s="1"/>
      <c r="Y20" s="1"/>
      <c r="Z20" s="1"/>
      <c r="AA20" s="1"/>
      <c r="AB20" s="1"/>
      <c r="AC20" s="1"/>
      <c r="AD20" s="1"/>
      <c r="AE20" s="1"/>
      <c r="AF20" s="1"/>
      <c r="AG20" s="1"/>
      <c r="AH20" s="1"/>
      <c r="AI20" s="1"/>
    </row>
    <row r="21" ht="15.75" customHeight="1">
      <c r="A21" s="1"/>
      <c r="B21" s="146">
        <f t="shared" si="16"/>
        <v>46058</v>
      </c>
      <c r="C21" s="135">
        <f>SUMIFS(TARGET!E:E,TARGET!D:D,B21)</f>
        <v>4464285.714</v>
      </c>
      <c r="D21" s="135">
        <f t="shared" si="12"/>
        <v>6.868131868</v>
      </c>
      <c r="E21" s="135">
        <f>SUMIFS(ZALO!C:C,ZALO!A:A,B21)</f>
        <v>0</v>
      </c>
      <c r="F21" s="136">
        <f>SUMIFS(WEB!C:C,WEB!A:A,B21)</f>
        <v>0</v>
      </c>
      <c r="G21" s="135">
        <f>SUMIFS(FANPAGE!C:C,FANPAGE!A:A,B21)</f>
        <v>0</v>
      </c>
      <c r="H21" s="135">
        <f>SUMIFS(LAZADA!B:B,LAZADA!A:A,B21)</f>
        <v>0</v>
      </c>
      <c r="I21" s="135">
        <f>SUMIFS('DS Shoppe (đã xác nhận)'!B:B,'DS Shoppe (đã xác nhận)'!A:A,B21)</f>
        <v>4938391</v>
      </c>
      <c r="J21" s="135">
        <f>SUMIFS(TIKTOK!B:B,TIKTOK!A:A,B21)</f>
        <v>0</v>
      </c>
      <c r="K21" s="137">
        <f t="shared" si="13"/>
        <v>4938391</v>
      </c>
      <c r="L21" s="138">
        <f>SUMIFS('DS Shoppe (đã xác nhận)'!C:C,'DS Shoppe (đã xác nhận)'!A:A,B21)+SUMIFS(LAZADA!E:E,LAZADA!A:A,B21)+SUMIFS(WEB!B:B,WEB!A:A,B21)+SUMIFS(ZALO!B:B,ZALO!A:A,B21)+SUMIFS(FANPAGE!B:B,FANPAGE!A:A,B21)+SUMIFS(TIKTOK!J10:J39,TIKTOK!A10:A39,B21)</f>
        <v>3</v>
      </c>
      <c r="M21" s="139">
        <f t="shared" si="19"/>
        <v>1646130.333</v>
      </c>
      <c r="N21" s="140">
        <f t="shared" ref="N21:O21" si="22">K21/C21</f>
        <v>1.106199584</v>
      </c>
      <c r="O21" s="140">
        <f t="shared" si="22"/>
        <v>0.4368</v>
      </c>
      <c r="P21" s="141">
        <f t="shared" ref="P21:Q21" si="23">K21-C21</f>
        <v>474105.2857</v>
      </c>
      <c r="Q21" s="141">
        <f t="shared" si="23"/>
        <v>-3.868131868</v>
      </c>
      <c r="R21" s="142">
        <f>SUMIFS('DS Shoppe (đã xác nhận)'!H:H,'DS Shoppe (đã xác nhận)'!A:A,B21)</f>
        <v>0</v>
      </c>
      <c r="S21" s="143">
        <f>SUMIFS('DS Shoppe (đã xác nhận)'!I:I,'DS Shoppe (đã xác nhận)'!A:A,B21)</f>
        <v>0</v>
      </c>
      <c r="T21" s="144">
        <f>SUMIFS('DS Shoppe (đã xác nhận)'!J:J,'DS Shoppe (đã xác nhận)'!A:A,B21)</f>
        <v>0</v>
      </c>
      <c r="U21" s="145">
        <f>SUMIFS('DS Shoppe (đã xác nhận)'!K:K,'DS Shoppe (đã xác nhận)'!A:A,B21)</f>
        <v>0</v>
      </c>
      <c r="V21" s="147"/>
      <c r="W21" s="1"/>
      <c r="X21" s="1"/>
      <c r="Y21" s="1"/>
      <c r="Z21" s="1"/>
      <c r="AA21" s="1"/>
      <c r="AB21" s="1"/>
      <c r="AC21" s="1"/>
      <c r="AD21" s="1"/>
      <c r="AE21" s="1"/>
      <c r="AF21" s="1"/>
      <c r="AG21" s="1"/>
      <c r="AH21" s="1"/>
      <c r="AI21" s="1"/>
    </row>
    <row r="22" ht="15.75" customHeight="1">
      <c r="A22" s="1"/>
      <c r="B22" s="146">
        <f t="shared" si="16"/>
        <v>46059</v>
      </c>
      <c r="C22" s="135">
        <f>SUMIFS(TARGET!E:E,TARGET!D:D,B22)</f>
        <v>4464285.714</v>
      </c>
      <c r="D22" s="135">
        <f t="shared" si="12"/>
        <v>6.868131868</v>
      </c>
      <c r="E22" s="135">
        <f>SUMIFS(ZALO!C:C,ZALO!A:A,B22)</f>
        <v>0</v>
      </c>
      <c r="F22" s="136">
        <f>SUMIFS(WEB!C:C,WEB!A:A,B22)</f>
        <v>0</v>
      </c>
      <c r="G22" s="135">
        <f>SUMIFS(FANPAGE!C:C,FANPAGE!A:A,B22)</f>
        <v>0</v>
      </c>
      <c r="H22" s="135">
        <f>SUMIFS(LAZADA!B:B,LAZADA!A:A,B22)</f>
        <v>0</v>
      </c>
      <c r="I22" s="135">
        <f>SUMIFS('DS Shoppe (đã xác nhận)'!B:B,'DS Shoppe (đã xác nhận)'!A:A,B22)</f>
        <v>60000</v>
      </c>
      <c r="J22" s="135">
        <f>SUMIFS(TIKTOK!B:B,TIKTOK!A:A,B22)</f>
        <v>0</v>
      </c>
      <c r="K22" s="137">
        <f t="shared" si="13"/>
        <v>60000</v>
      </c>
      <c r="L22" s="138">
        <f>SUMIFS('DS Shoppe (đã xác nhận)'!C:C,'DS Shoppe (đã xác nhận)'!A:A,B22)+SUMIFS(LAZADA!E:E,LAZADA!A:A,B22)+SUMIFS(WEB!B:B,WEB!A:A,B22)+SUMIFS(ZALO!B:B,ZALO!A:A,B22)+SUMIFS(FANPAGE!B:B,FANPAGE!A:A,B22)+SUMIFS(TIKTOK!J11:J40,TIKTOK!A11:A40,B22)</f>
        <v>1</v>
      </c>
      <c r="M22" s="139">
        <f t="shared" si="19"/>
        <v>60000</v>
      </c>
      <c r="N22" s="140">
        <f t="shared" ref="N22:O22" si="24">K22/C22</f>
        <v>0.01344</v>
      </c>
      <c r="O22" s="140">
        <f t="shared" si="24"/>
        <v>0.1456</v>
      </c>
      <c r="P22" s="141">
        <f t="shared" ref="P22:Q22" si="25">K22-C22</f>
        <v>-4404285.714</v>
      </c>
      <c r="Q22" s="141">
        <f t="shared" si="25"/>
        <v>-5.868131868</v>
      </c>
      <c r="R22" s="142">
        <f>SUMIFS('DS Shoppe (đã xác nhận)'!H:H,'DS Shoppe (đã xác nhận)'!A:A,B22)</f>
        <v>0</v>
      </c>
      <c r="S22" s="143">
        <f>SUMIFS('DS Shoppe (đã xác nhận)'!I:I,'DS Shoppe (đã xác nhận)'!A:A,B22)</f>
        <v>0</v>
      </c>
      <c r="T22" s="144">
        <f>SUMIFS('DS Shoppe (đã xác nhận)'!J:J,'DS Shoppe (đã xác nhận)'!A:A,B22)</f>
        <v>0</v>
      </c>
      <c r="U22" s="145">
        <f>SUMIFS('DS Shoppe (đã xác nhận)'!K:K,'DS Shoppe (đã xác nhận)'!A:A,B22)</f>
        <v>0</v>
      </c>
      <c r="V22" s="147"/>
      <c r="W22" s="1"/>
      <c r="X22" s="1"/>
      <c r="Y22" s="1"/>
      <c r="Z22" s="1"/>
      <c r="AA22" s="1"/>
      <c r="AB22" s="1"/>
      <c r="AC22" s="1"/>
      <c r="AD22" s="1"/>
      <c r="AE22" s="1"/>
      <c r="AF22" s="1"/>
      <c r="AG22" s="1"/>
      <c r="AH22" s="1"/>
      <c r="AI22" s="1"/>
    </row>
    <row r="23" ht="15.75" customHeight="1">
      <c r="A23" s="1"/>
      <c r="B23" s="146">
        <f t="shared" si="16"/>
        <v>46060</v>
      </c>
      <c r="C23" s="135">
        <f>SUMIFS(TARGET!E:E,TARGET!D:D,B23)</f>
        <v>4464285.714</v>
      </c>
      <c r="D23" s="135">
        <f t="shared" si="12"/>
        <v>6.868131868</v>
      </c>
      <c r="E23" s="135">
        <f>SUMIFS(ZALO!C:C,ZALO!A:A,B23)</f>
        <v>0</v>
      </c>
      <c r="F23" s="136">
        <f>SUMIFS(WEB!C:C,WEB!A:A,B23)</f>
        <v>0</v>
      </c>
      <c r="G23" s="135">
        <f>SUMIFS(FANPAGE!C:C,FANPAGE!A:A,B23)</f>
        <v>0</v>
      </c>
      <c r="H23" s="135">
        <f>SUMIFS(LAZADA!B:B,LAZADA!A:A,B23)</f>
        <v>0</v>
      </c>
      <c r="I23" s="135">
        <f>SUMIFS('DS Shoppe (đã xác nhận)'!B:B,'DS Shoppe (đã xác nhận)'!A:A,B23)</f>
        <v>2158140</v>
      </c>
      <c r="J23" s="135">
        <f>SUMIFS(TIKTOK!B:B,TIKTOK!A:A,B23)</f>
        <v>0</v>
      </c>
      <c r="K23" s="137">
        <f t="shared" si="13"/>
        <v>2158140</v>
      </c>
      <c r="L23" s="138">
        <f>SUMIFS('DS Shoppe (đã xác nhận)'!C:C,'DS Shoppe (đã xác nhận)'!A:A,B23)+SUMIFS(LAZADA!E:E,LAZADA!A:A,B23)+SUMIFS(WEB!B:B,WEB!A:A,B23)+SUMIFS(ZALO!B:B,ZALO!A:A,B23)+SUMIFS(FANPAGE!B:B,FANPAGE!A:A,B23)+SUMIFS(TIKTOK!J12:J41,TIKTOK!A12:A41,B23)</f>
        <v>2</v>
      </c>
      <c r="M23" s="139">
        <f t="shared" si="19"/>
        <v>1079070</v>
      </c>
      <c r="N23" s="140">
        <f t="shared" ref="N23:O23" si="26">K23/C23</f>
        <v>0.48342336</v>
      </c>
      <c r="O23" s="140">
        <f t="shared" si="26"/>
        <v>0.2912</v>
      </c>
      <c r="P23" s="141">
        <f t="shared" ref="P23:Q23" si="27">K23-C23</f>
        <v>-2306145.714</v>
      </c>
      <c r="Q23" s="141">
        <f t="shared" si="27"/>
        <v>-4.868131868</v>
      </c>
      <c r="R23" s="142">
        <f>SUMIFS('DS Shoppe (đã xác nhận)'!H:H,'DS Shoppe (đã xác nhận)'!A:A,B23)</f>
        <v>0</v>
      </c>
      <c r="S23" s="143">
        <f>SUMIFS('DS Shoppe (đã xác nhận)'!I:I,'DS Shoppe (đã xác nhận)'!A:A,B23)</f>
        <v>0</v>
      </c>
      <c r="T23" s="144">
        <f>SUMIFS('DS Shoppe (đã xác nhận)'!J:J,'DS Shoppe (đã xác nhận)'!A:A,B23)</f>
        <v>0</v>
      </c>
      <c r="U23" s="145">
        <f>SUMIFS('DS Shoppe (đã xác nhận)'!K:K,'DS Shoppe (đã xác nhận)'!A:A,B23)</f>
        <v>0</v>
      </c>
      <c r="V23" s="147"/>
      <c r="W23" s="1"/>
      <c r="X23" s="1"/>
      <c r="Y23" s="1"/>
      <c r="Z23" s="1"/>
      <c r="AA23" s="1"/>
      <c r="AB23" s="1"/>
      <c r="AC23" s="1"/>
      <c r="AD23" s="1"/>
      <c r="AE23" s="1"/>
      <c r="AF23" s="1"/>
      <c r="AG23" s="1"/>
      <c r="AH23" s="1"/>
      <c r="AI23" s="1"/>
    </row>
    <row r="24" ht="15.75" customHeight="1">
      <c r="A24" s="1"/>
      <c r="B24" s="146">
        <f t="shared" si="16"/>
        <v>46061</v>
      </c>
      <c r="C24" s="135">
        <f>SUMIFS(TARGET!E:E,TARGET!D:D,B24)</f>
        <v>4464285.714</v>
      </c>
      <c r="D24" s="135">
        <f t="shared" si="12"/>
        <v>6.868131868</v>
      </c>
      <c r="E24" s="135">
        <f>SUMIFS(ZALO!C:C,ZALO!A:A,B24)</f>
        <v>0</v>
      </c>
      <c r="F24" s="136">
        <f>SUMIFS(WEB!C:C,WEB!A:A,B24)</f>
        <v>0</v>
      </c>
      <c r="G24" s="135">
        <f>SUMIFS(FANPAGE!C:C,FANPAGE!A:A,B24)</f>
        <v>0</v>
      </c>
      <c r="H24" s="135">
        <f>SUMIFS(LAZADA!B:B,LAZADA!A:A,B24)</f>
        <v>0</v>
      </c>
      <c r="I24" s="135">
        <f>SUMIFS('DS Shoppe (đã xác nhận)'!B:B,'DS Shoppe (đã xác nhận)'!A:A,B24)</f>
        <v>4782887</v>
      </c>
      <c r="J24" s="135">
        <f>SUMIFS(TIKTOK!B:B,TIKTOK!A:A,B24)</f>
        <v>0</v>
      </c>
      <c r="K24" s="137">
        <f t="shared" si="13"/>
        <v>4782887</v>
      </c>
      <c r="L24" s="138">
        <f>SUMIFS('DS Shoppe (đã xác nhận)'!C:C,'DS Shoppe (đã xác nhận)'!A:A,B24)+SUMIFS(LAZADA!E:E,LAZADA!A:A,B24)+SUMIFS(WEB!B:B,WEB!A:A,B24)+SUMIFS(ZALO!B:B,ZALO!A:A,B24)+SUMIFS(FANPAGE!B:B,FANPAGE!A:A,B24)+SUMIFS(TIKTOK!J13:J42,TIKTOK!A13:A42,B24)</f>
        <v>6</v>
      </c>
      <c r="M24" s="139">
        <f t="shared" si="19"/>
        <v>797147.8333</v>
      </c>
      <c r="N24" s="140">
        <f t="shared" ref="N24:O24" si="28">K24/C24</f>
        <v>1.071366688</v>
      </c>
      <c r="O24" s="140">
        <f t="shared" si="28"/>
        <v>0.8736</v>
      </c>
      <c r="P24" s="141">
        <f t="shared" ref="P24:Q24" si="29">K24-C24</f>
        <v>318601.2857</v>
      </c>
      <c r="Q24" s="141">
        <f t="shared" si="29"/>
        <v>-0.8681318681</v>
      </c>
      <c r="R24" s="142">
        <f>SUMIFS('DS Shoppe (đã xác nhận)'!H:H,'DS Shoppe (đã xác nhận)'!A:A,B24)</f>
        <v>0</v>
      </c>
      <c r="S24" s="143">
        <f>SUMIFS('DS Shoppe (đã xác nhận)'!I:I,'DS Shoppe (đã xác nhận)'!A:A,B24)</f>
        <v>0</v>
      </c>
      <c r="T24" s="144">
        <f>SUMIFS('DS Shoppe (đã xác nhận)'!J:J,'DS Shoppe (đã xác nhận)'!A:A,B24)</f>
        <v>1</v>
      </c>
      <c r="U24" s="145">
        <f>SUMIFS('DS Shoppe (đã xác nhận)'!K:K,'DS Shoppe (đã xác nhận)'!A:A,B24)</f>
        <v>846000</v>
      </c>
      <c r="V24" s="147"/>
      <c r="W24" s="1"/>
      <c r="X24" s="1"/>
      <c r="Y24" s="1"/>
      <c r="Z24" s="1"/>
      <c r="AA24" s="1"/>
      <c r="AB24" s="1"/>
      <c r="AC24" s="1"/>
      <c r="AD24" s="1"/>
      <c r="AE24" s="1"/>
      <c r="AF24" s="1"/>
      <c r="AG24" s="1"/>
      <c r="AH24" s="1"/>
      <c r="AI24" s="1"/>
    </row>
    <row r="25" ht="15.75" customHeight="1">
      <c r="A25" s="1"/>
      <c r="B25" s="146">
        <f t="shared" si="16"/>
        <v>46062</v>
      </c>
      <c r="C25" s="135">
        <f>SUMIFS(TARGET!E:E,TARGET!D:D,B25)</f>
        <v>4464285.714</v>
      </c>
      <c r="D25" s="135">
        <f t="shared" si="12"/>
        <v>6.868131868</v>
      </c>
      <c r="E25" s="135">
        <f>SUMIFS(ZALO!C:C,ZALO!A:A,B25)</f>
        <v>0</v>
      </c>
      <c r="F25" s="136">
        <f>SUMIFS(WEB!C:C,WEB!A:A,B25)</f>
        <v>909000</v>
      </c>
      <c r="G25" s="135">
        <f>SUMIFS(FANPAGE!C:C,FANPAGE!A:A,B25)</f>
        <v>0</v>
      </c>
      <c r="H25" s="135">
        <f>SUMIFS(LAZADA!B:B,LAZADA!A:A,B25)</f>
        <v>0</v>
      </c>
      <c r="I25" s="135">
        <f>SUMIFS('DS Shoppe (đã xác nhận)'!B:B,'DS Shoppe (đã xác nhận)'!A:A,B25)</f>
        <v>1835353</v>
      </c>
      <c r="J25" s="135">
        <f>SUMIFS(TIKTOK!B:B,TIKTOK!A:A,B25)</f>
        <v>0</v>
      </c>
      <c r="K25" s="137">
        <f t="shared" si="13"/>
        <v>2744353</v>
      </c>
      <c r="L25" s="138">
        <f>SUMIFS('DS Shoppe (đã xác nhận)'!C:C,'DS Shoppe (đã xác nhận)'!A:A,B25)+SUMIFS(LAZADA!E:E,LAZADA!A:A,B25)+SUMIFS(WEB!B:B,WEB!A:A,B25)+SUMIFS(ZALO!B:B,ZALO!A:A,B25)+SUMIFS(FANPAGE!B:B,FANPAGE!A:A,B25)+SUMIFS(TIKTOK!J14:J43,TIKTOK!A14:A43,B25)</f>
        <v>3</v>
      </c>
      <c r="M25" s="139">
        <f t="shared" si="19"/>
        <v>914784.3333</v>
      </c>
      <c r="N25" s="140">
        <f t="shared" ref="N25:O25" si="30">K25/C25</f>
        <v>0.614735072</v>
      </c>
      <c r="O25" s="140">
        <f t="shared" si="30"/>
        <v>0.4368</v>
      </c>
      <c r="P25" s="141">
        <f t="shared" ref="P25:Q25" si="31">K25-C25</f>
        <v>-1719932.714</v>
      </c>
      <c r="Q25" s="141">
        <f t="shared" si="31"/>
        <v>-3.868131868</v>
      </c>
      <c r="R25" s="142">
        <f>SUMIFS('DS Shoppe (đã xác nhận)'!H:H,'DS Shoppe (đã xác nhận)'!A:A,B25)</f>
        <v>1</v>
      </c>
      <c r="S25" s="143">
        <f>SUMIFS('DS Shoppe (đã xác nhận)'!I:I,'DS Shoppe (đã xác nhận)'!A:A,B25)</f>
        <v>926091</v>
      </c>
      <c r="T25" s="144">
        <f>SUMIFS('DS Shoppe (đã xác nhận)'!J:J,'DS Shoppe (đã xác nhận)'!A:A,B25)</f>
        <v>0</v>
      </c>
      <c r="U25" s="145">
        <f>SUMIFS('DS Shoppe (đã xác nhận)'!K:K,'DS Shoppe (đã xác nhận)'!A:A,B25)</f>
        <v>0</v>
      </c>
      <c r="V25" s="147"/>
      <c r="W25" s="1"/>
      <c r="X25" s="1"/>
      <c r="Y25" s="1"/>
      <c r="Z25" s="1"/>
      <c r="AA25" s="1"/>
      <c r="AB25" s="1"/>
      <c r="AC25" s="1"/>
      <c r="AD25" s="1"/>
      <c r="AE25" s="1"/>
      <c r="AF25" s="1"/>
      <c r="AG25" s="1"/>
      <c r="AH25" s="1"/>
      <c r="AI25" s="1"/>
    </row>
    <row r="26" ht="15.75" customHeight="1">
      <c r="A26" s="1"/>
      <c r="B26" s="146">
        <f t="shared" si="16"/>
        <v>46063</v>
      </c>
      <c r="C26" s="135">
        <f>SUMIFS(TARGET!E:E,TARGET!D:D,B26)</f>
        <v>4464285.714</v>
      </c>
      <c r="D26" s="135">
        <f t="shared" si="12"/>
        <v>6.868131868</v>
      </c>
      <c r="E26" s="135">
        <f>SUMIFS(ZALO!C:C,ZALO!A:A,B26)</f>
        <v>0</v>
      </c>
      <c r="F26" s="136">
        <f>SUMIFS(WEB!C:C,WEB!A:A,B26)</f>
        <v>0</v>
      </c>
      <c r="G26" s="135">
        <f>SUMIFS(FANPAGE!C:C,FANPAGE!A:A,B26)</f>
        <v>0</v>
      </c>
      <c r="H26" s="135">
        <f>SUMIFS(LAZADA!B:B,LAZADA!A:A,B26)</f>
        <v>0</v>
      </c>
      <c r="I26" s="135">
        <f>SUMIFS('DS Shoppe (đã xác nhận)'!B:B,'DS Shoppe (đã xác nhận)'!A:A,B26)</f>
        <v>5177368</v>
      </c>
      <c r="J26" s="135">
        <f>SUMIFS(TIKTOK!B:B,TIKTOK!A:A,B26)</f>
        <v>0</v>
      </c>
      <c r="K26" s="137">
        <f t="shared" si="13"/>
        <v>5177368</v>
      </c>
      <c r="L26" s="138">
        <f>SUMIFS('DS Shoppe (đã xác nhận)'!C:C,'DS Shoppe (đã xác nhận)'!A:A,B26)+SUMIFS(LAZADA!E:E,LAZADA!A:A,B26)+SUMIFS(WEB!B:B,WEB!A:A,B26)+SUMIFS(ZALO!B:B,ZALO!A:A,B26)+SUMIFS(FANPAGE!B:B,FANPAGE!A:A,B26)+SUMIFS(TIKTOK!J15:J44,TIKTOK!A15:A44,B26)</f>
        <v>6</v>
      </c>
      <c r="M26" s="139">
        <f t="shared" si="19"/>
        <v>862894.6667</v>
      </c>
      <c r="N26" s="140">
        <f t="shared" ref="N26:O26" si="32">K26/C26</f>
        <v>1.159730432</v>
      </c>
      <c r="O26" s="140">
        <f t="shared" si="32"/>
        <v>0.8736</v>
      </c>
      <c r="P26" s="141">
        <f t="shared" ref="P26:Q26" si="33">K26-C26</f>
        <v>713082.2857</v>
      </c>
      <c r="Q26" s="141">
        <f t="shared" si="33"/>
        <v>-0.8681318681</v>
      </c>
      <c r="R26" s="142">
        <f>SUMIFS('DS Shoppe (đã xác nhận)'!H:H,'DS Shoppe (đã xác nhận)'!A:A,B26)</f>
        <v>0</v>
      </c>
      <c r="S26" s="143">
        <f>SUMIFS('DS Shoppe (đã xác nhận)'!I:I,'DS Shoppe (đã xác nhận)'!A:A,B26)</f>
        <v>0</v>
      </c>
      <c r="T26" s="144">
        <f>SUMIFS('DS Shoppe (đã xác nhận)'!J:J,'DS Shoppe (đã xác nhận)'!A:A,B26)</f>
        <v>1</v>
      </c>
      <c r="U26" s="145">
        <f>SUMIFS('DS Shoppe (đã xác nhận)'!K:K,'DS Shoppe (đã xác nhận)'!A:A,B26)</f>
        <v>724000</v>
      </c>
      <c r="V26" s="147"/>
      <c r="W26" s="1"/>
      <c r="X26" s="1"/>
      <c r="Y26" s="1"/>
      <c r="Z26" s="1"/>
      <c r="AA26" s="1"/>
      <c r="AB26" s="1"/>
      <c r="AC26" s="1"/>
      <c r="AD26" s="1"/>
      <c r="AE26" s="1"/>
      <c r="AF26" s="1"/>
      <c r="AG26" s="1"/>
      <c r="AH26" s="1"/>
      <c r="AI26" s="1"/>
    </row>
    <row r="27" ht="15.75" customHeight="1">
      <c r="A27" s="1"/>
      <c r="B27" s="146">
        <f t="shared" si="16"/>
        <v>46064</v>
      </c>
      <c r="C27" s="135">
        <f>SUMIFS(TARGET!E:E,TARGET!D:D,B27)</f>
        <v>4464285.714</v>
      </c>
      <c r="D27" s="135">
        <f t="shared" si="12"/>
        <v>6.868131868</v>
      </c>
      <c r="E27" s="135">
        <f>SUMIFS(ZALO!C:C,ZALO!A:A,B27)</f>
        <v>0</v>
      </c>
      <c r="F27" s="136">
        <f>SUMIFS(WEB!C:C,WEB!A:A,B27)</f>
        <v>0</v>
      </c>
      <c r="G27" s="135">
        <f>SUMIFS(FANPAGE!C:C,FANPAGE!A:A,B27)</f>
        <v>0</v>
      </c>
      <c r="H27" s="135">
        <f>SUMIFS(LAZADA!B:B,LAZADA!A:A,B27)</f>
        <v>0</v>
      </c>
      <c r="I27" s="135">
        <f>SUMIFS('DS Shoppe (đã xác nhận)'!B:B,'DS Shoppe (đã xác nhận)'!A:A,B27)</f>
        <v>1951880</v>
      </c>
      <c r="J27" s="135">
        <f>SUMIFS(TIKTOK!B:B,TIKTOK!A:A,B27)</f>
        <v>0</v>
      </c>
      <c r="K27" s="137">
        <f t="shared" si="13"/>
        <v>1951880</v>
      </c>
      <c r="L27" s="138">
        <f>SUMIFS('DS Shoppe (đã xác nhận)'!C:C,'DS Shoppe (đã xác nhận)'!A:A,B27)+SUMIFS(LAZADA!E:E,LAZADA!A:A,B27)+SUMIFS(WEB!B:B,WEB!A:A,B27)+SUMIFS(ZALO!B:B,ZALO!A:A,B27)+SUMIFS(FANPAGE!B:B,FANPAGE!A:A,B27)+SUMIFS(TIKTOK!J16:J45,TIKTOK!A16:A45,B27)</f>
        <v>2</v>
      </c>
      <c r="M27" s="139">
        <f t="shared" si="19"/>
        <v>975940</v>
      </c>
      <c r="N27" s="140">
        <f t="shared" ref="N27:O27" si="34">K27/C27</f>
        <v>0.43722112</v>
      </c>
      <c r="O27" s="140">
        <f t="shared" si="34"/>
        <v>0.2912</v>
      </c>
      <c r="P27" s="141">
        <f t="shared" ref="P27:Q27" si="35">K27-C27</f>
        <v>-2512405.714</v>
      </c>
      <c r="Q27" s="141">
        <f t="shared" si="35"/>
        <v>-4.868131868</v>
      </c>
      <c r="R27" s="142">
        <f>SUMIFS('DS Shoppe (đã xác nhận)'!H:H,'DS Shoppe (đã xác nhận)'!A:A,B27)</f>
        <v>0</v>
      </c>
      <c r="S27" s="143">
        <f>SUMIFS('DS Shoppe (đã xác nhận)'!I:I,'DS Shoppe (đã xác nhận)'!A:A,B27)</f>
        <v>0</v>
      </c>
      <c r="T27" s="144">
        <f>SUMIFS('DS Shoppe (đã xác nhận)'!J:J,'DS Shoppe (đã xác nhận)'!A:A,B27)</f>
        <v>0</v>
      </c>
      <c r="U27" s="145">
        <f>SUMIFS('DS Shoppe (đã xác nhận)'!K:K,'DS Shoppe (đã xác nhận)'!A:A,B27)</f>
        <v>0</v>
      </c>
      <c r="V27" s="147"/>
      <c r="W27" s="1"/>
      <c r="X27" s="1"/>
      <c r="Y27" s="1"/>
      <c r="Z27" s="1"/>
      <c r="AA27" s="1"/>
      <c r="AB27" s="1"/>
      <c r="AC27" s="1"/>
      <c r="AD27" s="1"/>
      <c r="AE27" s="1"/>
      <c r="AF27" s="1"/>
      <c r="AG27" s="1"/>
      <c r="AH27" s="1"/>
      <c r="AI27" s="1"/>
    </row>
    <row r="28" ht="15.75" customHeight="1">
      <c r="A28" s="1"/>
      <c r="B28" s="146">
        <f t="shared" si="16"/>
        <v>46065</v>
      </c>
      <c r="C28" s="135">
        <f>SUMIFS(TARGET!E:E,TARGET!D:D,B28)</f>
        <v>4464285.714</v>
      </c>
      <c r="D28" s="135">
        <f t="shared" si="12"/>
        <v>6.868131868</v>
      </c>
      <c r="E28" s="135">
        <f>SUMIFS(ZALO!C:C,ZALO!A:A,B28)</f>
        <v>0</v>
      </c>
      <c r="F28" s="136">
        <f>SUMIFS(WEB!C:C,WEB!A:A,B28)</f>
        <v>0</v>
      </c>
      <c r="G28" s="135">
        <f>SUMIFS(FANPAGE!C:C,FANPAGE!A:A,B28)</f>
        <v>0</v>
      </c>
      <c r="H28" s="135">
        <f>SUMIFS(LAZADA!B:B,LAZADA!A:A,B28)</f>
        <v>0</v>
      </c>
      <c r="I28" s="135">
        <f>SUMIFS('DS Shoppe (đã xác nhận)'!B:B,'DS Shoppe (đã xác nhận)'!A:A,B28)</f>
        <v>3446276</v>
      </c>
      <c r="J28" s="135">
        <f>SUMIFS(TIKTOK!B:B,TIKTOK!A:A,B28)</f>
        <v>0</v>
      </c>
      <c r="K28" s="137">
        <f t="shared" si="13"/>
        <v>3446276</v>
      </c>
      <c r="L28" s="138">
        <f>SUMIFS('DS Shoppe (đã xác nhận)'!C:C,'DS Shoppe (đã xác nhận)'!A:A,B28)+SUMIFS(LAZADA!E:E,LAZADA!A:A,B28)+SUMIFS(WEB!B:B,WEB!A:A,B28)+SUMIFS(ZALO!B:B,ZALO!A:A,B28)+SUMIFS(FANPAGE!B:B,FANPAGE!A:A,B28)</f>
        <v>2</v>
      </c>
      <c r="M28" s="139">
        <f t="shared" si="19"/>
        <v>1723138</v>
      </c>
      <c r="N28" s="140">
        <f t="shared" ref="N28:O28" si="36">K28/C28</f>
        <v>0.771965824</v>
      </c>
      <c r="O28" s="140">
        <f t="shared" si="36"/>
        <v>0.2912</v>
      </c>
      <c r="P28" s="141">
        <f t="shared" ref="P28:Q28" si="37">K28-C28</f>
        <v>-1018009.714</v>
      </c>
      <c r="Q28" s="141">
        <f t="shared" si="37"/>
        <v>-4.868131868</v>
      </c>
      <c r="R28" s="142">
        <f>SUMIFS('DS Shoppe (đã xác nhận)'!H:H,'DS Shoppe (đã xác nhận)'!A:A,B28)</f>
        <v>1</v>
      </c>
      <c r="S28" s="143">
        <f>SUMIFS('DS Shoppe (đã xác nhận)'!I:I,'DS Shoppe (đã xác nhận)'!A:A,B28)</f>
        <v>2019600</v>
      </c>
      <c r="T28" s="144">
        <f>SUMIFS('DS Shoppe (đã xác nhận)'!J:J,'DS Shoppe (đã xác nhận)'!A:A,B28)</f>
        <v>0</v>
      </c>
      <c r="U28" s="145">
        <f>SUMIFS('DS Shoppe (đã xác nhận)'!K:K,'DS Shoppe (đã xác nhận)'!A:A,B28)</f>
        <v>0</v>
      </c>
      <c r="V28" s="147"/>
      <c r="W28" s="1"/>
      <c r="X28" s="1"/>
      <c r="Y28" s="1"/>
      <c r="Z28" s="1"/>
      <c r="AA28" s="1"/>
      <c r="AB28" s="1"/>
      <c r="AC28" s="1"/>
      <c r="AD28" s="1"/>
      <c r="AE28" s="1"/>
      <c r="AF28" s="1"/>
      <c r="AG28" s="1"/>
      <c r="AH28" s="1"/>
      <c r="AI28" s="1"/>
    </row>
    <row r="29" ht="15.75" customHeight="1">
      <c r="A29" s="1"/>
      <c r="B29" s="146">
        <f t="shared" si="16"/>
        <v>46066</v>
      </c>
      <c r="C29" s="135">
        <f>SUMIFS(TARGET!E:E,TARGET!D:D,B29)</f>
        <v>4464285.714</v>
      </c>
      <c r="D29" s="135">
        <f t="shared" si="12"/>
        <v>6.868131868</v>
      </c>
      <c r="E29" s="135">
        <f>SUMIFS(ZALO!C:C,ZALO!A:A,B29)</f>
        <v>1278000</v>
      </c>
      <c r="F29" s="136">
        <f>SUMIFS(WEB!C:C,WEB!A:A,B29)</f>
        <v>0</v>
      </c>
      <c r="G29" s="135">
        <f>SUMIFS(FANPAGE!C:C,FANPAGE!A:A,B29)</f>
        <v>0</v>
      </c>
      <c r="H29" s="135">
        <f>SUMIFS(LAZADA!B:B,LAZADA!A:A,B29)</f>
        <v>0</v>
      </c>
      <c r="I29" s="135">
        <f>SUMIFS('DS Shoppe (đã xác nhận)'!B:B,'DS Shoppe (đã xác nhận)'!A:A,B29)</f>
        <v>0</v>
      </c>
      <c r="J29" s="135">
        <f>SUMIFS(TIKTOK!B:B,TIKTOK!A:A,B29)</f>
        <v>1456380</v>
      </c>
      <c r="K29" s="137">
        <f t="shared" si="13"/>
        <v>2734380</v>
      </c>
      <c r="L29" s="138">
        <f>SUMIFS('DS Shoppe (đã xác nhận)'!C:C,'DS Shoppe (đã xác nhận)'!A:A,B29)+SUMIFS(LAZADA!E:E,LAZADA!A:A,B29)+SUMIFS(WEB!B:B,WEB!A:A,B29)+SUMIFS(ZALO!B:B,ZALO!A:A,B29)+SUMIFS(FANPAGE!B:B,FANPAGE!A:A,B29)</f>
        <v>1</v>
      </c>
      <c r="M29" s="139">
        <f t="shared" si="19"/>
        <v>2734380</v>
      </c>
      <c r="N29" s="140">
        <f t="shared" ref="N29:O29" si="38">K29/C29</f>
        <v>0.61250112</v>
      </c>
      <c r="O29" s="140">
        <f t="shared" si="38"/>
        <v>0.1456</v>
      </c>
      <c r="P29" s="141">
        <f t="shared" ref="P29:Q29" si="39">K29-C29</f>
        <v>-1729905.714</v>
      </c>
      <c r="Q29" s="141">
        <f t="shared" si="39"/>
        <v>-5.868131868</v>
      </c>
      <c r="R29" s="142">
        <f>SUMIFS('DS Shoppe (đã xác nhận)'!H:H,'DS Shoppe (đã xác nhận)'!A:A,B29)</f>
        <v>0</v>
      </c>
      <c r="S29" s="143">
        <f>SUMIFS('DS Shoppe (đã xác nhận)'!I:I,'DS Shoppe (đã xác nhận)'!A:A,B29)</f>
        <v>0</v>
      </c>
      <c r="T29" s="144">
        <f>SUMIFS('DS Shoppe (đã xác nhận)'!J:J,'DS Shoppe (đã xác nhận)'!A:A,B29)</f>
        <v>0</v>
      </c>
      <c r="U29" s="145">
        <f>SUMIFS('DS Shoppe (đã xác nhận)'!K:K,'DS Shoppe (đã xác nhận)'!A:A,B29)</f>
        <v>0</v>
      </c>
      <c r="V29" s="147"/>
      <c r="W29" s="1"/>
      <c r="X29" s="1"/>
      <c r="Y29" s="1"/>
      <c r="Z29" s="1"/>
      <c r="AA29" s="1"/>
      <c r="AB29" s="1"/>
      <c r="AC29" s="1"/>
      <c r="AD29" s="1"/>
      <c r="AE29" s="1"/>
      <c r="AF29" s="1"/>
      <c r="AG29" s="1"/>
      <c r="AH29" s="1"/>
      <c r="AI29" s="1"/>
    </row>
    <row r="30" ht="15.75" customHeight="1">
      <c r="A30" s="1"/>
      <c r="B30" s="146">
        <f t="shared" si="16"/>
        <v>46067</v>
      </c>
      <c r="C30" s="135">
        <f>SUMIFS(TARGET!E:E,TARGET!D:D,B30)</f>
        <v>4464285.714</v>
      </c>
      <c r="D30" s="135">
        <f t="shared" si="12"/>
        <v>6.868131868</v>
      </c>
      <c r="E30" s="135">
        <f>SUMIFS(ZALO!C:C,ZALO!A:A,B30)</f>
        <v>0</v>
      </c>
      <c r="F30" s="136">
        <f>SUMIFS(WEB!C:C,WEB!A:A,B30)</f>
        <v>0</v>
      </c>
      <c r="G30" s="135">
        <f>SUMIFS(FANPAGE!C:C,FANPAGE!A:A,B30)</f>
        <v>0</v>
      </c>
      <c r="H30" s="135">
        <f>SUMIFS(LAZADA!B:B,LAZADA!A:A,B30)</f>
        <v>0</v>
      </c>
      <c r="I30" s="135">
        <f>SUMIFS('DS Shoppe (đã xác nhận)'!B:B,'DS Shoppe (đã xác nhận)'!A:A,B30)</f>
        <v>2613091</v>
      </c>
      <c r="J30" s="135">
        <f>SUMIFS(TIKTOK!B:B,TIKTOK!A:A,B30)</f>
        <v>0</v>
      </c>
      <c r="K30" s="137">
        <f t="shared" si="13"/>
        <v>2613091</v>
      </c>
      <c r="L30" s="138">
        <f>SUMIFS('DS Shoppe (đã xác nhận)'!C:C,'DS Shoppe (đã xác nhận)'!A:A,B30)+SUMIFS(LAZADA!E:E,LAZADA!A:A,B30)+SUMIFS(WEB!B:B,WEB!A:A,B30)+SUMIFS(ZALO!B:B,ZALO!A:A,B30)+SUMIFS(FANPAGE!B:B,FANPAGE!A:A,B30)</f>
        <v>2</v>
      </c>
      <c r="M30" s="139">
        <f t="shared" si="19"/>
        <v>1306545.5</v>
      </c>
      <c r="N30" s="140">
        <f t="shared" ref="N30:O30" si="40">K30/C30</f>
        <v>0.585332384</v>
      </c>
      <c r="O30" s="140">
        <f t="shared" si="40"/>
        <v>0.2912</v>
      </c>
      <c r="P30" s="141">
        <f t="shared" ref="P30:Q30" si="41">K30-C30</f>
        <v>-1851194.714</v>
      </c>
      <c r="Q30" s="141">
        <f t="shared" si="41"/>
        <v>-4.868131868</v>
      </c>
      <c r="R30" s="142">
        <f>SUMIFS('DS Shoppe (đã xác nhận)'!H:H,'DS Shoppe (đã xác nhận)'!A:A,B30)</f>
        <v>0</v>
      </c>
      <c r="S30" s="143">
        <f>SUMIFS('DS Shoppe (đã xác nhận)'!I:I,'DS Shoppe (đã xác nhận)'!A:A,B30)</f>
        <v>0</v>
      </c>
      <c r="T30" s="144">
        <f>SUMIFS('DS Shoppe (đã xác nhận)'!J:J,'DS Shoppe (đã xác nhận)'!A:A,B30)</f>
        <v>0</v>
      </c>
      <c r="U30" s="145">
        <f>SUMIFS('DS Shoppe (đã xác nhận)'!K:K,'DS Shoppe (đã xác nhận)'!A:A,B30)</f>
        <v>0</v>
      </c>
      <c r="V30" s="147"/>
      <c r="W30" s="1"/>
      <c r="X30" s="1"/>
      <c r="Y30" s="1"/>
      <c r="Z30" s="1"/>
      <c r="AA30" s="1"/>
      <c r="AB30" s="1"/>
      <c r="AC30" s="1"/>
      <c r="AD30" s="1"/>
      <c r="AE30" s="1"/>
      <c r="AF30" s="1"/>
      <c r="AG30" s="1"/>
      <c r="AH30" s="1"/>
      <c r="AI30" s="1"/>
    </row>
    <row r="31" ht="15.75" customHeight="1">
      <c r="A31" s="1"/>
      <c r="B31" s="146">
        <f t="shared" si="16"/>
        <v>46068</v>
      </c>
      <c r="C31" s="135">
        <f>SUMIFS(TARGET!E:E,TARGET!D:D,B31)</f>
        <v>4464285.714</v>
      </c>
      <c r="D31" s="135">
        <f t="shared" si="12"/>
        <v>6.868131868</v>
      </c>
      <c r="E31" s="135">
        <f>SUMIFS(ZALO!C:C,ZALO!A:A,B31)</f>
        <v>0</v>
      </c>
      <c r="F31" s="136">
        <f>SUMIFS(WEB!C:C,WEB!A:A,B31)</f>
        <v>0</v>
      </c>
      <c r="G31" s="135">
        <f>SUMIFS(FANPAGE!C:C,FANPAGE!A:A,B31)</f>
        <v>0</v>
      </c>
      <c r="H31" s="135">
        <f>SUMIFS(LAZADA!B:B,LAZADA!A:A,B31)</f>
        <v>0</v>
      </c>
      <c r="I31" s="135">
        <f>SUMIFS('DS Shoppe (đã xác nhận)'!B:B,'DS Shoppe (đã xác nhận)'!A:A,B31)</f>
        <v>0</v>
      </c>
      <c r="J31" s="135">
        <f>SUMIFS(TIKTOK!B:B,TIKTOK!A:A,B31)</f>
        <v>0</v>
      </c>
      <c r="K31" s="137">
        <f t="shared" si="13"/>
        <v>0</v>
      </c>
      <c r="L31" s="138">
        <f>SUMIFS('DS Shoppe (đã xác nhận)'!C:C,'DS Shoppe (đã xác nhận)'!A:A,B31)+SUMIFS(LAZADA!E:E,LAZADA!A:A,B31)+SUMIFS(WEB!B:B,WEB!A:A,B31)+SUMIFS(ZALO!B:B,ZALO!A:A,B31)+SUMIFS(FANPAGE!B:B,FANPAGE!A:A,B31)</f>
        <v>0</v>
      </c>
      <c r="M31" s="139" t="str">
        <f t="shared" si="19"/>
        <v>0</v>
      </c>
      <c r="N31" s="140">
        <f t="shared" ref="N31:O31" si="42">K31/C31</f>
        <v>0</v>
      </c>
      <c r="O31" s="140">
        <f t="shared" si="42"/>
        <v>0</v>
      </c>
      <c r="P31" s="141">
        <f t="shared" ref="P31:Q31" si="43">K31-C31</f>
        <v>-4464285.714</v>
      </c>
      <c r="Q31" s="141">
        <f t="shared" si="43"/>
        <v>-6.868131868</v>
      </c>
      <c r="R31" s="142">
        <f>SUMIFS('DS Shoppe (đã xác nhận)'!H:H,'DS Shoppe (đã xác nhận)'!A:A,B31)</f>
        <v>2</v>
      </c>
      <c r="S31" s="143">
        <f>SUMIFS('DS Shoppe (đã xác nhận)'!I:I,'DS Shoppe (đã xác nhận)'!A:A,B31)</f>
        <v>1243900</v>
      </c>
      <c r="T31" s="144">
        <f>SUMIFS('DS Shoppe (đã xác nhận)'!J:J,'DS Shoppe (đã xác nhận)'!A:A,B31)</f>
        <v>0</v>
      </c>
      <c r="U31" s="145">
        <f>SUMIFS('DS Shoppe (đã xác nhận)'!K:K,'DS Shoppe (đã xác nhận)'!A:A,B31)</f>
        <v>0</v>
      </c>
      <c r="V31" s="147"/>
      <c r="W31" s="1"/>
      <c r="X31" s="1"/>
      <c r="Y31" s="1"/>
      <c r="Z31" s="1"/>
      <c r="AA31" s="1"/>
      <c r="AB31" s="1"/>
      <c r="AC31" s="1"/>
      <c r="AD31" s="1"/>
      <c r="AE31" s="1"/>
      <c r="AF31" s="1"/>
      <c r="AG31" s="1"/>
      <c r="AH31" s="1"/>
      <c r="AI31" s="1"/>
    </row>
    <row r="32" ht="15.75" customHeight="1">
      <c r="A32" s="1"/>
      <c r="B32" s="146">
        <f t="shared" si="16"/>
        <v>46069</v>
      </c>
      <c r="C32" s="135">
        <f>SUMIFS(TARGET!E:E,TARGET!D:D,B32)</f>
        <v>4464285.714</v>
      </c>
      <c r="D32" s="135">
        <f t="shared" si="12"/>
        <v>6.868131868</v>
      </c>
      <c r="E32" s="135">
        <f>SUMIFS(ZALO!C:C,ZALO!A:A,B32)</f>
        <v>0</v>
      </c>
      <c r="F32" s="136">
        <f>SUMIFS(WEB!C:C,WEB!A:A,B32)</f>
        <v>0</v>
      </c>
      <c r="G32" s="135">
        <f>SUMIFS(FANPAGE!C:C,FANPAGE!A:A,B32)</f>
        <v>0</v>
      </c>
      <c r="H32" s="135">
        <f>SUMIFS(LAZADA!B:B,LAZADA!A:A,B32)</f>
        <v>0</v>
      </c>
      <c r="I32" s="135">
        <f>SUMIFS('DS Shoppe (đã xác nhận)'!B:B,'DS Shoppe (đã xác nhận)'!A:A,B32)</f>
        <v>926091</v>
      </c>
      <c r="J32" s="135">
        <f>SUMIFS(TIKTOK!B:B,TIKTOK!A:A,B32)</f>
        <v>0</v>
      </c>
      <c r="K32" s="137">
        <f t="shared" si="13"/>
        <v>926091</v>
      </c>
      <c r="L32" s="138">
        <f>SUMIFS('DS Shoppe (đã xác nhận)'!C:C,'DS Shoppe (đã xác nhận)'!A:A,B32)+SUMIFS(LAZADA!E:E,LAZADA!A:A,B32)+SUMIFS(WEB!B:B,WEB!A:A,B32)+SUMIFS(ZALO!B:B,ZALO!A:A,B32)+SUMIFS(FANPAGE!B:B,FANPAGE!A:A,B32)</f>
        <v>1</v>
      </c>
      <c r="M32" s="139">
        <f t="shared" si="19"/>
        <v>926091</v>
      </c>
      <c r="N32" s="140">
        <f t="shared" ref="N32:O32" si="44">K32/C32</f>
        <v>0.207444384</v>
      </c>
      <c r="O32" s="140">
        <f t="shared" si="44"/>
        <v>0.1456</v>
      </c>
      <c r="P32" s="141">
        <f t="shared" ref="P32:Q32" si="45">K32-C32</f>
        <v>-3538194.714</v>
      </c>
      <c r="Q32" s="141">
        <f t="shared" si="45"/>
        <v>-5.868131868</v>
      </c>
      <c r="R32" s="142">
        <f>SUMIFS('DS Shoppe (đã xác nhận)'!H:H,'DS Shoppe (đã xác nhận)'!A:A,B32)</f>
        <v>0</v>
      </c>
      <c r="S32" s="143">
        <f>SUMIFS('DS Shoppe (đã xác nhận)'!I:I,'DS Shoppe (đã xác nhận)'!A:A,B32)</f>
        <v>0</v>
      </c>
      <c r="T32" s="144">
        <f>SUMIFS('DS Shoppe (đã xác nhận)'!J:J,'DS Shoppe (đã xác nhận)'!A:A,B32)</f>
        <v>0</v>
      </c>
      <c r="U32" s="145">
        <f>SUMIFS('DS Shoppe (đã xác nhận)'!K:K,'DS Shoppe (đã xác nhận)'!A:A,B32)</f>
        <v>0</v>
      </c>
      <c r="V32" s="147"/>
      <c r="W32" s="1"/>
      <c r="X32" s="1"/>
      <c r="Y32" s="1"/>
      <c r="Z32" s="1"/>
      <c r="AA32" s="1"/>
      <c r="AB32" s="1"/>
      <c r="AC32" s="1"/>
      <c r="AD32" s="1"/>
      <c r="AE32" s="1"/>
      <c r="AF32" s="1"/>
      <c r="AG32" s="1"/>
      <c r="AH32" s="1"/>
      <c r="AI32" s="1"/>
    </row>
    <row r="33" ht="15.75" customHeight="1">
      <c r="A33" s="1"/>
      <c r="B33" s="146">
        <f t="shared" si="16"/>
        <v>46070</v>
      </c>
      <c r="C33" s="135">
        <f>SUMIFS(TARGET!E:E,TARGET!D:D,B33)</f>
        <v>4464285.714</v>
      </c>
      <c r="D33" s="135">
        <f t="shared" si="12"/>
        <v>6.868131868</v>
      </c>
      <c r="E33" s="135">
        <f>SUMIFS(ZALO!C:C,ZALO!A:A,B33)</f>
        <v>0</v>
      </c>
      <c r="F33" s="136">
        <f>SUMIFS(WEB!C:C,WEB!A:A,B33)</f>
        <v>0</v>
      </c>
      <c r="G33" s="135">
        <f>SUMIFS(FANPAGE!C:C,FANPAGE!A:A,B33)</f>
        <v>0</v>
      </c>
      <c r="H33" s="135">
        <f>SUMIFS(LAZADA!B:B,LAZADA!A:A,B33)</f>
        <v>0</v>
      </c>
      <c r="I33" s="135">
        <f>SUMIFS('DS Shoppe (đã xác nhận)'!B:B,'DS Shoppe (đã xác nhận)'!A:A,B33)</f>
        <v>0</v>
      </c>
      <c r="J33" s="135">
        <f>SUMIFS(TIKTOK!B:B,TIKTOK!A:A,B33)</f>
        <v>0</v>
      </c>
      <c r="K33" s="137">
        <f t="shared" si="13"/>
        <v>0</v>
      </c>
      <c r="L33" s="138">
        <f>SUMIFS('DS Shoppe (đã xác nhận)'!C:C,'DS Shoppe (đã xác nhận)'!A:A,B33)+SUMIFS(LAZADA!E:E,LAZADA!A:A,B33)+SUMIFS(WEB!B:B,WEB!A:A,B33)+SUMIFS(ZALO!B:B,ZALO!A:A,B33)+SUMIFS(FANPAGE!B:B,FANPAGE!A:A,B33)</f>
        <v>0</v>
      </c>
      <c r="M33" s="139" t="str">
        <f t="shared" si="19"/>
        <v>0</v>
      </c>
      <c r="N33" s="140">
        <f t="shared" ref="N33:O33" si="46">K33/C33</f>
        <v>0</v>
      </c>
      <c r="O33" s="140">
        <f t="shared" si="46"/>
        <v>0</v>
      </c>
      <c r="P33" s="141">
        <f t="shared" ref="P33:Q33" si="47">K33-C33</f>
        <v>-4464285.714</v>
      </c>
      <c r="Q33" s="141">
        <f t="shared" si="47"/>
        <v>-6.868131868</v>
      </c>
      <c r="R33" s="142">
        <f>SUMIFS('DS Shoppe (đã xác nhận)'!H:H,'DS Shoppe (đã xác nhận)'!A:A,B33)</f>
        <v>0</v>
      </c>
      <c r="S33" s="143">
        <f>SUMIFS('DS Shoppe (đã xác nhận)'!I:I,'DS Shoppe (đã xác nhận)'!A:A,B33)</f>
        <v>0</v>
      </c>
      <c r="T33" s="144">
        <f>SUMIFS('DS Shoppe (đã xác nhận)'!J:J,'DS Shoppe (đã xác nhận)'!A:A,B33)</f>
        <v>0</v>
      </c>
      <c r="U33" s="145">
        <f>SUMIFS('DS Shoppe (đã xác nhận)'!K:K,'DS Shoppe (đã xác nhận)'!A:A,B33)</f>
        <v>0</v>
      </c>
      <c r="V33" s="147"/>
      <c r="W33" s="1"/>
      <c r="X33" s="1"/>
      <c r="Y33" s="1"/>
      <c r="Z33" s="1"/>
      <c r="AA33" s="1"/>
      <c r="AB33" s="1"/>
      <c r="AC33" s="1"/>
      <c r="AD33" s="1"/>
      <c r="AE33" s="1"/>
      <c r="AF33" s="1"/>
      <c r="AG33" s="1"/>
      <c r="AH33" s="1"/>
      <c r="AI33" s="1"/>
    </row>
    <row r="34" ht="15.75" customHeight="1">
      <c r="A34" s="1"/>
      <c r="B34" s="146">
        <f t="shared" si="16"/>
        <v>46071</v>
      </c>
      <c r="C34" s="135">
        <f>SUMIFS(TARGET!E:E,TARGET!D:D,B34)</f>
        <v>4464285.714</v>
      </c>
      <c r="D34" s="135">
        <f t="shared" si="12"/>
        <v>6.868131868</v>
      </c>
      <c r="E34" s="135">
        <f>SUMIFS(ZALO!C:C,ZALO!A:A,B34)</f>
        <v>0</v>
      </c>
      <c r="F34" s="136">
        <f>SUMIFS(WEB!C:C,WEB!A:A,B34)</f>
        <v>0</v>
      </c>
      <c r="G34" s="135">
        <f>SUMIFS(FANPAGE!C:C,FANPAGE!A:A,B34)</f>
        <v>0</v>
      </c>
      <c r="H34" s="135">
        <f>SUMIFS(LAZADA!B:B,LAZADA!A:A,B34)</f>
        <v>0</v>
      </c>
      <c r="I34" s="135">
        <f>SUMIFS('DS Shoppe (đã xác nhận)'!B:B,'DS Shoppe (đã xác nhận)'!A:A,B34)</f>
        <v>977061</v>
      </c>
      <c r="J34" s="135">
        <f>SUMIFS(TIKTOK!B:B,TIKTOK!A:A,B34)</f>
        <v>0</v>
      </c>
      <c r="K34" s="137">
        <f t="shared" si="13"/>
        <v>977061</v>
      </c>
      <c r="L34" s="138">
        <f>SUMIFS('DS Shoppe (đã xác nhận)'!C:C,'DS Shoppe (đã xác nhận)'!A:A,B34)+SUMIFS(LAZADA!E:E,LAZADA!A:A,B34)+SUMIFS(WEB!B:B,WEB!A:A,B34)+SUMIFS(ZALO!B:B,ZALO!A:A,B34)+SUMIFS(FANPAGE!B:B,FANPAGE!A:A,B34)</f>
        <v>2</v>
      </c>
      <c r="M34" s="139">
        <f t="shared" si="19"/>
        <v>488530.5</v>
      </c>
      <c r="N34" s="140">
        <f t="shared" ref="N34:O34" si="48">K34/C34</f>
        <v>0.218861664</v>
      </c>
      <c r="O34" s="140">
        <f t="shared" si="48"/>
        <v>0.2912</v>
      </c>
      <c r="P34" s="141">
        <f t="shared" ref="P34:Q34" si="49">K34-C34</f>
        <v>-3487224.714</v>
      </c>
      <c r="Q34" s="141">
        <f t="shared" si="49"/>
        <v>-4.868131868</v>
      </c>
      <c r="R34" s="142">
        <f>SUMIFS('DS Shoppe (đã xác nhận)'!H:H,'DS Shoppe (đã xác nhận)'!A:A,B34)</f>
        <v>0</v>
      </c>
      <c r="S34" s="143">
        <f>SUMIFS('DS Shoppe (đã xác nhận)'!I:I,'DS Shoppe (đã xác nhận)'!A:A,B34)</f>
        <v>0</v>
      </c>
      <c r="T34" s="144">
        <f>SUMIFS('DS Shoppe (đã xác nhận)'!J:J,'DS Shoppe (đã xác nhận)'!A:A,B34)</f>
        <v>0</v>
      </c>
      <c r="U34" s="145">
        <f>SUMIFS('DS Shoppe (đã xác nhận)'!K:K,'DS Shoppe (đã xác nhận)'!A:A,B34)</f>
        <v>0</v>
      </c>
      <c r="V34" s="147"/>
      <c r="W34" s="1"/>
      <c r="X34" s="1"/>
      <c r="Y34" s="1"/>
      <c r="Z34" s="1"/>
      <c r="AA34" s="1"/>
      <c r="AB34" s="1"/>
      <c r="AC34" s="1"/>
      <c r="AD34" s="1"/>
      <c r="AE34" s="1"/>
      <c r="AF34" s="1"/>
      <c r="AG34" s="1"/>
      <c r="AH34" s="1"/>
      <c r="AI34" s="1"/>
    </row>
    <row r="35" ht="15.75" customHeight="1">
      <c r="A35" s="1"/>
      <c r="B35" s="146">
        <f t="shared" si="16"/>
        <v>46072</v>
      </c>
      <c r="C35" s="135">
        <f>SUMIFS(TARGET!E:E,TARGET!D:D,B35)</f>
        <v>4464285.714</v>
      </c>
      <c r="D35" s="135">
        <f t="shared" si="12"/>
        <v>6.868131868</v>
      </c>
      <c r="E35" s="135">
        <f>SUMIFS(ZALO!C:C,ZALO!A:A,B35)</f>
        <v>0</v>
      </c>
      <c r="F35" s="136">
        <f>SUMIFS(WEB!C:C,WEB!A:A,B35)</f>
        <v>0</v>
      </c>
      <c r="G35" s="135">
        <f>SUMIFS(FANPAGE!C:C,FANPAGE!A:A,B35)</f>
        <v>0</v>
      </c>
      <c r="H35" s="135">
        <f>SUMIFS(LAZADA!B:B,LAZADA!A:A,B35)</f>
        <v>0</v>
      </c>
      <c r="I35" s="135">
        <f>SUMIFS('DS Shoppe (đã xác nhận)'!B:B,'DS Shoppe (đã xác nhận)'!A:A,B35)</f>
        <v>1009800</v>
      </c>
      <c r="J35" s="135">
        <f>SUMIFS(TIKTOK!B:B,TIKTOK!A:A,B35)</f>
        <v>0</v>
      </c>
      <c r="K35" s="137">
        <f t="shared" si="13"/>
        <v>1009800</v>
      </c>
      <c r="L35" s="138">
        <f>SUMIFS('DS Shoppe (đã xác nhận)'!C:C,'DS Shoppe (đã xác nhận)'!A:A,B35)+SUMIFS(LAZADA!E:E,LAZADA!A:A,B35)+SUMIFS(WEB!B:B,WEB!A:A,B35)+SUMIFS(ZALO!B:B,ZALO!A:A,B35)+SUMIFS(FANPAGE!B:B,FANPAGE!A:A,B35)</f>
        <v>1</v>
      </c>
      <c r="M35" s="139">
        <f t="shared" si="19"/>
        <v>1009800</v>
      </c>
      <c r="N35" s="140">
        <f t="shared" ref="N35:O35" si="50">K35/C35</f>
        <v>0.2261952</v>
      </c>
      <c r="O35" s="140">
        <f t="shared" si="50"/>
        <v>0.1456</v>
      </c>
      <c r="P35" s="141">
        <f t="shared" ref="P35:Q35" si="51">K35-C35</f>
        <v>-3454485.714</v>
      </c>
      <c r="Q35" s="141">
        <f t="shared" si="51"/>
        <v>-5.868131868</v>
      </c>
      <c r="R35" s="142">
        <f>SUMIFS('DS Shoppe (đã xác nhận)'!H:H,'DS Shoppe (đã xác nhận)'!A:A,B35)</f>
        <v>2</v>
      </c>
      <c r="S35" s="143">
        <f>SUMIFS('DS Shoppe (đã xác nhận)'!I:I,'DS Shoppe (đã xác nhận)'!A:A,B35)</f>
        <v>1408252</v>
      </c>
      <c r="T35" s="144">
        <f>SUMIFS('DS Shoppe (đã xác nhận)'!J:J,'DS Shoppe (đã xác nhận)'!A:A,B35)</f>
        <v>0</v>
      </c>
      <c r="U35" s="145">
        <f>SUMIFS('DS Shoppe (đã xác nhận)'!K:K,'DS Shoppe (đã xác nhận)'!A:A,B35)</f>
        <v>0</v>
      </c>
      <c r="V35" s="147"/>
      <c r="W35" s="1"/>
      <c r="X35" s="1"/>
      <c r="Y35" s="1"/>
      <c r="Z35" s="1"/>
      <c r="AA35" s="1"/>
      <c r="AB35" s="1"/>
      <c r="AC35" s="1"/>
      <c r="AD35" s="1"/>
      <c r="AE35" s="1"/>
      <c r="AF35" s="1"/>
      <c r="AG35" s="1"/>
      <c r="AH35" s="1"/>
      <c r="AI35" s="1"/>
    </row>
    <row r="36" ht="15.75" customHeight="1">
      <c r="A36" s="1"/>
      <c r="B36" s="146">
        <f t="shared" si="16"/>
        <v>46073</v>
      </c>
      <c r="C36" s="135">
        <f>SUMIFS(TARGET!E:E,TARGET!D:D,B36)</f>
        <v>4464285.714</v>
      </c>
      <c r="D36" s="135">
        <f t="shared" si="12"/>
        <v>6.868131868</v>
      </c>
      <c r="E36" s="135">
        <f>SUMIFS(ZALO!C:C,ZALO!A:A,B36)</f>
        <v>0</v>
      </c>
      <c r="F36" s="136">
        <f>SUMIFS(WEB!C:C,WEB!A:A,B36)</f>
        <v>0</v>
      </c>
      <c r="G36" s="135">
        <f>SUMIFS(FANPAGE!C:C,FANPAGE!A:A,B36)</f>
        <v>0</v>
      </c>
      <c r="H36" s="135">
        <f>SUMIFS(LAZADA!B:B,LAZADA!A:A,B36)</f>
        <v>0</v>
      </c>
      <c r="I36" s="135">
        <f>SUMIFS('DS Shoppe (đã xác nhận)'!B:B,'DS Shoppe (đã xác nhận)'!A:A,B36)</f>
        <v>1009800</v>
      </c>
      <c r="J36" s="135">
        <f>SUMIFS(TIKTOK!B:B,TIKTOK!A:A,B36)</f>
        <v>0</v>
      </c>
      <c r="K36" s="137">
        <f t="shared" si="13"/>
        <v>1009800</v>
      </c>
      <c r="L36" s="138">
        <f>SUMIFS('DS Shoppe (đã xác nhận)'!C:C,'DS Shoppe (đã xác nhận)'!A:A,B36)+SUMIFS(LAZADA!E:E,LAZADA!A:A,B36)+SUMIFS(WEB!B:B,WEB!A:A,B36)+SUMIFS(ZALO!B:B,ZALO!A:A,B36)+SUMIFS(FANPAGE!B:B,FANPAGE!A:A,B36)</f>
        <v>1</v>
      </c>
      <c r="M36" s="139">
        <f t="shared" si="19"/>
        <v>1009800</v>
      </c>
      <c r="N36" s="140">
        <f t="shared" ref="N36:O36" si="52">K36/C36</f>
        <v>0.2261952</v>
      </c>
      <c r="O36" s="140">
        <f t="shared" si="52"/>
        <v>0.1456</v>
      </c>
      <c r="P36" s="141">
        <f t="shared" ref="P36:Q36" si="53">K36-C36</f>
        <v>-3454485.714</v>
      </c>
      <c r="Q36" s="141">
        <f t="shared" si="53"/>
        <v>-5.868131868</v>
      </c>
      <c r="R36" s="142">
        <f>SUMIFS('DS Shoppe (đã xác nhận)'!H:H,'DS Shoppe (đã xác nhận)'!A:A,B36)</f>
        <v>2</v>
      </c>
      <c r="S36" s="143">
        <f>SUMIFS('DS Shoppe (đã xác nhận)'!I:I,'DS Shoppe (đã xác nhận)'!A:A,B36)</f>
        <v>2778273</v>
      </c>
      <c r="T36" s="144">
        <f>SUMIFS('DS Shoppe (đã xác nhận)'!J:J,'DS Shoppe (đã xác nhận)'!A:A,B36)</f>
        <v>0</v>
      </c>
      <c r="U36" s="145">
        <f>SUMIFS('DS Shoppe (đã xác nhận)'!K:K,'DS Shoppe (đã xác nhận)'!A:A,B36)</f>
        <v>0</v>
      </c>
      <c r="V36" s="147"/>
      <c r="W36" s="1"/>
      <c r="X36" s="1"/>
      <c r="Y36" s="1"/>
      <c r="Z36" s="1"/>
      <c r="AA36" s="1"/>
      <c r="AB36" s="1"/>
      <c r="AC36" s="1"/>
      <c r="AD36" s="1"/>
      <c r="AE36" s="1"/>
      <c r="AF36" s="1"/>
      <c r="AG36" s="1"/>
      <c r="AH36" s="1"/>
      <c r="AI36" s="1"/>
    </row>
    <row r="37" ht="15.75" customHeight="1">
      <c r="A37" s="1"/>
      <c r="B37" s="146">
        <f t="shared" si="16"/>
        <v>46074</v>
      </c>
      <c r="C37" s="135">
        <f>SUMIFS(TARGET!E:E,TARGET!D:D,B37)</f>
        <v>4464285.714</v>
      </c>
      <c r="D37" s="135">
        <f t="shared" si="12"/>
        <v>6.868131868</v>
      </c>
      <c r="E37" s="135">
        <f>SUMIFS(ZALO!C:C,ZALO!A:A,B37)</f>
        <v>0</v>
      </c>
      <c r="F37" s="136">
        <f>SUMIFS(WEB!C:C,WEB!A:A,B37)</f>
        <v>0</v>
      </c>
      <c r="G37" s="135">
        <f>SUMIFS(FANPAGE!C:C,FANPAGE!A:A,B37)</f>
        <v>0</v>
      </c>
      <c r="H37" s="135">
        <f>SUMIFS(LAZADA!B:B,LAZADA!A:A,B37)</f>
        <v>0</v>
      </c>
      <c r="I37" s="135">
        <f>SUMIFS('DS Shoppe (đã xác nhận)'!B:B,'DS Shoppe (đã xác nhận)'!A:A,B37)</f>
        <v>1852182</v>
      </c>
      <c r="J37" s="135">
        <f>SUMIFS(TIKTOK!B:B,TIKTOK!A:A,B37)</f>
        <v>0</v>
      </c>
      <c r="K37" s="137">
        <f t="shared" si="13"/>
        <v>1852182</v>
      </c>
      <c r="L37" s="138">
        <f>SUMIFS('DS Shoppe (đã xác nhận)'!C:C,'DS Shoppe (đã xác nhận)'!A:A,B37)+SUMIFS(LAZADA!E:E,LAZADA!A:A,B37)+SUMIFS(WEB!B:B,WEB!A:A,B37)+SUMIFS(ZALO!B:B,ZALO!A:A,B37)+SUMIFS(FANPAGE!B:B,FANPAGE!A:A,B37)</f>
        <v>1</v>
      </c>
      <c r="M37" s="139">
        <f t="shared" si="19"/>
        <v>1852182</v>
      </c>
      <c r="N37" s="140">
        <f t="shared" ref="N37:O37" si="54">K37/C37</f>
        <v>0.414888768</v>
      </c>
      <c r="O37" s="140">
        <f t="shared" si="54"/>
        <v>0.1456</v>
      </c>
      <c r="P37" s="141">
        <f t="shared" ref="P37:Q37" si="55">K37-C37</f>
        <v>-2612103.714</v>
      </c>
      <c r="Q37" s="141">
        <f t="shared" si="55"/>
        <v>-5.868131868</v>
      </c>
      <c r="R37" s="142">
        <f>SUMIFS('DS Shoppe (đã xác nhận)'!H:H,'DS Shoppe (đã xác nhận)'!A:A,B37)</f>
        <v>0</v>
      </c>
      <c r="S37" s="143">
        <f>SUMIFS('DS Shoppe (đã xác nhận)'!I:I,'DS Shoppe (đã xác nhận)'!A:A,B37)</f>
        <v>0</v>
      </c>
      <c r="T37" s="144">
        <f>SUMIFS('DS Shoppe (đã xác nhận)'!J:J,'DS Shoppe (đã xác nhận)'!A:A,B37)</f>
        <v>0</v>
      </c>
      <c r="U37" s="145">
        <f>SUMIFS('DS Shoppe (đã xác nhận)'!K:K,'DS Shoppe (đã xác nhận)'!A:A,B37)</f>
        <v>0</v>
      </c>
      <c r="V37" s="147"/>
      <c r="W37" s="1"/>
      <c r="X37" s="1"/>
      <c r="Y37" s="1"/>
      <c r="Z37" s="1"/>
      <c r="AA37" s="1"/>
      <c r="AB37" s="1"/>
      <c r="AC37" s="1"/>
      <c r="AD37" s="1"/>
      <c r="AE37" s="1"/>
      <c r="AF37" s="1"/>
      <c r="AG37" s="1"/>
      <c r="AH37" s="1"/>
      <c r="AI37" s="1"/>
    </row>
    <row r="38" ht="15.75" customHeight="1">
      <c r="A38" s="1"/>
      <c r="B38" s="146">
        <f t="shared" si="16"/>
        <v>46075</v>
      </c>
      <c r="C38" s="135">
        <f>SUMIFS(TARGET!E:E,TARGET!D:D,B38)</f>
        <v>4464285.714</v>
      </c>
      <c r="D38" s="135">
        <f t="shared" si="12"/>
        <v>6.868131868</v>
      </c>
      <c r="E38" s="135">
        <f>SUMIFS(ZALO!C:C,ZALO!A:A,B38)</f>
        <v>0</v>
      </c>
      <c r="F38" s="136">
        <f>SUMIFS(WEB!C:C,WEB!A:A,B38)</f>
        <v>0</v>
      </c>
      <c r="G38" s="135">
        <f>SUMIFS(FANPAGE!C:C,FANPAGE!A:A,B38)</f>
        <v>0</v>
      </c>
      <c r="H38" s="135">
        <f>SUMIFS(LAZADA!B:B,LAZADA!A:A,B38)</f>
        <v>0</v>
      </c>
      <c r="I38" s="135">
        <f>SUMIFS('DS Shoppe (đã xác nhận)'!B:B,'DS Shoppe (đã xác nhận)'!A:A,B38)</f>
        <v>2261140</v>
      </c>
      <c r="J38" s="135">
        <f>SUMIFS(TIKTOK!B:B,TIKTOK!A:A,B38)</f>
        <v>0</v>
      </c>
      <c r="K38" s="137">
        <f t="shared" si="13"/>
        <v>2261140</v>
      </c>
      <c r="L38" s="138">
        <f>SUMIFS('DS Shoppe (đã xác nhận)'!C:C,'DS Shoppe (đã xác nhận)'!A:A,B38)+SUMIFS(LAZADA!E:E,LAZADA!A:A,B38)+SUMIFS(WEB!B:B,WEB!A:A,B38)+SUMIFS(ZALO!B:B,ZALO!A:A,B38)+SUMIFS(FANPAGE!B:B,FANPAGE!A:A,B38)</f>
        <v>3</v>
      </c>
      <c r="M38" s="139">
        <f t="shared" si="19"/>
        <v>753713.3333</v>
      </c>
      <c r="N38" s="140">
        <f t="shared" ref="N38:O38" si="56">K38/C38</f>
        <v>0.50649536</v>
      </c>
      <c r="O38" s="140">
        <f t="shared" si="56"/>
        <v>0.4368</v>
      </c>
      <c r="P38" s="141">
        <f t="shared" ref="P38:Q38" si="57">K38-C38</f>
        <v>-2203145.714</v>
      </c>
      <c r="Q38" s="141">
        <f t="shared" si="57"/>
        <v>-3.868131868</v>
      </c>
      <c r="R38" s="142">
        <f>SUMIFS('DS Shoppe (đã xác nhận)'!H:H,'DS Shoppe (đã xác nhận)'!A:A,B38)</f>
        <v>0</v>
      </c>
      <c r="S38" s="143">
        <f>SUMIFS('DS Shoppe (đã xác nhận)'!I:I,'DS Shoppe (đã xác nhận)'!A:A,B38)</f>
        <v>0</v>
      </c>
      <c r="T38" s="144">
        <f>SUMIFS('DS Shoppe (đã xác nhận)'!J:J,'DS Shoppe (đã xác nhận)'!A:A,B38)</f>
        <v>0</v>
      </c>
      <c r="U38" s="145">
        <f>SUMIFS('DS Shoppe (đã xác nhận)'!K:K,'DS Shoppe (đã xác nhận)'!A:A,B38)</f>
        <v>0</v>
      </c>
      <c r="V38" s="147"/>
      <c r="W38" s="1"/>
      <c r="X38" s="1"/>
      <c r="Y38" s="1"/>
      <c r="Z38" s="1"/>
      <c r="AA38" s="1"/>
      <c r="AB38" s="1"/>
      <c r="AC38" s="1"/>
      <c r="AD38" s="1"/>
      <c r="AE38" s="1"/>
      <c r="AF38" s="1"/>
      <c r="AG38" s="1"/>
      <c r="AH38" s="1"/>
      <c r="AI38" s="1"/>
    </row>
    <row r="39" ht="15.75" customHeight="1">
      <c r="A39" s="1"/>
      <c r="B39" s="146">
        <f t="shared" si="16"/>
        <v>46076</v>
      </c>
      <c r="C39" s="135">
        <f>SUMIFS(TARGET!E:E,TARGET!D:D,B39)</f>
        <v>4464285.714</v>
      </c>
      <c r="D39" s="135">
        <f t="shared" si="12"/>
        <v>6.868131868</v>
      </c>
      <c r="E39" s="135">
        <f>SUMIFS(ZALO!C:C,ZALO!A:A,B39)</f>
        <v>829000</v>
      </c>
      <c r="F39" s="136">
        <f>SUMIFS(WEB!C:C,WEB!A:A,B39)</f>
        <v>0</v>
      </c>
      <c r="G39" s="135">
        <f>SUMIFS(FANPAGE!C:C,FANPAGE!A:A,B39)</f>
        <v>0</v>
      </c>
      <c r="H39" s="135">
        <f>SUMIFS(LAZADA!B:B,LAZADA!A:A,B39)</f>
        <v>0</v>
      </c>
      <c r="I39" s="135">
        <f>SUMIFS('DS Shoppe (đã xác nhận)'!B:B,'DS Shoppe (đã xác nhận)'!A:A,B39)</f>
        <v>4351400</v>
      </c>
      <c r="J39" s="135">
        <f>SUMIFS(TIKTOK!B:B,TIKTOK!A:A,B39)</f>
        <v>0</v>
      </c>
      <c r="K39" s="137">
        <f t="shared" si="13"/>
        <v>5180400</v>
      </c>
      <c r="L39" s="138">
        <f>SUMIFS('DS Shoppe (đã xác nhận)'!C:C,'DS Shoppe (đã xác nhận)'!A:A,B39)+SUMIFS(LAZADA!E:E,LAZADA!A:A,B39)+SUMIFS(WEB!B:B,WEB!A:A,B39)+SUMIFS(ZALO!B:B,ZALO!A:A,B39)+SUMIFS(FANPAGE!B:B,FANPAGE!A:A,B39)</f>
        <v>5</v>
      </c>
      <c r="M39" s="139">
        <f t="shared" si="19"/>
        <v>1036080</v>
      </c>
      <c r="N39" s="140">
        <f t="shared" ref="N39:O39" si="58">K39/C39</f>
        <v>1.1604096</v>
      </c>
      <c r="O39" s="140">
        <f t="shared" si="58"/>
        <v>0.728</v>
      </c>
      <c r="P39" s="141">
        <f t="shared" ref="P39:Q39" si="59">K39-C39</f>
        <v>716114.2857</v>
      </c>
      <c r="Q39" s="141">
        <f t="shared" si="59"/>
        <v>-1.868131868</v>
      </c>
      <c r="R39" s="142">
        <f>SUMIFS('DS Shoppe (đã xác nhận)'!H:H,'DS Shoppe (đã xác nhận)'!A:A,B39)</f>
        <v>1</v>
      </c>
      <c r="S39" s="143">
        <f>SUMIFS('DS Shoppe (đã xác nhận)'!I:I,'DS Shoppe (đã xác nhận)'!A:A,B39)</f>
        <v>2778276</v>
      </c>
      <c r="T39" s="144">
        <f>SUMIFS('DS Shoppe (đã xác nhận)'!J:J,'DS Shoppe (đã xác nhận)'!A:A,B39)</f>
        <v>0</v>
      </c>
      <c r="U39" s="145">
        <f>SUMIFS('DS Shoppe (đã xác nhận)'!K:K,'DS Shoppe (đã xác nhận)'!A:A,B39)</f>
        <v>0</v>
      </c>
      <c r="V39" s="147"/>
      <c r="W39" s="1"/>
      <c r="X39" s="1"/>
      <c r="Y39" s="1"/>
      <c r="Z39" s="1"/>
      <c r="AA39" s="1"/>
      <c r="AB39" s="1"/>
      <c r="AC39" s="1"/>
      <c r="AD39" s="1"/>
      <c r="AE39" s="1"/>
      <c r="AF39" s="1"/>
      <c r="AG39" s="1"/>
      <c r="AH39" s="1"/>
      <c r="AI39" s="1"/>
    </row>
    <row r="40" ht="15.75" customHeight="1">
      <c r="A40" s="1"/>
      <c r="B40" s="146">
        <f t="shared" si="16"/>
        <v>46077</v>
      </c>
      <c r="C40" s="135">
        <f>SUMIFS(TARGET!E:E,TARGET!D:D,B40)</f>
        <v>4464285.714</v>
      </c>
      <c r="D40" s="135">
        <f t="shared" si="12"/>
        <v>6.868131868</v>
      </c>
      <c r="E40" s="135">
        <f>SUMIFS(ZALO!C:C,ZALO!A:A,B40)</f>
        <v>0</v>
      </c>
      <c r="F40" s="136">
        <f>SUMIFS(WEB!C:C,WEB!A:A,B40)</f>
        <v>0</v>
      </c>
      <c r="G40" s="135">
        <f>SUMIFS(FANPAGE!C:C,FANPAGE!A:A,B40)</f>
        <v>0</v>
      </c>
      <c r="H40" s="135">
        <f>SUMIFS(LAZADA!B:B,LAZADA!A:A,B40)</f>
        <v>0</v>
      </c>
      <c r="I40" s="135">
        <f>SUMIFS('DS Shoppe (đã xác nhận)'!B:B,'DS Shoppe (đã xác nhận)'!A:A,B40)</f>
        <v>3717596</v>
      </c>
      <c r="J40" s="135">
        <f>SUMIFS(TIKTOK!B:B,TIKTOK!A:A,B40)</f>
        <v>0</v>
      </c>
      <c r="K40" s="137">
        <f t="shared" si="13"/>
        <v>3717596</v>
      </c>
      <c r="L40" s="138">
        <f>SUMIFS('DS Shoppe (đã xác nhận)'!C:C,'DS Shoppe (đã xác nhận)'!A:A,B40)+SUMIFS(LAZADA!E:E,LAZADA!A:A,B40)+SUMIFS(WEB!B:B,WEB!A:A,B40)+SUMIFS(ZALO!B:B,ZALO!A:A,B40)+SUMIFS(FANPAGE!B:B,FANPAGE!A:A,B40)</f>
        <v>5</v>
      </c>
      <c r="M40" s="139">
        <f t="shared" si="19"/>
        <v>743519.2</v>
      </c>
      <c r="N40" s="140">
        <f t="shared" ref="N40:O40" si="60">K40/C40</f>
        <v>0.832741504</v>
      </c>
      <c r="O40" s="140">
        <f t="shared" si="60"/>
        <v>0.728</v>
      </c>
      <c r="P40" s="141">
        <f t="shared" ref="P40:Q40" si="61">K40-C40</f>
        <v>-746689.7143</v>
      </c>
      <c r="Q40" s="141">
        <f t="shared" si="61"/>
        <v>-1.868131868</v>
      </c>
      <c r="R40" s="142">
        <f>SUMIFS('DS Shoppe (đã xác nhận)'!H:H,'DS Shoppe (đã xác nhận)'!A:A,B40)</f>
        <v>2</v>
      </c>
      <c r="S40" s="143">
        <f>SUMIFS('DS Shoppe (đã xác nhận)'!I:I,'DS Shoppe (đã xác nhận)'!A:A,B40)</f>
        <v>939320</v>
      </c>
      <c r="T40" s="144">
        <f>SUMIFS('DS Shoppe (đã xác nhận)'!J:J,'DS Shoppe (đã xác nhận)'!A:A,B40)</f>
        <v>0</v>
      </c>
      <c r="U40" s="145">
        <f>SUMIFS('DS Shoppe (đã xác nhận)'!K:K,'DS Shoppe (đã xác nhận)'!A:A,B40)</f>
        <v>0</v>
      </c>
      <c r="V40" s="147"/>
      <c r="W40" s="1"/>
      <c r="X40" s="1"/>
      <c r="Y40" s="1"/>
      <c r="Z40" s="1"/>
      <c r="AA40" s="1"/>
      <c r="AB40" s="1"/>
      <c r="AC40" s="1"/>
      <c r="AD40" s="1"/>
      <c r="AE40" s="1"/>
      <c r="AF40" s="1"/>
      <c r="AG40" s="1"/>
      <c r="AH40" s="1"/>
      <c r="AI40" s="1"/>
    </row>
    <row r="41" ht="15.75" customHeight="1">
      <c r="A41" s="1"/>
      <c r="B41" s="146">
        <f t="shared" si="16"/>
        <v>46078</v>
      </c>
      <c r="C41" s="135">
        <f>SUMIFS(TARGET!E:E,TARGET!D:D,B41)</f>
        <v>4464285.714</v>
      </c>
      <c r="D41" s="135">
        <f t="shared" si="12"/>
        <v>6.868131868</v>
      </c>
      <c r="E41" s="135">
        <f>SUMIFS(ZALO!C:C,ZALO!A:A,B41)</f>
        <v>0</v>
      </c>
      <c r="F41" s="136">
        <f>SUMIFS(WEB!C:C,WEB!A:A,B41)</f>
        <v>0</v>
      </c>
      <c r="G41" s="135">
        <f>SUMIFS(FANPAGE!C:C,FANPAGE!A:A,B41)</f>
        <v>0</v>
      </c>
      <c r="H41" s="135">
        <f>SUMIFS(LAZADA!B:B,LAZADA!A:A,B41)</f>
        <v>0</v>
      </c>
      <c r="I41" s="135">
        <f>SUMIFS('DS Shoppe (đã xác nhận)'!B:B,'DS Shoppe (đã xác nhận)'!A:A,B41)</f>
        <v>10500204</v>
      </c>
      <c r="J41" s="135">
        <f>SUMIFS(TIKTOK!B:B,TIKTOK!A:A,B41)</f>
        <v>776000</v>
      </c>
      <c r="K41" s="137">
        <f t="shared" si="13"/>
        <v>11276204</v>
      </c>
      <c r="L41" s="138">
        <f>SUMIFS('DS Shoppe (đã xác nhận)'!C:C,'DS Shoppe (đã xác nhận)'!A:A,B41)+SUMIFS(LAZADA!E:E,LAZADA!A:A,B41)+SUMIFS(WEB!B:B,WEB!A:A,B41)+SUMIFS(ZALO!B:B,ZALO!A:A,B41)+SUMIFS(FANPAGE!B:B,FANPAGE!A:A,B41)</f>
        <v>10</v>
      </c>
      <c r="M41" s="139">
        <f t="shared" si="19"/>
        <v>1127620.4</v>
      </c>
      <c r="N41" s="140">
        <f t="shared" ref="N41:O41" si="62">K41/C41</f>
        <v>2.525869696</v>
      </c>
      <c r="O41" s="140">
        <f t="shared" si="62"/>
        <v>1.456</v>
      </c>
      <c r="P41" s="141">
        <f t="shared" ref="P41:Q41" si="63">K41-C41</f>
        <v>6811918.286</v>
      </c>
      <c r="Q41" s="141">
        <f t="shared" si="63"/>
        <v>3.131868132</v>
      </c>
      <c r="R41" s="142">
        <f>SUMIFS('DS Shoppe (đã xác nhận)'!H:H,'DS Shoppe (đã xác nhận)'!A:A,B41)</f>
        <v>1</v>
      </c>
      <c r="S41" s="143">
        <f>SUMIFS('DS Shoppe (đã xác nhận)'!I:I,'DS Shoppe (đã xác nhận)'!A:A,B41)</f>
        <v>446000</v>
      </c>
      <c r="T41" s="144">
        <f>SUMIFS('DS Shoppe (đã xác nhận)'!J:J,'DS Shoppe (đã xác nhận)'!A:A,B41)</f>
        <v>0</v>
      </c>
      <c r="U41" s="145">
        <f>SUMIFS('DS Shoppe (đã xác nhận)'!K:K,'DS Shoppe (đã xác nhận)'!A:A,B41)</f>
        <v>0</v>
      </c>
      <c r="V41" s="147"/>
      <c r="W41" s="1"/>
      <c r="X41" s="1"/>
      <c r="Y41" s="1"/>
      <c r="Z41" s="1"/>
      <c r="AA41" s="1"/>
      <c r="AB41" s="1"/>
      <c r="AC41" s="1"/>
      <c r="AD41" s="1"/>
      <c r="AE41" s="1"/>
      <c r="AF41" s="1"/>
      <c r="AG41" s="1"/>
      <c r="AH41" s="1"/>
      <c r="AI41" s="1"/>
    </row>
    <row r="42" ht="15.75" customHeight="1">
      <c r="A42" s="1"/>
      <c r="B42" s="146">
        <f t="shared" si="16"/>
        <v>46079</v>
      </c>
      <c r="C42" s="135">
        <f>SUMIFS(TARGET!E:E,TARGET!D:D,B42)</f>
        <v>4464285.714</v>
      </c>
      <c r="D42" s="135">
        <f t="shared" si="12"/>
        <v>6.868131868</v>
      </c>
      <c r="E42" s="135">
        <f>SUMIFS(ZALO!C:C,ZALO!A:A,B42)</f>
        <v>0</v>
      </c>
      <c r="F42" s="136">
        <f>SUMIFS(WEB!C:C,WEB!A:A,B42)</f>
        <v>0</v>
      </c>
      <c r="G42" s="135">
        <f>SUMIFS(FANPAGE!C:C,FANPAGE!A:A,B42)</f>
        <v>0</v>
      </c>
      <c r="H42" s="135">
        <f>SUMIFS(LAZADA!B:B,LAZADA!A:A,B42)</f>
        <v>0</v>
      </c>
      <c r="I42" s="135">
        <f>SUMIFS('DS Shoppe (đã xác nhận)'!B:B,'DS Shoppe (đã xác nhận)'!A:A,B42)</f>
        <v>1498000</v>
      </c>
      <c r="J42" s="135">
        <f>SUMIFS(TIKTOK!B:B,TIKTOK!A:A,B42)</f>
        <v>0</v>
      </c>
      <c r="K42" s="137">
        <f t="shared" si="13"/>
        <v>1498000</v>
      </c>
      <c r="L42" s="138">
        <f>SUMIFS('DS Shoppe (đã xác nhận)'!C:C,'DS Shoppe (đã xác nhận)'!A:A,B42)+SUMIFS(LAZADA!E:E,LAZADA!A:A,B42)+SUMIFS(WEB!B:B,WEB!A:A,B42)+SUMIFS(ZALO!B:B,ZALO!A:A,B42)+SUMIFS(FANPAGE!B:B,FANPAGE!A:A,B42)</f>
        <v>2</v>
      </c>
      <c r="M42" s="139">
        <f t="shared" si="19"/>
        <v>749000</v>
      </c>
      <c r="N42" s="140">
        <f t="shared" ref="N42:O42" si="64">K42/C42</f>
        <v>0.335552</v>
      </c>
      <c r="O42" s="140">
        <f t="shared" si="64"/>
        <v>0.2912</v>
      </c>
      <c r="P42" s="141">
        <f t="shared" ref="P42:Q42" si="65">K42-C42</f>
        <v>-2966285.714</v>
      </c>
      <c r="Q42" s="141">
        <f t="shared" si="65"/>
        <v>-4.868131868</v>
      </c>
      <c r="R42" s="142">
        <f>SUMIFS('DS Shoppe (đã xác nhận)'!H:H,'DS Shoppe (đã xác nhận)'!A:A,B42)</f>
        <v>0</v>
      </c>
      <c r="S42" s="143">
        <f>SUMIFS('DS Shoppe (đã xác nhận)'!I:I,'DS Shoppe (đã xác nhận)'!A:A,B42)</f>
        <v>0</v>
      </c>
      <c r="T42" s="144">
        <f>SUMIFS('DS Shoppe (đã xác nhận)'!J:J,'DS Shoppe (đã xác nhận)'!A:A,B42)</f>
        <v>0</v>
      </c>
      <c r="U42" s="145">
        <f>SUMIFS('DS Shoppe (đã xác nhận)'!K:K,'DS Shoppe (đã xác nhận)'!A:A,B42)</f>
        <v>0</v>
      </c>
      <c r="V42" s="147"/>
      <c r="W42" s="1"/>
      <c r="X42" s="1"/>
      <c r="Y42" s="1"/>
      <c r="Z42" s="1"/>
      <c r="AA42" s="1"/>
      <c r="AB42" s="1"/>
      <c r="AC42" s="1"/>
      <c r="AD42" s="1"/>
      <c r="AE42" s="1"/>
      <c r="AF42" s="1"/>
      <c r="AG42" s="1"/>
      <c r="AH42" s="1"/>
      <c r="AI42" s="1"/>
    </row>
    <row r="43" ht="15.75" customHeight="1">
      <c r="A43" s="1"/>
      <c r="B43" s="146">
        <f t="shared" si="16"/>
        <v>46080</v>
      </c>
      <c r="C43" s="135">
        <f>SUMIFS(TARGET!E:E,TARGET!D:D,B43)</f>
        <v>4464285.714</v>
      </c>
      <c r="D43" s="135">
        <f t="shared" si="12"/>
        <v>6.868131868</v>
      </c>
      <c r="E43" s="135">
        <f>SUMIFS(ZALO!C:C,ZALO!A:A,B43)</f>
        <v>0</v>
      </c>
      <c r="F43" s="136">
        <f>SUMIFS(WEB!C:C,WEB!A:A,B43)</f>
        <v>0</v>
      </c>
      <c r="G43" s="135">
        <f>SUMIFS(FANPAGE!C:C,FANPAGE!A:A,B43)</f>
        <v>0</v>
      </c>
      <c r="H43" s="135">
        <f>SUMIFS(LAZADA!B:B,LAZADA!A:A,B43)</f>
        <v>0</v>
      </c>
      <c r="I43" s="135">
        <f>SUMIFS('DS Shoppe (đã xác nhận)'!B:B,'DS Shoppe (đã xác nhận)'!A:A,B43)</f>
        <v>1335040</v>
      </c>
      <c r="J43" s="135">
        <f>SUMIFS(TIKTOK!B:B,TIKTOK!A:A,B43)</f>
        <v>0</v>
      </c>
      <c r="K43" s="137">
        <f t="shared" si="13"/>
        <v>1335040</v>
      </c>
      <c r="L43" s="138">
        <f>SUMIFS('DS Shoppe (đã xác nhận)'!C:C,'DS Shoppe (đã xác nhận)'!A:A,B43)+SUMIFS(LAZADA!E:E,LAZADA!A:A,B43)+SUMIFS(WEB!B:B,WEB!A:A,B43)+SUMIFS(ZALO!B:B,ZALO!A:A,B43)+SUMIFS(FANPAGE!B:B,FANPAGE!A:A,B43)</f>
        <v>2</v>
      </c>
      <c r="M43" s="139">
        <f t="shared" si="19"/>
        <v>667520</v>
      </c>
      <c r="N43" s="140">
        <f t="shared" ref="N43:O43" si="66">K43/C43</f>
        <v>0.29904896</v>
      </c>
      <c r="O43" s="140">
        <f t="shared" si="66"/>
        <v>0.2912</v>
      </c>
      <c r="P43" s="141">
        <f t="shared" ref="P43:Q43" si="67">K43-C43</f>
        <v>-3129245.714</v>
      </c>
      <c r="Q43" s="141">
        <f t="shared" si="67"/>
        <v>-4.868131868</v>
      </c>
      <c r="R43" s="142">
        <f>SUMIFS('DS Shoppe (đã xác nhận)'!H:H,'DS Shoppe (đã xác nhận)'!A:A,B43)</f>
        <v>0</v>
      </c>
      <c r="S43" s="143">
        <f>SUMIFS('DS Shoppe (đã xác nhận)'!I:I,'DS Shoppe (đã xác nhận)'!A:A,B43)</f>
        <v>0</v>
      </c>
      <c r="T43" s="144">
        <f>SUMIFS('DS Shoppe (đã xác nhận)'!J:J,'DS Shoppe (đã xác nhận)'!A:A,B43)</f>
        <v>0</v>
      </c>
      <c r="U43" s="145">
        <f>SUMIFS('DS Shoppe (đã xác nhận)'!K:K,'DS Shoppe (đã xác nhận)'!A:A,B43)</f>
        <v>0</v>
      </c>
      <c r="V43" s="147"/>
      <c r="W43" s="1"/>
      <c r="X43" s="1"/>
      <c r="Y43" s="1"/>
      <c r="Z43" s="1"/>
      <c r="AA43" s="1"/>
      <c r="AB43" s="1"/>
      <c r="AC43" s="1"/>
      <c r="AD43" s="1"/>
      <c r="AE43" s="1"/>
      <c r="AF43" s="1"/>
      <c r="AG43" s="1"/>
      <c r="AH43" s="1"/>
      <c r="AI43" s="1"/>
    </row>
    <row r="44" ht="15.75" customHeight="1">
      <c r="A44" s="1"/>
      <c r="B44" s="146">
        <f t="shared" si="16"/>
        <v>46081</v>
      </c>
      <c r="C44" s="135">
        <f>SUMIFS(TARGET!E:E,TARGET!D:D,B44)</f>
        <v>4464285.714</v>
      </c>
      <c r="D44" s="135">
        <f t="shared" si="12"/>
        <v>6.868131868</v>
      </c>
      <c r="E44" s="135">
        <f>SUMIFS(ZALO!C:C,ZALO!A:A,B44)</f>
        <v>0</v>
      </c>
      <c r="F44" s="136">
        <f>SUMIFS(WEB!C:C,WEB!A:A,B44)</f>
        <v>0</v>
      </c>
      <c r="G44" s="135">
        <f>SUMIFS(FANPAGE!C:C,FANPAGE!A:A,B44)</f>
        <v>0</v>
      </c>
      <c r="H44" s="135">
        <f>SUMIFS(LAZADA!B:B,LAZADA!A:A,B44)</f>
        <v>0</v>
      </c>
      <c r="I44" s="135">
        <f>SUMIFS('DS Shoppe (đã xác nhận)'!B:B,'DS Shoppe (đã xác nhận)'!A:A,B44)</f>
        <v>1836900</v>
      </c>
      <c r="J44" s="135">
        <f>SUMIFS(TIKTOK!B:B,TIKTOK!A:A,B44)</f>
        <v>0</v>
      </c>
      <c r="K44" s="137">
        <f t="shared" si="13"/>
        <v>1836900</v>
      </c>
      <c r="L44" s="138">
        <f>SUMIFS('DS Shoppe (đã xác nhận)'!C:C,'DS Shoppe (đã xác nhận)'!A:A,B44)+SUMIFS(LAZADA!E:E,LAZADA!A:A,B44)+SUMIFS(WEB!B:B,WEB!A:A,B44)+SUMIFS(ZALO!B:B,ZALO!A:A,B44)+SUMIFS(FANPAGE!B:B,FANPAGE!A:A,B44)</f>
        <v>1</v>
      </c>
      <c r="M44" s="139">
        <f t="shared" si="19"/>
        <v>1836900</v>
      </c>
      <c r="N44" s="140">
        <f t="shared" ref="N44:O44" si="68">K44/C44</f>
        <v>0.4114656</v>
      </c>
      <c r="O44" s="140">
        <f t="shared" si="68"/>
        <v>0.1456</v>
      </c>
      <c r="P44" s="141">
        <f t="shared" ref="P44:Q44" si="69">K44-C44</f>
        <v>-2627385.714</v>
      </c>
      <c r="Q44" s="141">
        <f t="shared" si="69"/>
        <v>-5.868131868</v>
      </c>
      <c r="R44" s="142">
        <f>SUMIFS('DS Shoppe (đã xác nhận)'!H:H,'DS Shoppe (đã xác nhận)'!A:A,B44)</f>
        <v>0</v>
      </c>
      <c r="S44" s="143">
        <f>SUMIFS('DS Shoppe (đã xác nhận)'!I:I,'DS Shoppe (đã xác nhận)'!A:A,B44)</f>
        <v>0</v>
      </c>
      <c r="T44" s="144">
        <f>SUMIFS('DS Shoppe (đã xác nhận)'!J:J,'DS Shoppe (đã xác nhận)'!A:A,B44)</f>
        <v>0</v>
      </c>
      <c r="U44" s="145">
        <f>SUMIFS('DS Shoppe (đã xác nhận)'!K:K,'DS Shoppe (đã xác nhận)'!A:A,B44)</f>
        <v>0</v>
      </c>
      <c r="V44" s="147"/>
      <c r="W44" s="1"/>
      <c r="X44" s="1"/>
      <c r="Y44" s="1"/>
      <c r="Z44" s="1"/>
      <c r="AA44" s="1"/>
      <c r="AB44" s="1"/>
      <c r="AC44" s="1"/>
      <c r="AD44" s="1"/>
      <c r="AE44" s="1"/>
      <c r="AF44" s="1"/>
      <c r="AG44" s="1"/>
      <c r="AH44" s="1"/>
      <c r="AI44" s="1"/>
    </row>
    <row r="45" ht="15.75" customHeight="1">
      <c r="A45" s="1"/>
      <c r="B45" s="146"/>
      <c r="C45" s="135"/>
      <c r="D45" s="135"/>
      <c r="E45" s="135"/>
      <c r="F45" s="136"/>
      <c r="G45" s="135"/>
      <c r="H45" s="135"/>
      <c r="I45" s="135"/>
      <c r="J45" s="135"/>
      <c r="K45" s="137"/>
      <c r="L45" s="138"/>
      <c r="M45" s="139"/>
      <c r="N45" s="140"/>
      <c r="O45" s="140"/>
      <c r="P45" s="141"/>
      <c r="Q45" s="141"/>
      <c r="R45" s="142"/>
      <c r="S45" s="143"/>
      <c r="T45" s="144"/>
      <c r="U45" s="145"/>
      <c r="V45" s="147"/>
      <c r="W45" s="1"/>
      <c r="X45" s="1"/>
      <c r="Y45" s="1"/>
      <c r="Z45" s="1"/>
      <c r="AA45" s="1"/>
      <c r="AB45" s="1"/>
      <c r="AC45" s="1"/>
      <c r="AD45" s="1"/>
      <c r="AE45" s="1"/>
      <c r="AF45" s="1"/>
      <c r="AG45" s="1"/>
      <c r="AH45" s="1"/>
      <c r="AI45" s="1"/>
    </row>
    <row r="46" ht="15.75" customHeight="1">
      <c r="A46" s="1"/>
      <c r="B46" s="146"/>
      <c r="C46" s="135"/>
      <c r="D46" s="135"/>
      <c r="E46" s="135"/>
      <c r="F46" s="136"/>
      <c r="G46" s="135"/>
      <c r="H46" s="135"/>
      <c r="I46" s="135"/>
      <c r="J46" s="135"/>
      <c r="K46" s="137"/>
      <c r="L46" s="138"/>
      <c r="M46" s="139"/>
      <c r="N46" s="140"/>
      <c r="O46" s="140"/>
      <c r="P46" s="141"/>
      <c r="Q46" s="141"/>
      <c r="R46" s="142"/>
      <c r="S46" s="143"/>
      <c r="T46" s="144"/>
      <c r="U46" s="145"/>
      <c r="V46" s="147"/>
      <c r="W46" s="1"/>
      <c r="X46" s="1"/>
      <c r="Y46" s="1"/>
      <c r="Z46" s="1"/>
      <c r="AA46" s="1"/>
      <c r="AB46" s="1"/>
      <c r="AC46" s="1"/>
      <c r="AD46" s="1"/>
      <c r="AE46" s="1"/>
      <c r="AF46" s="1"/>
      <c r="AG46" s="1"/>
      <c r="AH46" s="1"/>
      <c r="AI46" s="1"/>
    </row>
    <row r="47" ht="25.5" customHeight="1">
      <c r="A47" s="1"/>
      <c r="B47" s="146"/>
      <c r="C47" s="135"/>
      <c r="D47" s="135"/>
      <c r="E47" s="135"/>
      <c r="F47" s="136"/>
      <c r="G47" s="135"/>
      <c r="H47" s="135"/>
      <c r="I47" s="135"/>
      <c r="J47" s="135"/>
      <c r="K47" s="137"/>
      <c r="L47" s="138"/>
      <c r="M47" s="139"/>
      <c r="N47" s="140"/>
      <c r="O47" s="140"/>
      <c r="P47" s="141"/>
      <c r="Q47" s="141"/>
      <c r="R47" s="142"/>
      <c r="S47" s="143"/>
      <c r="T47" s="144"/>
      <c r="U47" s="145"/>
      <c r="V47" s="147"/>
      <c r="W47" s="1"/>
      <c r="X47" s="1"/>
      <c r="Y47" s="1"/>
      <c r="Z47" s="1"/>
      <c r="AA47" s="1"/>
      <c r="AB47" s="1"/>
      <c r="AC47" s="1"/>
      <c r="AD47" s="1"/>
      <c r="AE47" s="1"/>
      <c r="AF47" s="1"/>
      <c r="AG47" s="1"/>
      <c r="AH47" s="1"/>
      <c r="AI47" s="1"/>
    </row>
    <row r="48" ht="15.75" customHeight="1">
      <c r="A48" s="1"/>
      <c r="B48" s="146"/>
      <c r="C48" s="1"/>
      <c r="D48" s="1"/>
      <c r="E48" s="1"/>
      <c r="F48" s="1"/>
      <c r="G48" s="3"/>
      <c r="H48" s="1"/>
      <c r="I48" s="1"/>
      <c r="J48" s="1"/>
      <c r="K48" s="1"/>
      <c r="L48" s="1"/>
      <c r="M48" s="1"/>
      <c r="N48" s="1"/>
      <c r="O48" s="1"/>
      <c r="P48" s="1"/>
      <c r="Q48" s="1"/>
      <c r="R48" s="1"/>
      <c r="S48" s="3"/>
      <c r="T48" s="3"/>
      <c r="U48" s="3"/>
      <c r="V48" s="1"/>
      <c r="W48" s="1"/>
      <c r="X48" s="1"/>
      <c r="Y48" s="1"/>
      <c r="Z48" s="1"/>
      <c r="AA48" s="1"/>
      <c r="AB48" s="1"/>
      <c r="AC48" s="1"/>
      <c r="AD48" s="1"/>
      <c r="AE48" s="1"/>
      <c r="AF48" s="1"/>
      <c r="AG48" s="1"/>
      <c r="AH48" s="1"/>
      <c r="AI48" s="1"/>
    </row>
    <row r="49" ht="15.75" customHeight="1">
      <c r="A49" s="1"/>
      <c r="B49" s="1"/>
      <c r="C49" s="1"/>
      <c r="D49" s="1"/>
      <c r="E49" s="1"/>
      <c r="F49" s="1"/>
      <c r="G49" s="3"/>
      <c r="H49" s="1"/>
      <c r="I49" s="1"/>
      <c r="J49" s="1"/>
      <c r="K49" s="1"/>
      <c r="L49" s="1"/>
      <c r="M49" s="1"/>
      <c r="N49" s="1"/>
      <c r="O49" s="1"/>
      <c r="P49" s="1"/>
      <c r="Q49" s="1"/>
      <c r="R49" s="1"/>
      <c r="S49" s="3"/>
      <c r="T49" s="3"/>
      <c r="U49" s="3"/>
      <c r="V49" s="1"/>
      <c r="W49" s="1"/>
      <c r="X49" s="1"/>
      <c r="Y49" s="1"/>
      <c r="Z49" s="1"/>
      <c r="AA49" s="1"/>
      <c r="AB49" s="1"/>
      <c r="AC49" s="1"/>
      <c r="AD49" s="1"/>
      <c r="AE49" s="1"/>
      <c r="AF49" s="1"/>
      <c r="AG49" s="1"/>
      <c r="AH49" s="1"/>
      <c r="AI49" s="1"/>
    </row>
    <row r="50" ht="15.75" customHeight="1">
      <c r="A50" s="1"/>
      <c r="B50" s="1"/>
      <c r="C50" s="3"/>
      <c r="D50" s="1"/>
      <c r="E50" s="1"/>
      <c r="F50" s="1"/>
      <c r="G50" s="3"/>
      <c r="H50" s="1"/>
      <c r="I50" s="1"/>
      <c r="J50" s="1"/>
      <c r="K50" s="1"/>
      <c r="L50" s="1"/>
      <c r="M50" s="1"/>
      <c r="N50" s="1"/>
      <c r="O50" s="1"/>
      <c r="P50" s="1"/>
      <c r="Q50" s="1"/>
      <c r="R50" s="1"/>
      <c r="S50" s="3"/>
      <c r="T50" s="3"/>
      <c r="U50" s="3"/>
      <c r="V50" s="1"/>
      <c r="W50" s="1"/>
      <c r="X50" s="1"/>
      <c r="Y50" s="1"/>
      <c r="Z50" s="1"/>
      <c r="AA50" s="1"/>
      <c r="AB50" s="1"/>
      <c r="AC50" s="1"/>
      <c r="AD50" s="1"/>
      <c r="AE50" s="1"/>
      <c r="AF50" s="1"/>
      <c r="AG50" s="1"/>
      <c r="AH50" s="1"/>
      <c r="AI50" s="1"/>
    </row>
    <row r="51" ht="15.75" customHeight="1">
      <c r="A51" s="1"/>
      <c r="B51" s="1"/>
      <c r="C51" s="3"/>
      <c r="D51" s="1"/>
      <c r="E51" s="1"/>
      <c r="F51" s="1"/>
      <c r="G51" s="3"/>
      <c r="H51" s="1"/>
      <c r="I51" s="1"/>
      <c r="J51" s="1"/>
      <c r="K51" s="1"/>
      <c r="L51" s="1"/>
      <c r="M51" s="1"/>
      <c r="N51" s="1"/>
      <c r="O51" s="1"/>
      <c r="P51" s="1"/>
      <c r="Q51" s="1"/>
      <c r="R51" s="1"/>
      <c r="S51" s="3"/>
      <c r="T51" s="3"/>
      <c r="U51" s="3"/>
      <c r="V51" s="1"/>
      <c r="W51" s="1"/>
      <c r="X51" s="1"/>
      <c r="Y51" s="1"/>
      <c r="Z51" s="1"/>
      <c r="AA51" s="1"/>
      <c r="AB51" s="1"/>
      <c r="AC51" s="1"/>
      <c r="AD51" s="1"/>
      <c r="AE51" s="1"/>
      <c r="AF51" s="1"/>
      <c r="AG51" s="1"/>
      <c r="AH51" s="1"/>
      <c r="AI51" s="1"/>
    </row>
    <row r="52" ht="15.75" customHeight="1">
      <c r="A52" s="1"/>
      <c r="B52" s="1"/>
      <c r="C52" s="3"/>
      <c r="D52" s="1"/>
      <c r="E52" s="1"/>
      <c r="F52" s="1"/>
      <c r="G52" s="3"/>
      <c r="H52" s="1"/>
      <c r="I52" s="1"/>
      <c r="J52" s="1"/>
      <c r="K52" s="1"/>
      <c r="L52" s="1"/>
      <c r="M52" s="1"/>
      <c r="N52" s="1"/>
      <c r="O52" s="1"/>
      <c r="P52" s="1"/>
      <c r="Q52" s="1"/>
      <c r="R52" s="1"/>
      <c r="S52" s="3"/>
      <c r="T52" s="3"/>
      <c r="U52" s="3"/>
      <c r="V52" s="1"/>
      <c r="W52" s="1"/>
      <c r="X52" s="1"/>
      <c r="Y52" s="1"/>
      <c r="Z52" s="1"/>
      <c r="AA52" s="1"/>
      <c r="AB52" s="1"/>
      <c r="AC52" s="1"/>
      <c r="AD52" s="1"/>
      <c r="AE52" s="1"/>
      <c r="AF52" s="1"/>
      <c r="AG52" s="1"/>
      <c r="AH52" s="1"/>
      <c r="AI52" s="1"/>
    </row>
    <row r="53" ht="15.75" customHeight="1">
      <c r="A53" s="1"/>
      <c r="B53" s="1"/>
      <c r="C53" s="3"/>
      <c r="D53" s="1"/>
      <c r="E53" s="1"/>
      <c r="F53" s="1"/>
      <c r="G53" s="3"/>
      <c r="H53" s="1"/>
      <c r="I53" s="1"/>
      <c r="J53" s="1"/>
      <c r="K53" s="1"/>
      <c r="L53" s="1"/>
      <c r="M53" s="1"/>
      <c r="N53" s="1"/>
      <c r="O53" s="1"/>
      <c r="P53" s="1"/>
      <c r="Q53" s="1"/>
      <c r="R53" s="1"/>
      <c r="S53" s="3"/>
      <c r="T53" s="3"/>
      <c r="U53" s="3"/>
      <c r="V53" s="1"/>
      <c r="W53" s="1"/>
      <c r="X53" s="1"/>
      <c r="Y53" s="1"/>
      <c r="Z53" s="1"/>
      <c r="AA53" s="1"/>
      <c r="AB53" s="1"/>
      <c r="AC53" s="1"/>
      <c r="AD53" s="1"/>
      <c r="AE53" s="1"/>
      <c r="AF53" s="1"/>
      <c r="AG53" s="1"/>
      <c r="AH53" s="1"/>
      <c r="AI53" s="1"/>
    </row>
    <row r="54" ht="15.75" customHeight="1">
      <c r="A54" s="1"/>
      <c r="B54" s="1"/>
      <c r="C54" s="3"/>
      <c r="D54" s="1"/>
      <c r="E54" s="1"/>
      <c r="F54" s="1"/>
      <c r="G54" s="3"/>
      <c r="H54" s="1"/>
      <c r="I54" s="1"/>
      <c r="J54" s="1"/>
      <c r="K54" s="1"/>
      <c r="L54" s="1"/>
      <c r="M54" s="1"/>
      <c r="N54" s="1"/>
      <c r="O54" s="1"/>
      <c r="P54" s="1"/>
      <c r="Q54" s="1"/>
      <c r="R54" s="3"/>
      <c r="S54" s="3"/>
      <c r="T54" s="3"/>
      <c r="U54" s="3"/>
      <c r="V54" s="1"/>
      <c r="W54" s="1"/>
      <c r="X54" s="1"/>
      <c r="Y54" s="1"/>
      <c r="Z54" s="1"/>
      <c r="AA54" s="1"/>
      <c r="AB54" s="1"/>
      <c r="AC54" s="1"/>
      <c r="AD54" s="1"/>
      <c r="AE54" s="1"/>
      <c r="AF54" s="1"/>
      <c r="AG54" s="1"/>
      <c r="AH54" s="1"/>
      <c r="AI54" s="1"/>
    </row>
    <row r="55" ht="15.75" customHeight="1">
      <c r="A55" s="1"/>
      <c r="B55" s="1"/>
      <c r="C55" s="3"/>
      <c r="D55" s="1"/>
      <c r="E55" s="1"/>
      <c r="F55" s="1"/>
      <c r="G55" s="3"/>
      <c r="H55" s="1"/>
      <c r="I55" s="1"/>
      <c r="J55" s="1"/>
      <c r="K55" s="1"/>
      <c r="L55" s="1"/>
      <c r="M55" s="1"/>
      <c r="N55" s="1"/>
      <c r="O55" s="1"/>
      <c r="P55" s="1"/>
      <c r="Q55" s="1"/>
      <c r="R55" s="3"/>
      <c r="S55" s="3"/>
      <c r="T55" s="3"/>
      <c r="U55" s="3"/>
      <c r="V55" s="1"/>
      <c r="W55" s="1"/>
      <c r="X55" s="1"/>
      <c r="Y55" s="1"/>
      <c r="Z55" s="1"/>
      <c r="AA55" s="1"/>
      <c r="AB55" s="1"/>
      <c r="AC55" s="1"/>
      <c r="AD55" s="1"/>
      <c r="AE55" s="1"/>
      <c r="AF55" s="1"/>
      <c r="AG55" s="1"/>
      <c r="AH55" s="1"/>
      <c r="AI55" s="1"/>
    </row>
    <row r="56" ht="15.75" customHeight="1">
      <c r="A56" s="1"/>
      <c r="B56" s="1"/>
      <c r="C56" s="3"/>
      <c r="D56" s="1"/>
      <c r="E56" s="1"/>
      <c r="F56" s="1"/>
      <c r="G56" s="3"/>
      <c r="H56" s="1"/>
      <c r="I56" s="1"/>
      <c r="J56" s="1"/>
      <c r="K56" s="1"/>
      <c r="L56" s="1"/>
      <c r="M56" s="1"/>
      <c r="N56" s="1"/>
      <c r="O56" s="1"/>
      <c r="P56" s="1"/>
      <c r="Q56" s="1"/>
      <c r="R56" s="3"/>
      <c r="S56" s="3"/>
      <c r="T56" s="1"/>
      <c r="U56" s="1"/>
      <c r="V56" s="1"/>
      <c r="W56" s="1"/>
      <c r="X56" s="1"/>
      <c r="Y56" s="1"/>
      <c r="Z56" s="1"/>
      <c r="AA56" s="1"/>
      <c r="AB56" s="1"/>
      <c r="AC56" s="1"/>
      <c r="AD56" s="1"/>
      <c r="AE56" s="1"/>
      <c r="AF56" s="1"/>
      <c r="AG56" s="1"/>
      <c r="AH56" s="1"/>
      <c r="AI56" s="1"/>
    </row>
    <row r="57" ht="15.75" customHeight="1">
      <c r="A57" s="1"/>
      <c r="B57" s="1"/>
      <c r="C57" s="3"/>
      <c r="D57" s="1"/>
      <c r="E57" s="1"/>
      <c r="F57" s="1"/>
      <c r="G57" s="3"/>
      <c r="H57" s="1"/>
      <c r="I57" s="1"/>
      <c r="J57" s="1"/>
      <c r="K57" s="1"/>
      <c r="L57" s="1"/>
      <c r="M57" s="1"/>
      <c r="N57" s="1"/>
      <c r="O57" s="1"/>
      <c r="P57" s="1"/>
      <c r="Q57" s="1"/>
      <c r="R57" s="3"/>
      <c r="S57" s="3"/>
      <c r="T57" s="1"/>
      <c r="U57" s="1"/>
      <c r="V57" s="1"/>
      <c r="W57" s="1"/>
      <c r="X57" s="1"/>
      <c r="Y57" s="1"/>
      <c r="Z57" s="1"/>
      <c r="AA57" s="1"/>
      <c r="AB57" s="1"/>
      <c r="AC57" s="1"/>
      <c r="AD57" s="1"/>
      <c r="AE57" s="1"/>
      <c r="AF57" s="1"/>
      <c r="AG57" s="1"/>
      <c r="AH57" s="1"/>
      <c r="AI57" s="1"/>
    </row>
    <row r="58" ht="15.75" customHeight="1">
      <c r="A58" s="1"/>
      <c r="B58" s="1"/>
      <c r="C58" s="3"/>
      <c r="D58" s="1"/>
      <c r="E58" s="1"/>
      <c r="F58" s="1"/>
      <c r="G58" s="3"/>
      <c r="H58" s="1"/>
      <c r="I58" s="1"/>
      <c r="J58" s="1"/>
      <c r="K58" s="1"/>
      <c r="L58" s="1"/>
      <c r="M58" s="1"/>
      <c r="N58" s="1"/>
      <c r="O58" s="1"/>
      <c r="P58" s="1"/>
      <c r="Q58" s="1"/>
      <c r="R58" s="3"/>
      <c r="S58" s="3"/>
      <c r="T58" s="1"/>
      <c r="U58" s="1"/>
      <c r="V58" s="1"/>
      <c r="W58" s="1"/>
      <c r="X58" s="1"/>
      <c r="Y58" s="1"/>
      <c r="Z58" s="1"/>
      <c r="AA58" s="1"/>
      <c r="AB58" s="1"/>
      <c r="AC58" s="1"/>
      <c r="AD58" s="1"/>
      <c r="AE58" s="1"/>
      <c r="AF58" s="1"/>
      <c r="AG58" s="1"/>
      <c r="AH58" s="1"/>
      <c r="AI58" s="1"/>
    </row>
    <row r="59" ht="15.75" customHeight="1">
      <c r="A59" s="1"/>
      <c r="B59" s="1"/>
      <c r="C59" s="3"/>
      <c r="D59" s="1"/>
      <c r="E59" s="1"/>
      <c r="F59" s="1"/>
      <c r="G59" s="3"/>
      <c r="H59" s="1"/>
      <c r="I59" s="1"/>
      <c r="J59" s="1"/>
      <c r="K59" s="1"/>
      <c r="L59" s="1"/>
      <c r="M59" s="1"/>
      <c r="N59" s="1"/>
      <c r="O59" s="1"/>
      <c r="P59" s="1"/>
      <c r="Q59" s="1"/>
      <c r="R59" s="3"/>
      <c r="S59" s="3"/>
      <c r="T59" s="1"/>
      <c r="U59" s="1"/>
      <c r="V59" s="1"/>
      <c r="W59" s="1"/>
      <c r="X59" s="1"/>
      <c r="Y59" s="1"/>
      <c r="Z59" s="1"/>
      <c r="AA59" s="1"/>
      <c r="AB59" s="1"/>
      <c r="AC59" s="1"/>
      <c r="AD59" s="1"/>
      <c r="AE59" s="1"/>
      <c r="AF59" s="1"/>
      <c r="AG59" s="1"/>
      <c r="AH59" s="1"/>
      <c r="AI59" s="1"/>
    </row>
    <row r="60" ht="15.75" customHeight="1">
      <c r="A60" s="1"/>
      <c r="B60" s="1"/>
      <c r="C60" s="3"/>
      <c r="D60" s="1"/>
      <c r="E60" s="1"/>
      <c r="F60" s="1"/>
      <c r="G60" s="148"/>
      <c r="H60" s="1"/>
      <c r="I60" s="1"/>
      <c r="J60" s="1"/>
      <c r="K60" s="1"/>
      <c r="L60" s="1"/>
      <c r="M60" s="1"/>
      <c r="N60" s="1"/>
      <c r="O60" s="1"/>
      <c r="P60" s="1"/>
      <c r="Q60" s="1"/>
      <c r="R60" s="3"/>
      <c r="S60" s="3"/>
      <c r="T60" s="1"/>
      <c r="U60" s="1"/>
      <c r="V60" s="1"/>
      <c r="W60" s="1"/>
      <c r="X60" s="1"/>
      <c r="Y60" s="1"/>
      <c r="Z60" s="1"/>
      <c r="AA60" s="1"/>
      <c r="AB60" s="1"/>
      <c r="AC60" s="1"/>
      <c r="AD60" s="1"/>
      <c r="AE60" s="1"/>
      <c r="AF60" s="1"/>
      <c r="AG60" s="1"/>
      <c r="AH60" s="1"/>
      <c r="AI60" s="1"/>
    </row>
    <row r="61" ht="15.75" customHeight="1">
      <c r="A61" s="1"/>
      <c r="B61" s="1"/>
      <c r="C61" s="3"/>
      <c r="D61" s="1"/>
      <c r="E61" s="1"/>
      <c r="F61" s="1"/>
      <c r="G61" s="148"/>
      <c r="H61" s="1"/>
      <c r="I61" s="1"/>
      <c r="J61" s="1"/>
      <c r="K61" s="1"/>
      <c r="L61" s="1"/>
      <c r="M61" s="1"/>
      <c r="N61" s="1"/>
      <c r="O61" s="1"/>
      <c r="P61" s="1"/>
      <c r="Q61" s="1"/>
      <c r="R61" s="3"/>
      <c r="S61" s="3"/>
      <c r="T61" s="1"/>
      <c r="U61" s="1"/>
      <c r="V61" s="1"/>
      <c r="W61" s="1"/>
      <c r="X61" s="1"/>
      <c r="Y61" s="1"/>
      <c r="Z61" s="1"/>
      <c r="AA61" s="1"/>
      <c r="AB61" s="1"/>
      <c r="AC61" s="1"/>
      <c r="AD61" s="1"/>
      <c r="AE61" s="1"/>
      <c r="AF61" s="1"/>
      <c r="AG61" s="1"/>
      <c r="AH61" s="1"/>
      <c r="AI61" s="1"/>
    </row>
    <row r="62" ht="15.75" customHeight="1">
      <c r="A62" s="1"/>
      <c r="B62" s="1"/>
      <c r="C62" s="3"/>
      <c r="D62" s="1"/>
      <c r="E62" s="1"/>
      <c r="F62" s="1"/>
      <c r="G62" s="148"/>
      <c r="H62" s="1"/>
      <c r="I62" s="1"/>
      <c r="J62" s="1"/>
      <c r="K62" s="1"/>
      <c r="L62" s="1"/>
      <c r="M62" s="1"/>
      <c r="N62" s="1"/>
      <c r="O62" s="1"/>
      <c r="P62" s="1"/>
      <c r="Q62" s="1"/>
      <c r="R62" s="3"/>
      <c r="S62" s="3"/>
      <c r="T62" s="1"/>
      <c r="U62" s="1"/>
      <c r="V62" s="1"/>
      <c r="W62" s="1"/>
      <c r="X62" s="1"/>
      <c r="Y62" s="1"/>
      <c r="Z62" s="1"/>
      <c r="AA62" s="1"/>
      <c r="AB62" s="1"/>
      <c r="AC62" s="1"/>
      <c r="AD62" s="1"/>
      <c r="AE62" s="1"/>
      <c r="AF62" s="1"/>
      <c r="AG62" s="1"/>
      <c r="AH62" s="1"/>
      <c r="AI62" s="1"/>
    </row>
    <row r="63" ht="15.75" customHeight="1">
      <c r="A63" s="1"/>
      <c r="B63" s="1"/>
      <c r="C63" s="3"/>
      <c r="D63" s="1"/>
      <c r="E63" s="1"/>
      <c r="F63" s="1"/>
      <c r="G63" s="148"/>
      <c r="H63" s="1"/>
      <c r="I63" s="1"/>
      <c r="J63" s="1"/>
      <c r="K63" s="1"/>
      <c r="L63" s="1"/>
      <c r="M63" s="1"/>
      <c r="N63" s="1"/>
      <c r="O63" s="1"/>
      <c r="P63" s="1"/>
      <c r="Q63" s="1"/>
      <c r="R63" s="3"/>
      <c r="S63" s="3"/>
      <c r="T63" s="1"/>
      <c r="U63" s="1"/>
      <c r="V63" s="1"/>
      <c r="W63" s="1"/>
      <c r="X63" s="1"/>
      <c r="Y63" s="1"/>
      <c r="Z63" s="1"/>
      <c r="AA63" s="1"/>
      <c r="AB63" s="1"/>
      <c r="AC63" s="1"/>
      <c r="AD63" s="1"/>
      <c r="AE63" s="1"/>
      <c r="AF63" s="1"/>
      <c r="AG63" s="1"/>
      <c r="AH63" s="1"/>
      <c r="AI63" s="1"/>
    </row>
    <row r="64" ht="15.75" customHeight="1">
      <c r="A64" s="1"/>
      <c r="B64" s="1"/>
      <c r="C64" s="3"/>
      <c r="D64" s="1"/>
      <c r="E64" s="1"/>
      <c r="F64" s="1"/>
      <c r="G64" s="148"/>
      <c r="H64" s="1"/>
      <c r="I64" s="1"/>
      <c r="J64" s="1"/>
      <c r="K64" s="1"/>
      <c r="L64" s="1"/>
      <c r="M64" s="1"/>
      <c r="N64" s="1"/>
      <c r="O64" s="1"/>
      <c r="P64" s="1"/>
      <c r="Q64" s="1"/>
      <c r="R64" s="3"/>
      <c r="S64" s="3"/>
      <c r="T64" s="1"/>
      <c r="U64" s="1"/>
      <c r="V64" s="1"/>
      <c r="W64" s="1"/>
      <c r="X64" s="1"/>
      <c r="Y64" s="1"/>
      <c r="Z64" s="1"/>
      <c r="AA64" s="1"/>
      <c r="AB64" s="1"/>
      <c r="AC64" s="1"/>
      <c r="AD64" s="1"/>
      <c r="AE64" s="1"/>
      <c r="AF64" s="1"/>
      <c r="AG64" s="1"/>
      <c r="AH64" s="1"/>
      <c r="AI64" s="1"/>
    </row>
    <row r="65" ht="15.75" customHeight="1">
      <c r="A65" s="1"/>
      <c r="B65" s="1"/>
      <c r="C65" s="3"/>
      <c r="D65" s="1"/>
      <c r="E65" s="1"/>
      <c r="F65" s="1"/>
      <c r="G65" s="148"/>
      <c r="H65" s="1"/>
      <c r="I65" s="1"/>
      <c r="J65" s="1"/>
      <c r="K65" s="1"/>
      <c r="L65" s="1"/>
      <c r="M65" s="1"/>
      <c r="N65" s="1"/>
      <c r="O65" s="1"/>
      <c r="P65" s="1"/>
      <c r="Q65" s="1"/>
      <c r="R65" s="3"/>
      <c r="S65" s="3"/>
      <c r="T65" s="1"/>
      <c r="U65" s="1"/>
      <c r="V65" s="1"/>
      <c r="W65" s="1"/>
      <c r="X65" s="1"/>
      <c r="Y65" s="1"/>
      <c r="Z65" s="1"/>
      <c r="AA65" s="1"/>
      <c r="AB65" s="1"/>
      <c r="AC65" s="1"/>
      <c r="AD65" s="1"/>
      <c r="AE65" s="1"/>
      <c r="AF65" s="1"/>
      <c r="AG65" s="1"/>
      <c r="AH65" s="1"/>
      <c r="AI65" s="1"/>
    </row>
    <row r="66" ht="15.75" customHeight="1">
      <c r="A66" s="1"/>
      <c r="B66" s="1"/>
      <c r="C66" s="3"/>
      <c r="D66" s="1"/>
      <c r="E66" s="1"/>
      <c r="F66" s="1"/>
      <c r="G66" s="148"/>
      <c r="H66" s="1"/>
      <c r="I66" s="1"/>
      <c r="J66" s="1"/>
      <c r="K66" s="1"/>
      <c r="L66" s="1"/>
      <c r="M66" s="1"/>
      <c r="N66" s="1"/>
      <c r="O66" s="1"/>
      <c r="P66" s="1"/>
      <c r="Q66" s="1"/>
      <c r="R66" s="3"/>
      <c r="S66" s="1"/>
      <c r="T66" s="1"/>
      <c r="U66" s="1"/>
      <c r="V66" s="1"/>
      <c r="W66" s="1"/>
      <c r="X66" s="1"/>
      <c r="Y66" s="1"/>
      <c r="Z66" s="1"/>
      <c r="AA66" s="1"/>
      <c r="AB66" s="1"/>
      <c r="AC66" s="1"/>
      <c r="AD66" s="1"/>
      <c r="AE66" s="1"/>
      <c r="AF66" s="1"/>
      <c r="AG66" s="1"/>
      <c r="AH66" s="1"/>
      <c r="AI66" s="1"/>
    </row>
    <row r="67" ht="15.75" customHeight="1">
      <c r="A67" s="1"/>
      <c r="B67" s="1"/>
      <c r="C67" s="3"/>
      <c r="D67" s="1"/>
      <c r="E67" s="1"/>
      <c r="F67" s="1"/>
      <c r="G67" s="148"/>
      <c r="H67" s="1"/>
      <c r="I67" s="1"/>
      <c r="J67" s="1"/>
      <c r="K67" s="1"/>
      <c r="L67" s="1"/>
      <c r="M67" s="1"/>
      <c r="N67" s="1"/>
      <c r="O67" s="1"/>
      <c r="P67" s="1"/>
      <c r="Q67" s="3"/>
      <c r="R67" s="1"/>
      <c r="S67" s="1"/>
      <c r="T67" s="1"/>
      <c r="U67" s="1"/>
      <c r="V67" s="1"/>
      <c r="W67" s="1"/>
      <c r="X67" s="1"/>
      <c r="Y67" s="1"/>
      <c r="Z67" s="1"/>
      <c r="AA67" s="1"/>
      <c r="AB67" s="1"/>
      <c r="AC67" s="1"/>
      <c r="AD67" s="1"/>
    </row>
    <row r="68" ht="15.75" customHeight="1">
      <c r="A68" s="1"/>
      <c r="B68" s="1"/>
      <c r="C68" s="3"/>
      <c r="D68" s="1"/>
      <c r="E68" s="1"/>
      <c r="F68" s="1"/>
      <c r="G68" s="148"/>
      <c r="H68" s="1"/>
      <c r="I68" s="1"/>
      <c r="J68" s="1"/>
      <c r="K68" s="1"/>
      <c r="L68" s="1"/>
      <c r="M68" s="1"/>
      <c r="N68" s="1"/>
      <c r="O68" s="1"/>
      <c r="P68" s="3"/>
      <c r="Q68" s="1"/>
      <c r="R68" s="1"/>
      <c r="S68" s="1"/>
      <c r="T68" s="1"/>
      <c r="U68" s="1"/>
      <c r="V68" s="1"/>
      <c r="W68" s="1"/>
      <c r="X68" s="1"/>
      <c r="Y68" s="1"/>
      <c r="Z68" s="1"/>
      <c r="AA68" s="1"/>
      <c r="AB68" s="1"/>
      <c r="AC68" s="1"/>
    </row>
    <row r="69" ht="15.75" customHeight="1">
      <c r="A69" s="1"/>
      <c r="B69" s="1"/>
      <c r="C69" s="3"/>
      <c r="D69" s="1"/>
      <c r="E69" s="1"/>
      <c r="F69" s="1"/>
      <c r="G69" s="148"/>
      <c r="H69" s="1"/>
      <c r="I69" s="1"/>
      <c r="J69" s="1"/>
      <c r="K69" s="1"/>
      <c r="L69" s="1"/>
      <c r="M69" s="1"/>
      <c r="N69" s="1"/>
      <c r="O69" s="1"/>
      <c r="P69" s="3"/>
      <c r="Q69" s="1"/>
      <c r="R69" s="1"/>
      <c r="S69" s="1"/>
      <c r="T69" s="1"/>
      <c r="U69" s="1"/>
      <c r="V69" s="1"/>
      <c r="W69" s="1"/>
      <c r="X69" s="1"/>
      <c r="Y69" s="1"/>
      <c r="Z69" s="1"/>
      <c r="AA69" s="1"/>
      <c r="AB69" s="1"/>
      <c r="AC69" s="1"/>
    </row>
    <row r="70" ht="15.75" customHeight="1">
      <c r="A70" s="1"/>
      <c r="B70" s="1"/>
      <c r="C70" s="3"/>
      <c r="D70" s="1"/>
      <c r="E70" s="1"/>
      <c r="F70" s="1"/>
      <c r="G70" s="148"/>
      <c r="H70" s="1"/>
      <c r="I70" s="1"/>
      <c r="J70" s="1"/>
      <c r="K70" s="1"/>
      <c r="L70" s="1"/>
      <c r="M70" s="1"/>
      <c r="N70" s="1"/>
      <c r="O70" s="1"/>
      <c r="P70" s="3"/>
      <c r="Q70" s="1"/>
      <c r="R70" s="1"/>
      <c r="S70" s="1"/>
      <c r="T70" s="1"/>
      <c r="U70" s="1"/>
      <c r="V70" s="1"/>
      <c r="W70" s="1"/>
      <c r="X70" s="1"/>
      <c r="Y70" s="1"/>
      <c r="Z70" s="1"/>
      <c r="AA70" s="1"/>
      <c r="AB70" s="1"/>
      <c r="AC70" s="1"/>
    </row>
    <row r="71" ht="15.75" customHeight="1">
      <c r="A71" s="1"/>
      <c r="B71" s="1"/>
      <c r="C71" s="3"/>
      <c r="D71" s="1"/>
      <c r="E71" s="1"/>
      <c r="F71" s="1"/>
      <c r="G71" s="148"/>
      <c r="H71" s="1"/>
      <c r="I71" s="1"/>
      <c r="J71" s="1"/>
      <c r="K71" s="1"/>
      <c r="L71" s="1"/>
      <c r="M71" s="1"/>
      <c r="N71" s="1"/>
      <c r="O71" s="1"/>
      <c r="P71" s="3"/>
      <c r="Q71" s="1"/>
      <c r="R71" s="1"/>
      <c r="S71" s="1"/>
      <c r="T71" s="1"/>
      <c r="U71" s="1"/>
      <c r="V71" s="1"/>
      <c r="W71" s="1"/>
      <c r="X71" s="1"/>
      <c r="Y71" s="1"/>
      <c r="Z71" s="1"/>
      <c r="AA71" s="1"/>
      <c r="AB71" s="1"/>
      <c r="AC71" s="1"/>
    </row>
    <row r="72" ht="15.75" customHeight="1">
      <c r="A72" s="1"/>
      <c r="B72" s="1"/>
      <c r="C72" s="3"/>
      <c r="D72" s="1"/>
      <c r="E72" s="1"/>
      <c r="F72" s="1"/>
      <c r="G72" s="1"/>
      <c r="H72" s="1"/>
      <c r="I72" s="1"/>
      <c r="J72" s="1"/>
      <c r="K72" s="1"/>
      <c r="L72" s="1"/>
      <c r="M72" s="1"/>
      <c r="N72" s="1"/>
      <c r="O72" s="1"/>
      <c r="P72" s="3"/>
      <c r="Q72" s="1"/>
      <c r="R72" s="1"/>
      <c r="S72" s="1"/>
      <c r="T72" s="1"/>
      <c r="U72" s="1"/>
      <c r="V72" s="1"/>
      <c r="W72" s="1"/>
      <c r="X72" s="1"/>
      <c r="Y72" s="1"/>
      <c r="Z72" s="1"/>
      <c r="AA72" s="1"/>
      <c r="AB72" s="1"/>
      <c r="AC72" s="1"/>
    </row>
    <row r="73" ht="15.75" customHeight="1">
      <c r="A73" s="1"/>
      <c r="B73" s="1"/>
      <c r="C73" s="3"/>
      <c r="D73" s="1"/>
      <c r="E73" s="1"/>
      <c r="F73" s="1"/>
      <c r="G73" s="1"/>
      <c r="H73" s="1"/>
      <c r="I73" s="1"/>
      <c r="J73" s="1"/>
      <c r="K73" s="1"/>
      <c r="L73" s="1"/>
      <c r="M73" s="1"/>
      <c r="N73" s="1"/>
      <c r="O73" s="1"/>
      <c r="P73" s="3"/>
      <c r="Q73" s="1"/>
      <c r="R73" s="1"/>
      <c r="S73" s="1"/>
      <c r="T73" s="1"/>
      <c r="U73" s="1"/>
      <c r="V73" s="1"/>
      <c r="W73" s="1"/>
      <c r="X73" s="1"/>
      <c r="Y73" s="1"/>
      <c r="Z73" s="1"/>
      <c r="AA73" s="1"/>
      <c r="AB73" s="1"/>
      <c r="AC73" s="1"/>
      <c r="AD73" s="1"/>
      <c r="AE73" s="1"/>
      <c r="AF73" s="1"/>
      <c r="AG73" s="1"/>
      <c r="AH73" s="1"/>
      <c r="AI73" s="1"/>
    </row>
    <row r="74" ht="15.75" customHeight="1">
      <c r="A74" s="1"/>
      <c r="B74" s="1"/>
      <c r="C74" s="3"/>
      <c r="D74" s="1"/>
      <c r="E74" s="1"/>
      <c r="F74" s="1"/>
      <c r="G74" s="1"/>
      <c r="H74" s="1"/>
      <c r="I74" s="1"/>
      <c r="J74" s="1"/>
      <c r="K74" s="1"/>
      <c r="L74" s="1"/>
      <c r="M74" s="1"/>
      <c r="N74" s="1"/>
      <c r="O74" s="1"/>
      <c r="P74" s="3"/>
      <c r="Q74" s="1"/>
      <c r="R74" s="1"/>
      <c r="S74" s="1"/>
      <c r="T74" s="1"/>
      <c r="U74" s="1"/>
      <c r="V74" s="1"/>
      <c r="W74" s="1"/>
      <c r="X74" s="1"/>
      <c r="Y74" s="1"/>
      <c r="Z74" s="1"/>
      <c r="AA74" s="1"/>
      <c r="AB74" s="1"/>
      <c r="AC74" s="1"/>
      <c r="AD74" s="1"/>
      <c r="AE74" s="1"/>
      <c r="AF74" s="1"/>
      <c r="AG74" s="1"/>
      <c r="AH74" s="1"/>
      <c r="AI74" s="1"/>
    </row>
    <row r="75" ht="15.75" customHeight="1">
      <c r="A75" s="1"/>
      <c r="B75" s="1"/>
      <c r="C75" s="3"/>
      <c r="D75" s="1"/>
      <c r="E75" s="1"/>
      <c r="F75" s="1"/>
      <c r="G75" s="1"/>
      <c r="H75" s="1"/>
      <c r="I75" s="1"/>
      <c r="J75" s="1"/>
      <c r="K75" s="1"/>
      <c r="L75" s="1"/>
      <c r="M75" s="1"/>
      <c r="N75" s="1"/>
      <c r="O75" s="1"/>
      <c r="P75" s="3"/>
      <c r="Q75" s="1"/>
      <c r="R75" s="1"/>
      <c r="S75" s="1"/>
      <c r="T75" s="1"/>
      <c r="U75" s="1"/>
      <c r="V75" s="1"/>
      <c r="W75" s="1"/>
      <c r="X75" s="1"/>
      <c r="Y75" s="1"/>
      <c r="Z75" s="1"/>
      <c r="AA75" s="1"/>
      <c r="AB75" s="1"/>
      <c r="AC75" s="1"/>
      <c r="AD75" s="1"/>
      <c r="AE75" s="1"/>
      <c r="AF75" s="1"/>
      <c r="AG75" s="1"/>
      <c r="AH75" s="1"/>
      <c r="AI75" s="1"/>
    </row>
    <row r="76" ht="15.75" customHeight="1">
      <c r="A76" s="1"/>
      <c r="B76" s="1"/>
      <c r="C76" s="3"/>
      <c r="D76" s="1"/>
      <c r="E76" s="1"/>
      <c r="F76" s="1"/>
      <c r="G76" s="1"/>
      <c r="H76" s="1"/>
      <c r="I76" s="1"/>
      <c r="J76" s="1"/>
      <c r="K76" s="1"/>
      <c r="L76" s="1"/>
      <c r="M76" s="1"/>
      <c r="N76" s="1"/>
      <c r="O76" s="1"/>
      <c r="P76" s="3"/>
      <c r="Q76" s="1"/>
      <c r="R76" s="1"/>
      <c r="S76" s="1"/>
      <c r="T76" s="1"/>
      <c r="U76" s="1"/>
      <c r="V76" s="1"/>
      <c r="W76" s="1"/>
      <c r="X76" s="1"/>
      <c r="Y76" s="1"/>
      <c r="Z76" s="1"/>
      <c r="AA76" s="1"/>
      <c r="AB76" s="1"/>
      <c r="AC76" s="1"/>
      <c r="AD76" s="1"/>
      <c r="AE76" s="1"/>
      <c r="AF76" s="1"/>
      <c r="AG76" s="1"/>
      <c r="AH76" s="1"/>
      <c r="AI76" s="1"/>
    </row>
    <row r="77" ht="15.75" customHeight="1">
      <c r="A77" s="1"/>
      <c r="B77" s="1"/>
      <c r="C77" s="3"/>
      <c r="D77" s="1"/>
      <c r="E77" s="1"/>
      <c r="F77" s="1"/>
      <c r="G77" s="1"/>
      <c r="H77" s="1"/>
      <c r="I77" s="1"/>
      <c r="J77" s="1"/>
      <c r="K77" s="1"/>
      <c r="L77" s="1"/>
      <c r="M77" s="1"/>
      <c r="N77" s="1"/>
      <c r="O77" s="1"/>
      <c r="P77" s="3"/>
      <c r="Q77" s="1"/>
      <c r="R77" s="1"/>
      <c r="S77" s="1"/>
      <c r="T77" s="1"/>
      <c r="U77" s="1"/>
      <c r="V77" s="1"/>
      <c r="W77" s="1"/>
      <c r="X77" s="1"/>
      <c r="Y77" s="1"/>
      <c r="Z77" s="1"/>
      <c r="AA77" s="1"/>
      <c r="AB77" s="1"/>
      <c r="AC77" s="1"/>
      <c r="AD77" s="1"/>
      <c r="AE77" s="1"/>
      <c r="AF77" s="1"/>
      <c r="AG77" s="1"/>
      <c r="AH77" s="1"/>
      <c r="AI77" s="1"/>
    </row>
    <row r="78" ht="15.75" customHeight="1">
      <c r="A78" s="1"/>
      <c r="B78" s="1"/>
      <c r="C78" s="3"/>
      <c r="D78" s="1"/>
      <c r="E78" s="1"/>
      <c r="F78" s="1"/>
      <c r="G78" s="1"/>
      <c r="H78" s="1"/>
      <c r="I78" s="1"/>
      <c r="J78" s="1"/>
      <c r="K78" s="1"/>
      <c r="L78" s="1"/>
      <c r="M78" s="1"/>
      <c r="N78" s="1"/>
      <c r="O78" s="1"/>
      <c r="P78" s="3"/>
      <c r="Q78" s="1"/>
      <c r="R78" s="1"/>
      <c r="S78" s="1"/>
      <c r="T78" s="1"/>
      <c r="U78" s="1"/>
      <c r="V78" s="1"/>
      <c r="W78" s="1"/>
      <c r="X78" s="1"/>
      <c r="Y78" s="1"/>
      <c r="Z78" s="1"/>
      <c r="AA78" s="1"/>
      <c r="AB78" s="1"/>
      <c r="AC78" s="1"/>
      <c r="AD78" s="1"/>
      <c r="AE78" s="1"/>
      <c r="AF78" s="1"/>
      <c r="AG78" s="1"/>
      <c r="AH78" s="1"/>
      <c r="AI78" s="1"/>
    </row>
    <row r="79" ht="15.75" customHeight="1">
      <c r="A79" s="1"/>
      <c r="B79" s="1"/>
      <c r="C79" s="3"/>
      <c r="D79" s="1"/>
      <c r="E79" s="1"/>
      <c r="F79" s="1"/>
      <c r="G79" s="1"/>
      <c r="H79" s="1"/>
      <c r="I79" s="1"/>
      <c r="J79" s="1"/>
      <c r="K79" s="1"/>
      <c r="L79" s="1"/>
      <c r="M79" s="1"/>
      <c r="N79" s="1"/>
      <c r="O79" s="1"/>
      <c r="P79" s="3"/>
      <c r="Q79" s="1"/>
      <c r="R79" s="1"/>
      <c r="S79" s="1"/>
      <c r="T79" s="1"/>
      <c r="U79" s="1"/>
      <c r="V79" s="1"/>
      <c r="W79" s="1"/>
      <c r="X79" s="1"/>
      <c r="Y79" s="1"/>
      <c r="Z79" s="1"/>
      <c r="AA79" s="1"/>
      <c r="AB79" s="1"/>
      <c r="AC79" s="1"/>
      <c r="AD79" s="1"/>
      <c r="AE79" s="1"/>
      <c r="AF79" s="1"/>
      <c r="AG79" s="1"/>
      <c r="AH79" s="1"/>
      <c r="AI79" s="1"/>
    </row>
    <row r="80" ht="15.75" customHeight="1">
      <c r="A80" s="1"/>
      <c r="B80" s="1"/>
      <c r="C80" s="3"/>
      <c r="D80" s="1"/>
      <c r="E80" s="1"/>
      <c r="F80" s="1"/>
      <c r="G80" s="1"/>
      <c r="H80" s="1"/>
      <c r="I80" s="1"/>
      <c r="J80" s="1"/>
      <c r="K80" s="1"/>
      <c r="L80" s="1"/>
      <c r="M80" s="1"/>
      <c r="N80" s="1"/>
      <c r="O80" s="1"/>
      <c r="P80" s="3"/>
      <c r="Q80" s="1"/>
      <c r="R80" s="1"/>
      <c r="S80" s="1"/>
      <c r="T80" s="1"/>
      <c r="U80" s="1"/>
      <c r="V80" s="1"/>
      <c r="W80" s="1"/>
      <c r="X80" s="1"/>
      <c r="Y80" s="1"/>
      <c r="Z80" s="1"/>
      <c r="AA80" s="1"/>
      <c r="AB80" s="1"/>
      <c r="AC80" s="1"/>
      <c r="AD80" s="1"/>
      <c r="AE80" s="1"/>
      <c r="AF80" s="1"/>
      <c r="AG80" s="1"/>
      <c r="AH80" s="1"/>
      <c r="AI80" s="1"/>
    </row>
    <row r="81" ht="15.75" customHeight="1">
      <c r="A81" s="1"/>
      <c r="B81" s="1"/>
      <c r="C81" s="3"/>
      <c r="D81" s="1"/>
      <c r="E81" s="1"/>
      <c r="F81" s="1"/>
      <c r="G81" s="1"/>
      <c r="H81" s="1"/>
      <c r="I81" s="1"/>
      <c r="J81" s="1"/>
      <c r="K81" s="1"/>
      <c r="L81" s="1"/>
      <c r="M81" s="1"/>
      <c r="N81" s="1"/>
      <c r="O81" s="1"/>
      <c r="P81" s="3"/>
      <c r="Q81" s="1"/>
      <c r="R81" s="1"/>
      <c r="S81" s="1"/>
      <c r="T81" s="1"/>
      <c r="U81" s="1"/>
      <c r="V81" s="1"/>
      <c r="W81" s="1"/>
      <c r="X81" s="1"/>
      <c r="Y81" s="1"/>
      <c r="Z81" s="1"/>
      <c r="AA81" s="1"/>
      <c r="AB81" s="1"/>
      <c r="AC81" s="1"/>
      <c r="AD81" s="1"/>
      <c r="AE81" s="1"/>
      <c r="AF81" s="1"/>
      <c r="AG81" s="1"/>
      <c r="AH81" s="1"/>
      <c r="AI81" s="1"/>
    </row>
    <row r="82" ht="15.75" customHeight="1">
      <c r="A82" s="1"/>
      <c r="B82" s="1"/>
      <c r="C82" s="3"/>
      <c r="D82" s="1"/>
      <c r="E82" s="1"/>
      <c r="F82" s="1"/>
      <c r="G82" s="1"/>
      <c r="H82" s="1"/>
      <c r="I82" s="1"/>
      <c r="J82" s="1"/>
      <c r="K82" s="1"/>
      <c r="L82" s="1"/>
      <c r="M82" s="1"/>
      <c r="N82" s="1"/>
      <c r="O82" s="1"/>
      <c r="P82" s="3"/>
      <c r="Q82" s="1"/>
      <c r="R82" s="1"/>
      <c r="S82" s="1"/>
      <c r="T82" s="1"/>
      <c r="U82" s="1"/>
      <c r="V82" s="1"/>
      <c r="W82" s="1"/>
      <c r="X82" s="1"/>
      <c r="Y82" s="1"/>
      <c r="Z82" s="1"/>
      <c r="AA82" s="1"/>
      <c r="AB82" s="1"/>
      <c r="AC82" s="1"/>
      <c r="AD82" s="1"/>
      <c r="AE82" s="1"/>
      <c r="AF82" s="1"/>
      <c r="AG82" s="1"/>
      <c r="AH82" s="1"/>
      <c r="AI82" s="1"/>
    </row>
    <row r="83" ht="15.75" customHeight="1">
      <c r="A83" s="1"/>
      <c r="B83" s="1"/>
      <c r="C83" s="3"/>
      <c r="D83" s="1"/>
      <c r="E83" s="1"/>
      <c r="F83" s="1"/>
      <c r="G83" s="1"/>
      <c r="H83" s="1"/>
      <c r="I83" s="1"/>
      <c r="J83" s="1"/>
      <c r="K83" s="1"/>
      <c r="L83" s="1"/>
      <c r="M83" s="1"/>
      <c r="N83" s="1"/>
      <c r="O83" s="1"/>
      <c r="P83" s="3"/>
      <c r="Q83" s="1"/>
      <c r="R83" s="1"/>
      <c r="S83" s="1"/>
      <c r="T83" s="1"/>
      <c r="U83" s="1"/>
      <c r="V83" s="1"/>
      <c r="W83" s="1"/>
      <c r="X83" s="1"/>
      <c r="Y83" s="1"/>
      <c r="Z83" s="1"/>
      <c r="AA83" s="1"/>
      <c r="AB83" s="1"/>
      <c r="AC83" s="1"/>
      <c r="AD83" s="1"/>
      <c r="AE83" s="1"/>
      <c r="AF83" s="1"/>
      <c r="AG83" s="1"/>
      <c r="AH83" s="1"/>
      <c r="AI83" s="1"/>
    </row>
    <row r="84" ht="40.5" customHeight="1">
      <c r="A84" s="1"/>
      <c r="B84" s="1"/>
      <c r="C84" s="3"/>
      <c r="D84" s="1"/>
      <c r="E84" s="1"/>
      <c r="F84" s="1"/>
      <c r="G84" s="1"/>
      <c r="H84" s="1"/>
      <c r="I84" s="1"/>
      <c r="J84" s="1"/>
      <c r="K84" s="1"/>
      <c r="L84" s="1"/>
      <c r="M84" s="1"/>
      <c r="N84" s="1"/>
      <c r="O84" s="1"/>
      <c r="P84" s="3"/>
      <c r="Q84" s="1"/>
      <c r="R84" s="1"/>
      <c r="S84" s="1"/>
      <c r="T84" s="1"/>
      <c r="U84" s="1"/>
      <c r="V84" s="1"/>
      <c r="W84" s="1"/>
      <c r="X84" s="1"/>
      <c r="Y84" s="1"/>
      <c r="Z84" s="1"/>
      <c r="AA84" s="1"/>
      <c r="AB84" s="1"/>
      <c r="AC84" s="1"/>
      <c r="AD84" s="1"/>
      <c r="AE84" s="1"/>
      <c r="AF84" s="1"/>
      <c r="AG84" s="1"/>
      <c r="AH84" s="1"/>
      <c r="AI84" s="1"/>
    </row>
    <row r="85" ht="15.75" customHeight="1">
      <c r="A85" s="1"/>
      <c r="B85" s="1"/>
      <c r="C85" s="3"/>
      <c r="D85" s="1"/>
      <c r="E85" s="1"/>
      <c r="F85" s="1"/>
      <c r="G85" s="1"/>
      <c r="H85" s="1"/>
      <c r="I85" s="1"/>
      <c r="J85" s="1"/>
      <c r="K85" s="1"/>
      <c r="L85" s="1"/>
      <c r="M85" s="1"/>
      <c r="N85" s="1"/>
      <c r="O85" s="1"/>
      <c r="P85" s="3"/>
      <c r="Q85" s="1"/>
      <c r="R85" s="1"/>
      <c r="S85" s="1"/>
      <c r="T85" s="1"/>
      <c r="U85" s="1"/>
      <c r="V85" s="1"/>
      <c r="W85" s="1"/>
      <c r="X85" s="1"/>
      <c r="Y85" s="1"/>
      <c r="Z85" s="1"/>
      <c r="AA85" s="1"/>
      <c r="AB85" s="1"/>
      <c r="AC85" s="1"/>
      <c r="AD85" s="1"/>
      <c r="AE85" s="1"/>
      <c r="AF85" s="1"/>
      <c r="AG85" s="1"/>
      <c r="AH85" s="1"/>
      <c r="AI85" s="1"/>
    </row>
    <row r="86" ht="15.75" customHeight="1">
      <c r="A86" s="1"/>
      <c r="B86" s="1"/>
      <c r="C86" s="3"/>
      <c r="D86" s="1"/>
      <c r="E86" s="1"/>
      <c r="F86" s="1"/>
      <c r="G86" s="1"/>
      <c r="H86" s="1"/>
      <c r="I86" s="1"/>
      <c r="J86" s="1"/>
      <c r="K86" s="1"/>
      <c r="L86" s="1"/>
      <c r="M86" s="1"/>
      <c r="N86" s="1"/>
      <c r="O86" s="1"/>
      <c r="P86" s="3"/>
      <c r="Q86" s="1"/>
      <c r="R86" s="1"/>
      <c r="S86" s="1"/>
      <c r="T86" s="1"/>
      <c r="U86" s="1"/>
      <c r="V86" s="1"/>
      <c r="W86" s="1"/>
      <c r="X86" s="1"/>
      <c r="Y86" s="1"/>
      <c r="Z86" s="1"/>
      <c r="AA86" s="1"/>
      <c r="AB86" s="1"/>
      <c r="AC86" s="1"/>
      <c r="AD86" s="1"/>
      <c r="AE86" s="1"/>
      <c r="AF86" s="1"/>
      <c r="AG86" s="1"/>
      <c r="AH86" s="1"/>
      <c r="AI86" s="1"/>
    </row>
    <row r="87" ht="15.75" customHeight="1">
      <c r="A87" s="1"/>
      <c r="B87" s="1"/>
      <c r="C87" s="3"/>
      <c r="D87" s="1"/>
      <c r="E87" s="1"/>
      <c r="F87" s="1"/>
      <c r="G87" s="1"/>
      <c r="H87" s="1"/>
      <c r="I87" s="1"/>
      <c r="J87" s="1"/>
      <c r="K87" s="1"/>
      <c r="L87" s="1"/>
      <c r="M87" s="1"/>
      <c r="N87" s="1"/>
      <c r="O87" s="1"/>
      <c r="P87" s="3"/>
      <c r="Q87" s="1"/>
      <c r="R87" s="1"/>
      <c r="S87" s="1"/>
      <c r="T87" s="1"/>
      <c r="U87" s="1"/>
      <c r="V87" s="1"/>
      <c r="W87" s="1"/>
      <c r="X87" s="1"/>
      <c r="Y87" s="1"/>
      <c r="Z87" s="1"/>
      <c r="AA87" s="1"/>
      <c r="AB87" s="1"/>
      <c r="AC87" s="1"/>
      <c r="AD87" s="1"/>
      <c r="AE87" s="1"/>
      <c r="AF87" s="1"/>
      <c r="AG87" s="1"/>
      <c r="AH87" s="1"/>
      <c r="AI87" s="1"/>
    </row>
    <row r="88" ht="15.75" customHeight="1">
      <c r="A88" s="1"/>
      <c r="B88" s="1"/>
      <c r="C88" s="3"/>
      <c r="D88" s="1"/>
      <c r="E88" s="1"/>
      <c r="F88" s="1"/>
      <c r="G88" s="1"/>
      <c r="H88" s="1"/>
      <c r="I88" s="1"/>
      <c r="J88" s="1"/>
      <c r="K88" s="1"/>
      <c r="L88" s="1"/>
      <c r="M88" s="1"/>
      <c r="N88" s="1"/>
      <c r="O88" s="1"/>
      <c r="P88" s="3"/>
      <c r="Q88" s="1"/>
      <c r="R88" s="1"/>
      <c r="S88" s="1"/>
      <c r="T88" s="1"/>
      <c r="U88" s="1"/>
      <c r="V88" s="1"/>
      <c r="W88" s="1"/>
      <c r="X88" s="1"/>
      <c r="Y88" s="1"/>
      <c r="Z88" s="1"/>
      <c r="AA88" s="1"/>
      <c r="AB88" s="1"/>
      <c r="AC88" s="1"/>
      <c r="AD88" s="1"/>
      <c r="AE88" s="1"/>
      <c r="AF88" s="1"/>
      <c r="AG88" s="1"/>
      <c r="AH88" s="1"/>
      <c r="AI88" s="1"/>
    </row>
    <row r="89" ht="15.75" customHeight="1">
      <c r="A89" s="1"/>
      <c r="B89" s="1"/>
      <c r="C89" s="3"/>
      <c r="D89" s="1"/>
      <c r="E89" s="1"/>
      <c r="F89" s="1"/>
      <c r="G89" s="1"/>
      <c r="H89" s="1"/>
      <c r="I89" s="1"/>
      <c r="J89" s="1"/>
      <c r="K89" s="1"/>
      <c r="L89" s="1"/>
      <c r="M89" s="1"/>
      <c r="N89" s="1"/>
      <c r="O89" s="1"/>
      <c r="P89" s="3"/>
      <c r="Q89" s="1"/>
      <c r="R89" s="1"/>
      <c r="S89" s="1"/>
      <c r="T89" s="1"/>
      <c r="U89" s="1"/>
      <c r="V89" s="1"/>
      <c r="W89" s="1"/>
      <c r="X89" s="1"/>
      <c r="Y89" s="1"/>
      <c r="Z89" s="1"/>
      <c r="AA89" s="1"/>
      <c r="AB89" s="1"/>
      <c r="AC89" s="1"/>
      <c r="AD89" s="1"/>
      <c r="AE89" s="1"/>
      <c r="AF89" s="1"/>
      <c r="AG89" s="1"/>
      <c r="AH89" s="1"/>
      <c r="AI89" s="1"/>
    </row>
    <row r="90" ht="15.75" customHeight="1">
      <c r="A90" s="1"/>
      <c r="B90" s="1"/>
      <c r="C90" s="3"/>
      <c r="D90" s="1"/>
      <c r="E90" s="1"/>
      <c r="F90" s="1"/>
      <c r="G90" s="1"/>
      <c r="H90" s="1"/>
      <c r="I90" s="1"/>
      <c r="J90" s="1"/>
      <c r="K90" s="1"/>
      <c r="L90" s="1"/>
      <c r="M90" s="1"/>
      <c r="N90" s="1"/>
      <c r="O90" s="1"/>
      <c r="P90" s="3"/>
      <c r="Q90" s="1"/>
      <c r="R90" s="1"/>
      <c r="S90" s="1"/>
      <c r="T90" s="1"/>
      <c r="U90" s="1"/>
      <c r="V90" s="1"/>
      <c r="W90" s="1"/>
      <c r="X90" s="1"/>
      <c r="Y90" s="1"/>
      <c r="Z90" s="1"/>
      <c r="AA90" s="1"/>
      <c r="AB90" s="1"/>
      <c r="AC90" s="1"/>
      <c r="AD90" s="1"/>
      <c r="AE90" s="1"/>
      <c r="AF90" s="1"/>
      <c r="AG90" s="1"/>
      <c r="AH90" s="1"/>
      <c r="AI90" s="1"/>
    </row>
    <row r="91" ht="15.75" customHeight="1">
      <c r="A91" s="1"/>
      <c r="B91" s="1"/>
      <c r="C91" s="3"/>
      <c r="D91" s="1"/>
      <c r="E91" s="1"/>
      <c r="F91" s="1"/>
      <c r="G91" s="1"/>
      <c r="H91" s="1"/>
      <c r="I91" s="1"/>
      <c r="J91" s="1"/>
      <c r="K91" s="1"/>
      <c r="L91" s="1"/>
      <c r="M91" s="1"/>
      <c r="N91" s="1"/>
      <c r="O91" s="1"/>
      <c r="P91" s="3"/>
      <c r="Q91" s="1"/>
      <c r="R91" s="1"/>
      <c r="S91" s="1"/>
      <c r="T91" s="1"/>
      <c r="U91" s="1"/>
      <c r="V91" s="1"/>
      <c r="W91" s="1"/>
      <c r="X91" s="1"/>
      <c r="Y91" s="1"/>
      <c r="Z91" s="1"/>
      <c r="AA91" s="1"/>
      <c r="AB91" s="1"/>
      <c r="AC91" s="1"/>
      <c r="AD91" s="1"/>
      <c r="AE91" s="1"/>
      <c r="AF91" s="1"/>
      <c r="AG91" s="1"/>
      <c r="AH91" s="1"/>
      <c r="AI91" s="1"/>
    </row>
    <row r="92" ht="15.75" customHeight="1">
      <c r="A92" s="1"/>
      <c r="B92" s="1"/>
      <c r="C92" s="3"/>
      <c r="D92" s="1"/>
      <c r="E92" s="1"/>
      <c r="F92" s="1"/>
      <c r="G92" s="1"/>
      <c r="H92" s="1"/>
      <c r="I92" s="1"/>
      <c r="J92" s="1"/>
      <c r="K92" s="1"/>
      <c r="L92" s="1"/>
      <c r="M92" s="1"/>
      <c r="N92" s="1"/>
      <c r="O92" s="1"/>
      <c r="P92" s="3"/>
      <c r="Q92" s="1"/>
      <c r="R92" s="1"/>
      <c r="S92" s="1"/>
      <c r="T92" s="1"/>
      <c r="U92" s="1"/>
      <c r="V92" s="1"/>
      <c r="W92" s="1"/>
      <c r="X92" s="1"/>
      <c r="Y92" s="1"/>
      <c r="Z92" s="1"/>
      <c r="AA92" s="1"/>
      <c r="AB92" s="1"/>
      <c r="AC92" s="1"/>
      <c r="AD92" s="1"/>
      <c r="AE92" s="1"/>
      <c r="AF92" s="1"/>
      <c r="AG92" s="1"/>
      <c r="AH92" s="1"/>
      <c r="AI92" s="1"/>
    </row>
    <row r="93" ht="15.75" customHeight="1">
      <c r="A93" s="1"/>
      <c r="B93" s="1"/>
      <c r="C93" s="3"/>
      <c r="D93" s="1"/>
      <c r="E93" s="1"/>
      <c r="F93" s="1"/>
      <c r="G93" s="1"/>
      <c r="H93" s="1"/>
      <c r="I93" s="1"/>
      <c r="J93" s="1"/>
      <c r="K93" s="1"/>
      <c r="L93" s="1"/>
      <c r="M93" s="1"/>
      <c r="N93" s="1"/>
      <c r="O93" s="1"/>
      <c r="P93" s="3"/>
      <c r="Q93" s="1"/>
      <c r="R93" s="1"/>
      <c r="S93" s="1"/>
      <c r="T93" s="1"/>
      <c r="U93" s="1"/>
      <c r="V93" s="1"/>
      <c r="W93" s="1"/>
      <c r="X93" s="1"/>
      <c r="Y93" s="1"/>
      <c r="Z93" s="1"/>
      <c r="AA93" s="1"/>
      <c r="AB93" s="1"/>
      <c r="AC93" s="1"/>
      <c r="AD93" s="1"/>
      <c r="AE93" s="1"/>
      <c r="AF93" s="1"/>
      <c r="AG93" s="1"/>
      <c r="AH93" s="1"/>
      <c r="AI93" s="1"/>
    </row>
    <row r="94" ht="15.75" customHeight="1">
      <c r="A94" s="1"/>
      <c r="B94" s="1"/>
      <c r="C94" s="3"/>
      <c r="D94" s="1"/>
      <c r="E94" s="1"/>
      <c r="F94" s="1"/>
      <c r="G94" s="1"/>
      <c r="H94" s="1"/>
      <c r="I94" s="1"/>
      <c r="J94" s="1"/>
      <c r="K94" s="1"/>
      <c r="L94" s="1"/>
      <c r="M94" s="1"/>
      <c r="N94" s="1"/>
      <c r="O94" s="1"/>
      <c r="P94" s="3"/>
      <c r="Q94" s="1"/>
      <c r="R94" s="1"/>
      <c r="S94" s="1"/>
      <c r="T94" s="1"/>
      <c r="U94" s="1"/>
      <c r="V94" s="1"/>
      <c r="W94" s="1"/>
      <c r="X94" s="1"/>
      <c r="Y94" s="1"/>
      <c r="Z94" s="1"/>
      <c r="AA94" s="1"/>
      <c r="AB94" s="1"/>
      <c r="AC94" s="1"/>
      <c r="AD94" s="1"/>
      <c r="AE94" s="1"/>
      <c r="AF94" s="1"/>
      <c r="AG94" s="1"/>
      <c r="AH94" s="1"/>
      <c r="AI94" s="1"/>
    </row>
    <row r="95" ht="15.75" customHeight="1">
      <c r="A95" s="1"/>
      <c r="B95" s="1"/>
      <c r="C95" s="3"/>
      <c r="D95" s="1"/>
      <c r="E95" s="1"/>
      <c r="F95" s="1"/>
      <c r="G95" s="1"/>
      <c r="H95" s="1"/>
      <c r="I95" s="1"/>
      <c r="J95" s="1"/>
      <c r="K95" s="1"/>
      <c r="L95" s="1"/>
      <c r="M95" s="1"/>
      <c r="N95" s="1"/>
      <c r="O95" s="1"/>
      <c r="P95" s="3"/>
      <c r="Q95" s="1"/>
      <c r="R95" s="1"/>
      <c r="S95" s="1"/>
      <c r="T95" s="1"/>
      <c r="U95" s="1"/>
      <c r="V95" s="1"/>
      <c r="W95" s="1"/>
      <c r="X95" s="1"/>
      <c r="Y95" s="1"/>
      <c r="Z95" s="1"/>
      <c r="AA95" s="1"/>
      <c r="AB95" s="1"/>
      <c r="AC95" s="1"/>
      <c r="AD95" s="1"/>
      <c r="AE95" s="1"/>
      <c r="AF95" s="1"/>
      <c r="AG95" s="1"/>
      <c r="AH95" s="1"/>
      <c r="AI95" s="1"/>
    </row>
    <row r="96" ht="15.75" customHeight="1">
      <c r="A96" s="1"/>
      <c r="B96" s="1"/>
      <c r="C96" s="3"/>
      <c r="D96" s="1"/>
      <c r="E96" s="1"/>
      <c r="F96" s="1"/>
      <c r="G96" s="1"/>
      <c r="H96" s="1"/>
      <c r="I96" s="1"/>
      <c r="J96" s="1"/>
      <c r="K96" s="1"/>
      <c r="L96" s="1"/>
      <c r="M96" s="1"/>
      <c r="N96" s="1"/>
      <c r="O96" s="1"/>
      <c r="P96" s="3"/>
      <c r="Q96" s="1"/>
      <c r="R96" s="1"/>
      <c r="S96" s="1"/>
      <c r="T96" s="1"/>
      <c r="U96" s="1"/>
      <c r="V96" s="1"/>
      <c r="W96" s="1"/>
      <c r="X96" s="1"/>
      <c r="Y96" s="1"/>
      <c r="Z96" s="1"/>
      <c r="AA96" s="1"/>
      <c r="AB96" s="1"/>
      <c r="AC96" s="1"/>
      <c r="AD96" s="1"/>
      <c r="AE96" s="1"/>
      <c r="AF96" s="1"/>
      <c r="AG96" s="1"/>
      <c r="AH96" s="1"/>
      <c r="AI96" s="1"/>
    </row>
    <row r="97" ht="15.75" customHeight="1">
      <c r="A97" s="1"/>
      <c r="B97" s="1"/>
      <c r="C97" s="3"/>
      <c r="D97" s="1"/>
      <c r="E97" s="1"/>
      <c r="F97" s="1"/>
      <c r="G97" s="1"/>
      <c r="H97" s="1"/>
      <c r="I97" s="1"/>
      <c r="J97" s="1"/>
      <c r="K97" s="1"/>
      <c r="L97" s="1"/>
      <c r="M97" s="1"/>
      <c r="N97" s="1"/>
      <c r="O97" s="1"/>
      <c r="P97" s="3"/>
      <c r="Q97" s="1"/>
      <c r="R97" s="1"/>
      <c r="S97" s="1"/>
      <c r="T97" s="1"/>
      <c r="U97" s="1"/>
      <c r="V97" s="1"/>
      <c r="W97" s="1"/>
      <c r="X97" s="1"/>
      <c r="Y97" s="1"/>
      <c r="Z97" s="1"/>
      <c r="AA97" s="1"/>
      <c r="AB97" s="1"/>
      <c r="AC97" s="1"/>
      <c r="AD97" s="1"/>
      <c r="AE97" s="1"/>
      <c r="AF97" s="1"/>
      <c r="AG97" s="1"/>
      <c r="AH97" s="1"/>
      <c r="AI97" s="1"/>
    </row>
    <row r="98" ht="15.75" customHeight="1">
      <c r="A98" s="1"/>
      <c r="B98" s="1"/>
      <c r="C98" s="3"/>
      <c r="D98" s="1"/>
      <c r="E98" s="1"/>
      <c r="F98" s="1"/>
      <c r="G98" s="1"/>
      <c r="H98" s="1"/>
      <c r="I98" s="1"/>
      <c r="J98" s="1"/>
      <c r="K98" s="1"/>
      <c r="L98" s="1"/>
      <c r="M98" s="1"/>
      <c r="N98" s="1"/>
      <c r="O98" s="1"/>
      <c r="P98" s="3"/>
      <c r="Q98" s="1"/>
      <c r="R98" s="1"/>
      <c r="S98" s="1"/>
      <c r="T98" s="1"/>
      <c r="U98" s="1"/>
      <c r="V98" s="1"/>
      <c r="W98" s="1"/>
      <c r="X98" s="1"/>
      <c r="Y98" s="1"/>
      <c r="Z98" s="1"/>
      <c r="AA98" s="1"/>
      <c r="AB98" s="1"/>
      <c r="AC98" s="1"/>
      <c r="AD98" s="1"/>
      <c r="AE98" s="1"/>
      <c r="AF98" s="1"/>
      <c r="AG98" s="1"/>
      <c r="AH98" s="1"/>
      <c r="AI98" s="1"/>
    </row>
    <row r="99" ht="15.75" customHeight="1">
      <c r="A99" s="1"/>
      <c r="B99" s="1"/>
      <c r="C99" s="3"/>
      <c r="D99" s="1"/>
      <c r="E99" s="1"/>
      <c r="F99" s="1"/>
      <c r="G99" s="1"/>
      <c r="H99" s="1"/>
      <c r="I99" s="1"/>
      <c r="J99" s="1"/>
      <c r="K99" s="1"/>
      <c r="L99" s="1"/>
      <c r="M99" s="1"/>
      <c r="N99" s="1"/>
      <c r="O99" s="1"/>
      <c r="P99" s="3"/>
      <c r="Q99" s="1"/>
      <c r="R99" s="1"/>
      <c r="S99" s="1"/>
      <c r="T99" s="1"/>
      <c r="U99" s="1"/>
      <c r="V99" s="1"/>
      <c r="W99" s="1"/>
      <c r="X99" s="1"/>
      <c r="Y99" s="1"/>
      <c r="Z99" s="1"/>
      <c r="AA99" s="1"/>
      <c r="AB99" s="1"/>
      <c r="AC99" s="1"/>
      <c r="AD99" s="1"/>
      <c r="AE99" s="1"/>
      <c r="AF99" s="1"/>
      <c r="AG99" s="1"/>
      <c r="AH99" s="1"/>
      <c r="AI99" s="1"/>
    </row>
    <row r="100" ht="15.75" customHeight="1">
      <c r="A100" s="1"/>
      <c r="B100" s="1"/>
      <c r="C100" s="3"/>
      <c r="D100" s="1"/>
      <c r="E100" s="1"/>
      <c r="F100" s="1"/>
      <c r="G100" s="1"/>
      <c r="H100" s="1"/>
      <c r="I100" s="1"/>
      <c r="J100" s="1"/>
      <c r="K100" s="1"/>
      <c r="L100" s="1"/>
      <c r="M100" s="1"/>
      <c r="N100" s="1"/>
      <c r="O100" s="1"/>
      <c r="P100" s="3"/>
      <c r="Q100" s="1"/>
      <c r="R100" s="1"/>
      <c r="S100" s="1"/>
      <c r="T100" s="1"/>
      <c r="U100" s="1"/>
      <c r="V100" s="1"/>
      <c r="W100" s="1"/>
      <c r="X100" s="1"/>
      <c r="Y100" s="1"/>
      <c r="Z100" s="1"/>
      <c r="AA100" s="1"/>
      <c r="AB100" s="1"/>
      <c r="AC100" s="1"/>
      <c r="AD100" s="1"/>
      <c r="AE100" s="1"/>
      <c r="AF100" s="1"/>
      <c r="AG100" s="1"/>
      <c r="AH100" s="1"/>
      <c r="AI100" s="1"/>
    </row>
    <row r="101" ht="15.75" customHeight="1">
      <c r="A101" s="1"/>
      <c r="B101" s="1"/>
      <c r="C101" s="3"/>
      <c r="D101" s="1"/>
      <c r="E101" s="1"/>
      <c r="F101" s="1"/>
      <c r="G101" s="1"/>
      <c r="H101" s="1"/>
      <c r="I101" s="1"/>
      <c r="J101" s="1"/>
      <c r="K101" s="1"/>
      <c r="L101" s="1"/>
      <c r="M101" s="1"/>
      <c r="N101" s="1"/>
      <c r="O101" s="1"/>
      <c r="P101" s="3"/>
      <c r="Q101" s="1"/>
      <c r="R101" s="1"/>
      <c r="S101" s="1"/>
      <c r="T101" s="1"/>
      <c r="U101" s="1"/>
      <c r="V101" s="1"/>
      <c r="W101" s="1"/>
      <c r="X101" s="1"/>
      <c r="Y101" s="1"/>
      <c r="Z101" s="1"/>
      <c r="AA101" s="1"/>
      <c r="AB101" s="1"/>
      <c r="AC101" s="1"/>
      <c r="AD101" s="1"/>
      <c r="AE101" s="1"/>
      <c r="AF101" s="1"/>
      <c r="AG101" s="1"/>
      <c r="AH101" s="1"/>
      <c r="AI101" s="1"/>
    </row>
    <row r="102" ht="15.75" customHeight="1">
      <c r="A102" s="1"/>
      <c r="B102" s="1"/>
      <c r="C102" s="3"/>
      <c r="D102" s="1"/>
      <c r="E102" s="1"/>
      <c r="F102" s="1"/>
      <c r="G102" s="1"/>
      <c r="H102" s="1"/>
      <c r="I102" s="1"/>
      <c r="J102" s="1"/>
      <c r="K102" s="1"/>
      <c r="L102" s="1"/>
      <c r="M102" s="1"/>
      <c r="N102" s="1"/>
      <c r="O102" s="1"/>
      <c r="P102" s="3"/>
      <c r="Q102" s="1"/>
      <c r="R102" s="1"/>
      <c r="S102" s="1"/>
      <c r="T102" s="1"/>
      <c r="U102" s="1"/>
      <c r="V102" s="1"/>
      <c r="W102" s="1"/>
      <c r="X102" s="1"/>
      <c r="Y102" s="1"/>
      <c r="Z102" s="1"/>
      <c r="AA102" s="1"/>
      <c r="AB102" s="1"/>
      <c r="AC102" s="1"/>
      <c r="AD102" s="1"/>
      <c r="AE102" s="1"/>
      <c r="AF102" s="1"/>
      <c r="AG102" s="1"/>
      <c r="AH102" s="1"/>
      <c r="AI102" s="1"/>
    </row>
    <row r="103" ht="15.75" customHeight="1">
      <c r="A103" s="1"/>
      <c r="B103" s="1"/>
      <c r="C103" s="3"/>
      <c r="D103" s="1"/>
      <c r="E103" s="1"/>
      <c r="F103" s="1"/>
      <c r="G103" s="1"/>
      <c r="H103" s="1"/>
      <c r="I103" s="1"/>
      <c r="J103" s="1"/>
      <c r="K103" s="1"/>
      <c r="L103" s="1"/>
      <c r="M103" s="1"/>
      <c r="N103" s="1"/>
      <c r="O103" s="1"/>
      <c r="P103" s="3"/>
      <c r="Q103" s="1"/>
      <c r="R103" s="1"/>
      <c r="S103" s="1"/>
      <c r="T103" s="1"/>
      <c r="U103" s="1"/>
      <c r="V103" s="1"/>
      <c r="W103" s="1"/>
      <c r="X103" s="1"/>
      <c r="Y103" s="1"/>
      <c r="Z103" s="1"/>
      <c r="AA103" s="1"/>
      <c r="AB103" s="1"/>
      <c r="AC103" s="1"/>
      <c r="AD103" s="1"/>
      <c r="AE103" s="1"/>
      <c r="AF103" s="1"/>
      <c r="AG103" s="1"/>
      <c r="AH103" s="1"/>
      <c r="AI103" s="1"/>
    </row>
    <row r="104" ht="15.75" customHeight="1">
      <c r="A104" s="1"/>
      <c r="B104" s="1"/>
      <c r="C104" s="3"/>
      <c r="D104" s="1"/>
      <c r="E104" s="1"/>
      <c r="F104" s="1"/>
      <c r="G104" s="1"/>
      <c r="H104" s="1"/>
      <c r="I104" s="1"/>
      <c r="J104" s="1"/>
      <c r="K104" s="1"/>
      <c r="L104" s="1"/>
      <c r="M104" s="1"/>
      <c r="N104" s="1"/>
      <c r="O104" s="1"/>
      <c r="P104" s="3"/>
      <c r="Q104" s="1"/>
      <c r="R104" s="1"/>
      <c r="S104" s="1"/>
      <c r="T104" s="1"/>
      <c r="U104" s="1"/>
      <c r="V104" s="1"/>
      <c r="W104" s="1"/>
      <c r="X104" s="1"/>
      <c r="Y104" s="1"/>
      <c r="Z104" s="1"/>
      <c r="AA104" s="1"/>
      <c r="AB104" s="1"/>
      <c r="AC104" s="1"/>
      <c r="AD104" s="1"/>
      <c r="AE104" s="1"/>
      <c r="AF104" s="1"/>
      <c r="AG104" s="1"/>
      <c r="AH104" s="1"/>
      <c r="AI104" s="1"/>
    </row>
    <row r="105" ht="15.75" customHeight="1">
      <c r="A105" s="1"/>
      <c r="B105" s="1"/>
      <c r="C105" s="3"/>
      <c r="D105" s="1"/>
      <c r="E105" s="1"/>
      <c r="F105" s="1"/>
      <c r="G105" s="1"/>
      <c r="H105" s="1"/>
      <c r="I105" s="1"/>
      <c r="J105" s="1"/>
      <c r="K105" s="1"/>
      <c r="L105" s="1"/>
      <c r="M105" s="1"/>
      <c r="N105" s="1"/>
      <c r="O105" s="1"/>
      <c r="P105" s="3"/>
      <c r="Q105" s="1"/>
      <c r="R105" s="1"/>
      <c r="S105" s="1"/>
      <c r="T105" s="1"/>
      <c r="U105" s="1"/>
      <c r="V105" s="1"/>
      <c r="W105" s="1"/>
      <c r="X105" s="1"/>
      <c r="Y105" s="1"/>
      <c r="Z105" s="1"/>
      <c r="AA105" s="1"/>
      <c r="AB105" s="1"/>
      <c r="AC105" s="1"/>
      <c r="AD105" s="1"/>
      <c r="AE105" s="1"/>
      <c r="AF105" s="1"/>
      <c r="AG105" s="1"/>
      <c r="AH105" s="1"/>
      <c r="AI105" s="1"/>
    </row>
    <row r="106" ht="15.75" customHeight="1">
      <c r="A106" s="1"/>
      <c r="B106" s="1"/>
      <c r="C106" s="3"/>
      <c r="D106" s="1"/>
      <c r="E106" s="1"/>
      <c r="F106" s="1"/>
      <c r="G106" s="1"/>
      <c r="H106" s="1"/>
      <c r="I106" s="1"/>
      <c r="J106" s="1"/>
      <c r="K106" s="1"/>
      <c r="L106" s="1"/>
      <c r="M106" s="1"/>
      <c r="N106" s="1"/>
      <c r="O106" s="1"/>
      <c r="P106" s="3"/>
      <c r="Q106" s="1"/>
      <c r="R106" s="1"/>
      <c r="S106" s="1"/>
      <c r="T106" s="1"/>
      <c r="U106" s="1"/>
      <c r="V106" s="1"/>
      <c r="W106" s="1"/>
      <c r="X106" s="1"/>
      <c r="Y106" s="1"/>
      <c r="Z106" s="1"/>
      <c r="AA106" s="1"/>
      <c r="AB106" s="1"/>
      <c r="AC106" s="1"/>
      <c r="AD106" s="1"/>
      <c r="AE106" s="1"/>
      <c r="AF106" s="1"/>
      <c r="AG106" s="1"/>
      <c r="AH106" s="1"/>
      <c r="AI106" s="1"/>
    </row>
    <row r="107" ht="15.75" customHeight="1">
      <c r="A107" s="1"/>
      <c r="B107" s="1"/>
      <c r="C107" s="3"/>
      <c r="D107" s="1"/>
      <c r="E107" s="1"/>
      <c r="F107" s="1"/>
      <c r="G107" s="1"/>
      <c r="H107" s="1"/>
      <c r="I107" s="1"/>
      <c r="J107" s="1"/>
      <c r="K107" s="1"/>
      <c r="L107" s="1"/>
      <c r="M107" s="1"/>
      <c r="N107" s="1"/>
      <c r="O107" s="1"/>
      <c r="P107" s="3"/>
      <c r="Q107" s="1"/>
      <c r="R107" s="1"/>
      <c r="S107" s="1"/>
      <c r="T107" s="1"/>
      <c r="U107" s="1"/>
      <c r="V107" s="1"/>
      <c r="W107" s="1"/>
      <c r="X107" s="1"/>
      <c r="Y107" s="1"/>
      <c r="Z107" s="1"/>
      <c r="AA107" s="1"/>
      <c r="AB107" s="1"/>
      <c r="AC107" s="1"/>
      <c r="AD107" s="1"/>
      <c r="AE107" s="1"/>
      <c r="AF107" s="1"/>
      <c r="AG107" s="1"/>
      <c r="AH107" s="1"/>
      <c r="AI107" s="1"/>
    </row>
    <row r="108" ht="15.75" customHeight="1">
      <c r="A108" s="1"/>
      <c r="B108" s="1"/>
      <c r="C108" s="3"/>
      <c r="D108" s="1"/>
      <c r="E108" s="1"/>
      <c r="F108" s="1"/>
      <c r="G108" s="1"/>
      <c r="H108" s="1"/>
      <c r="I108" s="1"/>
      <c r="J108" s="1"/>
      <c r="K108" s="1"/>
      <c r="L108" s="1"/>
      <c r="M108" s="1"/>
      <c r="N108" s="1"/>
      <c r="O108" s="1"/>
      <c r="P108" s="3"/>
      <c r="Q108" s="1"/>
      <c r="R108" s="1"/>
      <c r="S108" s="1"/>
      <c r="T108" s="1"/>
      <c r="U108" s="1"/>
      <c r="V108" s="1"/>
      <c r="W108" s="1"/>
      <c r="X108" s="1"/>
      <c r="Y108" s="1"/>
      <c r="Z108" s="1"/>
      <c r="AA108" s="1"/>
      <c r="AB108" s="1"/>
      <c r="AC108" s="1"/>
      <c r="AD108" s="1"/>
      <c r="AE108" s="1"/>
      <c r="AF108" s="1"/>
      <c r="AG108" s="1"/>
      <c r="AH108" s="1"/>
      <c r="AI108" s="1"/>
    </row>
    <row r="109" ht="15.75" customHeight="1">
      <c r="A109" s="1"/>
      <c r="B109" s="1"/>
      <c r="C109" s="3"/>
      <c r="D109" s="1"/>
      <c r="E109" s="1"/>
      <c r="F109" s="1"/>
      <c r="G109" s="1"/>
      <c r="H109" s="1"/>
      <c r="I109" s="1"/>
      <c r="J109" s="1"/>
      <c r="K109" s="1"/>
      <c r="L109" s="1"/>
      <c r="M109" s="1"/>
      <c r="N109" s="1"/>
      <c r="O109" s="1"/>
      <c r="P109" s="3"/>
      <c r="Q109" s="1"/>
      <c r="R109" s="1"/>
      <c r="S109" s="1"/>
      <c r="T109" s="1"/>
      <c r="U109" s="1"/>
      <c r="V109" s="1"/>
      <c r="W109" s="1"/>
      <c r="X109" s="1"/>
      <c r="Y109" s="1"/>
      <c r="Z109" s="1"/>
      <c r="AA109" s="1"/>
      <c r="AB109" s="1"/>
      <c r="AC109" s="1"/>
      <c r="AD109" s="1"/>
      <c r="AE109" s="1"/>
      <c r="AF109" s="1"/>
      <c r="AG109" s="1"/>
      <c r="AH109" s="1"/>
      <c r="AI109" s="1"/>
    </row>
    <row r="110" ht="15.75" customHeight="1">
      <c r="A110" s="1"/>
      <c r="B110" s="1"/>
      <c r="C110" s="3"/>
      <c r="D110" s="1"/>
      <c r="E110" s="1"/>
      <c r="F110" s="1"/>
      <c r="G110" s="1"/>
      <c r="H110" s="1"/>
      <c r="I110" s="1"/>
      <c r="J110" s="1"/>
      <c r="K110" s="1"/>
      <c r="L110" s="1"/>
      <c r="M110" s="1"/>
      <c r="N110" s="1"/>
      <c r="O110" s="1"/>
      <c r="P110" s="3"/>
      <c r="Q110" s="1"/>
      <c r="R110" s="1"/>
      <c r="S110" s="1"/>
      <c r="T110" s="1"/>
      <c r="U110" s="1"/>
      <c r="V110" s="1"/>
      <c r="W110" s="1"/>
      <c r="X110" s="1"/>
      <c r="Y110" s="1"/>
      <c r="Z110" s="1"/>
      <c r="AA110" s="1"/>
      <c r="AB110" s="1"/>
      <c r="AC110" s="1"/>
      <c r="AD110" s="1"/>
      <c r="AE110" s="1"/>
      <c r="AF110" s="1"/>
      <c r="AG110" s="1"/>
      <c r="AH110" s="1"/>
      <c r="AI110" s="1"/>
    </row>
    <row r="111" ht="15.75" customHeight="1">
      <c r="A111" s="1"/>
      <c r="B111" s="1"/>
      <c r="C111" s="3"/>
      <c r="D111" s="1"/>
      <c r="E111" s="1"/>
      <c r="F111" s="1"/>
      <c r="G111" s="1"/>
      <c r="H111" s="1"/>
      <c r="I111" s="1"/>
      <c r="J111" s="1"/>
      <c r="K111" s="1"/>
      <c r="L111" s="1"/>
      <c r="M111" s="1"/>
      <c r="N111" s="1"/>
      <c r="O111" s="1"/>
      <c r="P111" s="3"/>
      <c r="Q111" s="1"/>
      <c r="R111" s="1"/>
      <c r="S111" s="1"/>
      <c r="T111" s="1"/>
      <c r="U111" s="1"/>
      <c r="V111" s="1"/>
      <c r="W111" s="1"/>
      <c r="X111" s="1"/>
      <c r="Y111" s="1"/>
      <c r="Z111" s="1"/>
      <c r="AA111" s="1"/>
      <c r="AB111" s="1"/>
      <c r="AC111" s="1"/>
      <c r="AD111" s="1"/>
      <c r="AE111" s="1"/>
      <c r="AF111" s="1"/>
      <c r="AG111" s="1"/>
      <c r="AH111" s="1"/>
      <c r="AI111" s="1"/>
    </row>
    <row r="112" ht="15.75" customHeight="1">
      <c r="A112" s="1"/>
      <c r="B112" s="1"/>
      <c r="C112" s="3"/>
      <c r="D112" s="1"/>
      <c r="E112" s="1"/>
      <c r="F112" s="1"/>
      <c r="G112" s="1"/>
      <c r="H112" s="1"/>
      <c r="I112" s="1"/>
      <c r="J112" s="1"/>
      <c r="K112" s="1"/>
      <c r="L112" s="1"/>
      <c r="M112" s="1"/>
      <c r="N112" s="1"/>
      <c r="O112" s="1"/>
      <c r="P112" s="3"/>
      <c r="Q112" s="1"/>
      <c r="R112" s="1"/>
      <c r="S112" s="1"/>
      <c r="T112" s="1"/>
      <c r="U112" s="1"/>
      <c r="V112" s="1"/>
      <c r="W112" s="1"/>
      <c r="X112" s="1"/>
      <c r="Y112" s="1"/>
      <c r="Z112" s="1"/>
      <c r="AA112" s="1"/>
      <c r="AB112" s="1"/>
      <c r="AC112" s="1"/>
      <c r="AD112" s="1"/>
      <c r="AE112" s="1"/>
      <c r="AF112" s="1"/>
      <c r="AG112" s="1"/>
      <c r="AH112" s="1"/>
      <c r="AI112" s="1"/>
    </row>
    <row r="113" ht="15.75" customHeight="1">
      <c r="A113" s="1"/>
      <c r="B113" s="1"/>
      <c r="C113" s="3"/>
      <c r="D113" s="1"/>
      <c r="E113" s="1"/>
      <c r="F113" s="1"/>
      <c r="G113" s="1"/>
      <c r="H113" s="1"/>
      <c r="I113" s="1"/>
      <c r="J113" s="1"/>
      <c r="K113" s="1"/>
      <c r="L113" s="1"/>
      <c r="M113" s="1"/>
      <c r="N113" s="1"/>
      <c r="O113" s="1"/>
      <c r="P113" s="3"/>
      <c r="Q113" s="1"/>
      <c r="R113" s="1"/>
      <c r="S113" s="1"/>
      <c r="T113" s="1"/>
      <c r="U113" s="1"/>
      <c r="V113" s="1"/>
      <c r="W113" s="1"/>
      <c r="X113" s="1"/>
      <c r="Y113" s="1"/>
      <c r="Z113" s="1"/>
      <c r="AA113" s="1"/>
      <c r="AB113" s="1"/>
      <c r="AC113" s="1"/>
      <c r="AD113" s="1"/>
      <c r="AE113" s="1"/>
      <c r="AF113" s="1"/>
      <c r="AG113" s="1"/>
      <c r="AH113" s="1"/>
      <c r="AI113" s="1"/>
    </row>
    <row r="114" ht="15.75" customHeight="1">
      <c r="A114" s="1"/>
      <c r="B114" s="1"/>
      <c r="C114" s="3"/>
      <c r="D114" s="1"/>
      <c r="E114" s="1"/>
      <c r="F114" s="1"/>
      <c r="G114" s="1"/>
      <c r="H114" s="1"/>
      <c r="I114" s="1"/>
      <c r="J114" s="1"/>
      <c r="K114" s="1"/>
      <c r="L114" s="1"/>
      <c r="M114" s="1"/>
      <c r="N114" s="1"/>
      <c r="O114" s="1"/>
      <c r="P114" s="3"/>
      <c r="Q114" s="1"/>
      <c r="R114" s="1"/>
      <c r="S114" s="1"/>
      <c r="T114" s="1"/>
      <c r="U114" s="1"/>
      <c r="V114" s="1"/>
      <c r="W114" s="1"/>
      <c r="X114" s="1"/>
      <c r="Y114" s="1"/>
      <c r="Z114" s="1"/>
      <c r="AA114" s="1"/>
      <c r="AB114" s="1"/>
      <c r="AC114" s="1"/>
      <c r="AD114" s="1"/>
      <c r="AE114" s="1"/>
      <c r="AF114" s="1"/>
      <c r="AG114" s="1"/>
      <c r="AH114" s="1"/>
      <c r="AI114" s="1"/>
    </row>
    <row r="115" ht="15.75" customHeight="1">
      <c r="A115" s="1"/>
      <c r="B115" s="1"/>
      <c r="C115" s="3"/>
      <c r="D115" s="1"/>
      <c r="E115" s="1"/>
      <c r="F115" s="1"/>
      <c r="G115" s="1"/>
      <c r="H115" s="1"/>
      <c r="I115" s="1"/>
      <c r="J115" s="1"/>
      <c r="K115" s="1"/>
      <c r="L115" s="1"/>
      <c r="M115" s="1"/>
      <c r="N115" s="1"/>
      <c r="O115" s="1"/>
      <c r="P115" s="3"/>
      <c r="Q115" s="1"/>
      <c r="R115" s="1"/>
      <c r="S115" s="1"/>
      <c r="T115" s="1"/>
      <c r="U115" s="1"/>
      <c r="V115" s="1"/>
      <c r="W115" s="1"/>
      <c r="X115" s="1"/>
      <c r="Y115" s="1"/>
      <c r="Z115" s="1"/>
      <c r="AA115" s="1"/>
      <c r="AB115" s="1"/>
      <c r="AC115" s="1"/>
      <c r="AD115" s="1"/>
      <c r="AE115" s="1"/>
      <c r="AF115" s="1"/>
      <c r="AG115" s="1"/>
      <c r="AH115" s="1"/>
      <c r="AI115" s="1"/>
    </row>
    <row r="116" ht="15.75" customHeight="1">
      <c r="A116" s="1"/>
      <c r="B116" s="1"/>
      <c r="C116" s="3"/>
      <c r="D116" s="1"/>
      <c r="E116" s="1"/>
      <c r="F116" s="1"/>
      <c r="G116" s="1"/>
      <c r="H116" s="1"/>
      <c r="I116" s="1"/>
      <c r="J116" s="1"/>
      <c r="K116" s="1"/>
      <c r="L116" s="1"/>
      <c r="M116" s="1"/>
      <c r="N116" s="1"/>
      <c r="O116" s="1"/>
      <c r="P116" s="3"/>
      <c r="Q116" s="1"/>
      <c r="R116" s="1"/>
      <c r="S116" s="1"/>
      <c r="T116" s="1"/>
      <c r="U116" s="1"/>
      <c r="V116" s="1"/>
      <c r="W116" s="1"/>
      <c r="X116" s="1"/>
      <c r="Y116" s="1"/>
      <c r="Z116" s="1"/>
      <c r="AA116" s="1"/>
      <c r="AB116" s="1"/>
      <c r="AC116" s="1"/>
      <c r="AD116" s="1"/>
      <c r="AE116" s="1"/>
      <c r="AF116" s="1"/>
      <c r="AG116" s="1"/>
      <c r="AH116" s="1"/>
      <c r="AI116" s="1"/>
    </row>
    <row r="117" ht="15.75" customHeight="1">
      <c r="A117" s="1"/>
      <c r="B117" s="1"/>
      <c r="C117" s="3"/>
      <c r="D117" s="1"/>
      <c r="E117" s="1"/>
      <c r="F117" s="1"/>
      <c r="G117" s="1"/>
      <c r="H117" s="1"/>
      <c r="I117" s="1"/>
      <c r="J117" s="1"/>
      <c r="K117" s="1"/>
      <c r="L117" s="1"/>
      <c r="M117" s="1"/>
      <c r="N117" s="1"/>
      <c r="O117" s="1"/>
      <c r="P117" s="3"/>
      <c r="Q117" s="1"/>
      <c r="R117" s="1"/>
      <c r="S117" s="1"/>
      <c r="T117" s="1"/>
      <c r="U117" s="1"/>
      <c r="V117" s="1"/>
      <c r="W117" s="1"/>
      <c r="X117" s="1"/>
      <c r="Y117" s="1"/>
      <c r="Z117" s="1"/>
      <c r="AA117" s="1"/>
      <c r="AB117" s="1"/>
      <c r="AC117" s="1"/>
      <c r="AD117" s="1"/>
      <c r="AE117" s="1"/>
      <c r="AF117" s="1"/>
      <c r="AG117" s="1"/>
      <c r="AH117" s="1"/>
      <c r="AI117" s="1"/>
    </row>
    <row r="118" ht="15.75" customHeight="1">
      <c r="A118" s="1"/>
      <c r="B118" s="1"/>
      <c r="C118" s="3"/>
      <c r="D118" s="1"/>
      <c r="E118" s="1"/>
      <c r="F118" s="1"/>
      <c r="G118" s="1"/>
      <c r="H118" s="1"/>
      <c r="I118" s="1"/>
      <c r="J118" s="1"/>
      <c r="K118" s="1"/>
      <c r="L118" s="1"/>
      <c r="M118" s="1"/>
      <c r="N118" s="1"/>
      <c r="O118" s="1"/>
      <c r="P118" s="3"/>
      <c r="Q118" s="1"/>
      <c r="R118" s="1"/>
      <c r="S118" s="1"/>
      <c r="T118" s="1"/>
      <c r="U118" s="1"/>
      <c r="V118" s="1"/>
      <c r="W118" s="1"/>
      <c r="X118" s="1"/>
      <c r="Y118" s="1"/>
      <c r="Z118" s="1"/>
      <c r="AA118" s="1"/>
      <c r="AB118" s="1"/>
      <c r="AC118" s="1"/>
      <c r="AD118" s="1"/>
      <c r="AE118" s="1"/>
      <c r="AF118" s="1"/>
      <c r="AG118" s="1"/>
      <c r="AH118" s="1"/>
      <c r="AI118" s="1"/>
    </row>
    <row r="119" ht="15.75" customHeight="1">
      <c r="A119" s="1"/>
      <c r="B119" s="1"/>
      <c r="C119" s="3"/>
      <c r="D119" s="1"/>
      <c r="E119" s="1"/>
      <c r="F119" s="1"/>
      <c r="G119" s="1"/>
      <c r="H119" s="1"/>
      <c r="I119" s="1"/>
      <c r="J119" s="1"/>
      <c r="K119" s="1"/>
      <c r="L119" s="1"/>
      <c r="M119" s="1"/>
      <c r="N119" s="1"/>
      <c r="O119" s="1"/>
      <c r="P119" s="3"/>
      <c r="Q119" s="1"/>
      <c r="R119" s="1"/>
      <c r="S119" s="1"/>
      <c r="T119" s="1"/>
      <c r="U119" s="1"/>
      <c r="V119" s="1"/>
      <c r="W119" s="1"/>
      <c r="X119" s="1"/>
      <c r="Y119" s="1"/>
      <c r="Z119" s="1"/>
      <c r="AA119" s="1"/>
      <c r="AB119" s="1"/>
      <c r="AC119" s="1"/>
      <c r="AD119" s="1"/>
      <c r="AE119" s="1"/>
      <c r="AF119" s="1"/>
      <c r="AG119" s="1"/>
      <c r="AH119" s="1"/>
      <c r="AI119" s="1"/>
    </row>
    <row r="120" ht="15.75" customHeight="1">
      <c r="A120" s="1"/>
      <c r="B120" s="1"/>
      <c r="C120" s="3"/>
      <c r="D120" s="1"/>
      <c r="E120" s="1"/>
      <c r="F120" s="1"/>
      <c r="G120" s="1"/>
      <c r="H120" s="1"/>
      <c r="I120" s="1"/>
      <c r="J120" s="1"/>
      <c r="K120" s="1"/>
      <c r="L120" s="1"/>
      <c r="M120" s="1"/>
      <c r="N120" s="1"/>
      <c r="O120" s="1"/>
      <c r="P120" s="3"/>
      <c r="Q120" s="1"/>
      <c r="R120" s="1"/>
      <c r="S120" s="1"/>
      <c r="T120" s="1"/>
      <c r="U120" s="1"/>
      <c r="V120" s="1"/>
      <c r="W120" s="1"/>
      <c r="X120" s="1"/>
      <c r="Y120" s="1"/>
      <c r="Z120" s="1"/>
      <c r="AA120" s="1"/>
      <c r="AB120" s="1"/>
      <c r="AC120" s="1"/>
      <c r="AD120" s="1"/>
      <c r="AE120" s="1"/>
      <c r="AF120" s="1"/>
      <c r="AG120" s="1"/>
      <c r="AH120" s="1"/>
      <c r="AI120" s="1"/>
    </row>
    <row r="121" ht="15.75" customHeight="1">
      <c r="A121" s="1"/>
      <c r="B121" s="1"/>
      <c r="C121" s="3"/>
      <c r="D121" s="1"/>
      <c r="E121" s="1"/>
      <c r="F121" s="1"/>
      <c r="G121" s="1"/>
      <c r="H121" s="1"/>
      <c r="I121" s="1"/>
      <c r="J121" s="1"/>
      <c r="K121" s="1"/>
      <c r="L121" s="1"/>
      <c r="M121" s="1"/>
      <c r="N121" s="1"/>
      <c r="O121" s="1"/>
      <c r="P121" s="3"/>
      <c r="Q121" s="1"/>
      <c r="R121" s="1"/>
      <c r="S121" s="1"/>
      <c r="T121" s="1"/>
      <c r="U121" s="1"/>
      <c r="V121" s="1"/>
      <c r="W121" s="1"/>
      <c r="X121" s="1"/>
      <c r="Y121" s="1"/>
      <c r="Z121" s="1"/>
      <c r="AA121" s="1"/>
      <c r="AB121" s="1"/>
      <c r="AC121" s="1"/>
      <c r="AD121" s="1"/>
      <c r="AE121" s="1"/>
      <c r="AF121" s="1"/>
      <c r="AG121" s="1"/>
      <c r="AH121" s="1"/>
      <c r="AI121" s="1"/>
    </row>
    <row r="122" ht="15.75" customHeight="1">
      <c r="A122" s="1"/>
      <c r="B122" s="1"/>
      <c r="C122" s="3"/>
      <c r="D122" s="1"/>
      <c r="E122" s="1"/>
      <c r="F122" s="1"/>
      <c r="G122" s="1"/>
      <c r="H122" s="1"/>
      <c r="I122" s="1"/>
      <c r="J122" s="1"/>
      <c r="K122" s="1"/>
      <c r="L122" s="1"/>
      <c r="M122" s="1"/>
      <c r="N122" s="1"/>
      <c r="O122" s="1"/>
      <c r="P122" s="3"/>
      <c r="Q122" s="1"/>
      <c r="R122" s="1"/>
      <c r="S122" s="1"/>
      <c r="T122" s="1"/>
      <c r="U122" s="1"/>
      <c r="V122" s="1"/>
      <c r="W122" s="1"/>
      <c r="X122" s="1"/>
      <c r="Y122" s="1"/>
      <c r="Z122" s="1"/>
      <c r="AA122" s="1"/>
      <c r="AB122" s="1"/>
      <c r="AC122" s="1"/>
      <c r="AD122" s="1"/>
      <c r="AE122" s="1"/>
      <c r="AF122" s="1"/>
      <c r="AG122" s="1"/>
      <c r="AH122" s="1"/>
      <c r="AI122" s="1"/>
    </row>
    <row r="123" ht="15.75" customHeight="1">
      <c r="A123" s="1"/>
      <c r="B123" s="1"/>
      <c r="C123" s="3"/>
      <c r="D123" s="1"/>
      <c r="E123" s="1"/>
      <c r="F123" s="1"/>
      <c r="G123" s="1"/>
      <c r="H123" s="1"/>
      <c r="I123" s="1"/>
      <c r="J123" s="1"/>
      <c r="K123" s="1"/>
      <c r="L123" s="1"/>
      <c r="M123" s="1"/>
      <c r="N123" s="1"/>
      <c r="O123" s="1"/>
      <c r="P123" s="3"/>
      <c r="Q123" s="1"/>
      <c r="R123" s="1"/>
      <c r="S123" s="1"/>
      <c r="T123" s="1"/>
      <c r="U123" s="1"/>
      <c r="V123" s="1"/>
      <c r="W123" s="1"/>
      <c r="X123" s="1"/>
      <c r="Y123" s="1"/>
      <c r="Z123" s="1"/>
      <c r="AA123" s="1"/>
      <c r="AB123" s="1"/>
      <c r="AC123" s="1"/>
      <c r="AD123" s="1"/>
      <c r="AE123" s="1"/>
      <c r="AF123" s="1"/>
      <c r="AG123" s="1"/>
      <c r="AH123" s="1"/>
      <c r="AI123" s="1"/>
    </row>
    <row r="124" ht="15.75" customHeight="1">
      <c r="A124" s="1"/>
      <c r="B124" s="1"/>
      <c r="C124" s="3"/>
      <c r="D124" s="1"/>
      <c r="E124" s="1"/>
      <c r="F124" s="1"/>
      <c r="G124" s="1"/>
      <c r="H124" s="1"/>
      <c r="I124" s="1"/>
      <c r="J124" s="1"/>
      <c r="K124" s="1"/>
      <c r="L124" s="1"/>
      <c r="M124" s="1"/>
      <c r="N124" s="1"/>
      <c r="O124" s="1"/>
      <c r="P124" s="3"/>
      <c r="Q124" s="1"/>
      <c r="R124" s="1"/>
      <c r="S124" s="1"/>
      <c r="T124" s="1"/>
      <c r="U124" s="1"/>
      <c r="V124" s="1"/>
      <c r="W124" s="1"/>
      <c r="X124" s="1"/>
      <c r="Y124" s="1"/>
      <c r="Z124" s="1"/>
      <c r="AA124" s="1"/>
      <c r="AB124" s="1"/>
      <c r="AC124" s="1"/>
      <c r="AD124" s="1"/>
      <c r="AE124" s="1"/>
      <c r="AF124" s="1"/>
      <c r="AG124" s="1"/>
      <c r="AH124" s="1"/>
      <c r="AI124" s="1"/>
    </row>
    <row r="125" ht="15.75" customHeight="1">
      <c r="A125" s="1"/>
      <c r="B125" s="1"/>
      <c r="C125" s="3"/>
      <c r="D125" s="1"/>
      <c r="E125" s="1"/>
      <c r="F125" s="1"/>
      <c r="G125" s="1"/>
      <c r="H125" s="1"/>
      <c r="I125" s="1"/>
      <c r="J125" s="1"/>
      <c r="K125" s="1"/>
      <c r="L125" s="1"/>
      <c r="M125" s="1"/>
      <c r="N125" s="1"/>
      <c r="O125" s="1"/>
      <c r="P125" s="3"/>
      <c r="Q125" s="1"/>
      <c r="R125" s="1"/>
      <c r="S125" s="1"/>
      <c r="T125" s="1"/>
      <c r="U125" s="1"/>
      <c r="V125" s="1"/>
      <c r="W125" s="1"/>
      <c r="X125" s="1"/>
      <c r="Y125" s="1"/>
      <c r="Z125" s="1"/>
      <c r="AA125" s="1"/>
      <c r="AB125" s="1"/>
      <c r="AC125" s="1"/>
      <c r="AD125" s="1"/>
      <c r="AE125" s="1"/>
      <c r="AF125" s="1"/>
      <c r="AG125" s="1"/>
      <c r="AH125" s="1"/>
      <c r="AI125" s="1"/>
    </row>
    <row r="126" ht="15.75" customHeight="1">
      <c r="A126" s="1"/>
      <c r="B126" s="1"/>
      <c r="C126" s="3"/>
      <c r="D126" s="1"/>
      <c r="E126" s="1"/>
      <c r="F126" s="1"/>
      <c r="G126" s="1"/>
      <c r="H126" s="1"/>
      <c r="I126" s="1"/>
      <c r="J126" s="1"/>
      <c r="K126" s="1"/>
      <c r="L126" s="1"/>
      <c r="M126" s="1"/>
      <c r="N126" s="1"/>
      <c r="O126" s="1"/>
      <c r="P126" s="3"/>
      <c r="Q126" s="1"/>
      <c r="R126" s="1"/>
      <c r="S126" s="1"/>
      <c r="T126" s="1"/>
      <c r="U126" s="1"/>
      <c r="V126" s="1"/>
      <c r="W126" s="1"/>
      <c r="X126" s="1"/>
      <c r="Y126" s="1"/>
      <c r="Z126" s="1"/>
      <c r="AA126" s="1"/>
      <c r="AB126" s="1"/>
      <c r="AC126" s="1"/>
      <c r="AD126" s="1"/>
      <c r="AE126" s="1"/>
      <c r="AF126" s="1"/>
      <c r="AG126" s="1"/>
      <c r="AH126" s="1"/>
      <c r="AI126" s="1"/>
    </row>
    <row r="127" ht="15.75" customHeight="1">
      <c r="A127" s="1"/>
      <c r="B127" s="1"/>
      <c r="C127" s="3"/>
      <c r="D127" s="1"/>
      <c r="E127" s="1"/>
      <c r="F127" s="1"/>
      <c r="G127" s="1"/>
      <c r="H127" s="1"/>
      <c r="I127" s="1"/>
      <c r="J127" s="1"/>
      <c r="K127" s="1"/>
      <c r="L127" s="1"/>
      <c r="M127" s="1"/>
      <c r="N127" s="1"/>
      <c r="O127" s="1"/>
      <c r="P127" s="3"/>
      <c r="Q127" s="1"/>
      <c r="R127" s="1"/>
      <c r="S127" s="1"/>
      <c r="T127" s="1"/>
      <c r="U127" s="1"/>
      <c r="V127" s="1"/>
      <c r="W127" s="1"/>
      <c r="X127" s="1"/>
      <c r="Y127" s="1"/>
      <c r="Z127" s="1"/>
      <c r="AA127" s="1"/>
      <c r="AB127" s="1"/>
      <c r="AC127" s="1"/>
      <c r="AD127" s="1"/>
      <c r="AE127" s="1"/>
      <c r="AF127" s="1"/>
      <c r="AG127" s="1"/>
      <c r="AH127" s="1"/>
      <c r="AI127" s="1"/>
    </row>
    <row r="128" ht="15.75" customHeight="1">
      <c r="A128" s="1"/>
      <c r="B128" s="1"/>
      <c r="C128" s="3"/>
      <c r="D128" s="1"/>
      <c r="E128" s="1"/>
      <c r="F128" s="1"/>
      <c r="G128" s="1"/>
      <c r="H128" s="1"/>
      <c r="I128" s="1"/>
      <c r="J128" s="1"/>
      <c r="K128" s="1"/>
      <c r="L128" s="1"/>
      <c r="M128" s="1"/>
      <c r="N128" s="1"/>
      <c r="O128" s="1"/>
      <c r="P128" s="3"/>
      <c r="Q128" s="1"/>
      <c r="R128" s="1"/>
      <c r="S128" s="1"/>
      <c r="T128" s="1"/>
      <c r="U128" s="1"/>
      <c r="V128" s="1"/>
      <c r="W128" s="1"/>
      <c r="X128" s="1"/>
      <c r="Y128" s="1"/>
      <c r="Z128" s="1"/>
      <c r="AA128" s="1"/>
      <c r="AB128" s="1"/>
      <c r="AC128" s="1"/>
      <c r="AD128" s="1"/>
      <c r="AE128" s="1"/>
      <c r="AF128" s="1"/>
      <c r="AG128" s="1"/>
      <c r="AH128" s="1"/>
      <c r="AI128" s="1"/>
    </row>
    <row r="129" ht="15.75" customHeight="1">
      <c r="A129" s="1"/>
      <c r="B129" s="1"/>
      <c r="C129" s="3"/>
      <c r="D129" s="1"/>
      <c r="E129" s="1"/>
      <c r="F129" s="1"/>
      <c r="G129" s="1"/>
      <c r="H129" s="1"/>
      <c r="I129" s="1"/>
      <c r="J129" s="1"/>
      <c r="K129" s="1"/>
      <c r="L129" s="1"/>
      <c r="M129" s="1"/>
      <c r="N129" s="1"/>
      <c r="O129" s="1"/>
      <c r="P129" s="3"/>
      <c r="Q129" s="1"/>
      <c r="R129" s="1"/>
      <c r="S129" s="1"/>
      <c r="T129" s="1"/>
      <c r="U129" s="1"/>
      <c r="V129" s="1"/>
      <c r="W129" s="1"/>
      <c r="X129" s="1"/>
      <c r="Y129" s="1"/>
      <c r="Z129" s="1"/>
      <c r="AA129" s="1"/>
      <c r="AB129" s="1"/>
      <c r="AC129" s="1"/>
      <c r="AD129" s="1"/>
      <c r="AE129" s="1"/>
      <c r="AF129" s="1"/>
      <c r="AG129" s="1"/>
      <c r="AH129" s="1"/>
      <c r="AI129" s="1"/>
    </row>
    <row r="130" ht="15.75" customHeight="1">
      <c r="A130" s="1"/>
      <c r="B130" s="1"/>
      <c r="C130" s="3"/>
      <c r="D130" s="1"/>
      <c r="E130" s="1"/>
      <c r="F130" s="1"/>
      <c r="G130" s="1"/>
      <c r="H130" s="1"/>
      <c r="I130" s="1"/>
      <c r="J130" s="1"/>
      <c r="K130" s="1"/>
      <c r="L130" s="1"/>
      <c r="M130" s="1"/>
      <c r="N130" s="1"/>
      <c r="O130" s="1"/>
      <c r="P130" s="3"/>
      <c r="Q130" s="1"/>
      <c r="R130" s="1"/>
      <c r="S130" s="1"/>
      <c r="T130" s="1"/>
      <c r="U130" s="1"/>
      <c r="V130" s="1"/>
      <c r="W130" s="1"/>
      <c r="X130" s="1"/>
      <c r="Y130" s="1"/>
      <c r="Z130" s="1"/>
      <c r="AA130" s="1"/>
      <c r="AB130" s="1"/>
      <c r="AC130" s="1"/>
      <c r="AD130" s="1"/>
      <c r="AE130" s="1"/>
      <c r="AF130" s="1"/>
      <c r="AG130" s="1"/>
      <c r="AH130" s="1"/>
      <c r="AI130" s="1"/>
    </row>
    <row r="131" ht="15.75" customHeight="1">
      <c r="A131" s="1"/>
      <c r="B131" s="1"/>
      <c r="C131" s="3"/>
      <c r="D131" s="1"/>
      <c r="E131" s="1"/>
      <c r="F131" s="1"/>
      <c r="G131" s="1"/>
      <c r="H131" s="1"/>
      <c r="I131" s="1"/>
      <c r="J131" s="1"/>
      <c r="K131" s="1"/>
      <c r="L131" s="1"/>
      <c r="M131" s="1"/>
      <c r="N131" s="1"/>
      <c r="O131" s="1"/>
      <c r="P131" s="3"/>
      <c r="Q131" s="1"/>
      <c r="R131" s="1"/>
      <c r="S131" s="1"/>
      <c r="T131" s="1"/>
      <c r="U131" s="1"/>
      <c r="V131" s="1"/>
      <c r="W131" s="1"/>
      <c r="X131" s="1"/>
      <c r="Y131" s="1"/>
      <c r="Z131" s="1"/>
      <c r="AA131" s="1"/>
      <c r="AB131" s="1"/>
      <c r="AC131" s="1"/>
      <c r="AD131" s="1"/>
      <c r="AE131" s="1"/>
      <c r="AF131" s="1"/>
      <c r="AG131" s="1"/>
      <c r="AH131" s="1"/>
      <c r="AI131" s="1"/>
    </row>
    <row r="132" ht="15.75" customHeight="1">
      <c r="A132" s="1"/>
      <c r="B132" s="1"/>
      <c r="C132" s="3"/>
      <c r="D132" s="1"/>
      <c r="E132" s="1"/>
      <c r="F132" s="1"/>
      <c r="G132" s="1"/>
      <c r="H132" s="1"/>
      <c r="I132" s="1"/>
      <c r="J132" s="1"/>
      <c r="K132" s="1"/>
      <c r="L132" s="1"/>
      <c r="M132" s="1"/>
      <c r="N132" s="1"/>
      <c r="O132" s="1"/>
      <c r="P132" s="3"/>
      <c r="Q132" s="1"/>
      <c r="R132" s="1"/>
      <c r="S132" s="1"/>
      <c r="T132" s="1"/>
      <c r="U132" s="1"/>
      <c r="V132" s="1"/>
      <c r="W132" s="1"/>
      <c r="X132" s="1"/>
      <c r="Y132" s="1"/>
      <c r="Z132" s="1"/>
      <c r="AA132" s="1"/>
      <c r="AB132" s="1"/>
      <c r="AC132" s="1"/>
      <c r="AD132" s="1"/>
      <c r="AE132" s="1"/>
      <c r="AF132" s="1"/>
      <c r="AG132" s="1"/>
      <c r="AH132" s="1"/>
      <c r="AI132" s="1"/>
    </row>
    <row r="133" ht="15.75" customHeight="1">
      <c r="A133" s="1"/>
      <c r="B133" s="1"/>
      <c r="C133" s="3"/>
      <c r="D133" s="1"/>
      <c r="E133" s="1"/>
      <c r="F133" s="1"/>
      <c r="G133" s="1"/>
      <c r="H133" s="1"/>
      <c r="I133" s="1"/>
      <c r="J133" s="1"/>
      <c r="K133" s="1"/>
      <c r="L133" s="1"/>
      <c r="M133" s="1"/>
      <c r="N133" s="1"/>
      <c r="O133" s="1"/>
      <c r="P133" s="3"/>
      <c r="Q133" s="1"/>
      <c r="R133" s="1"/>
      <c r="S133" s="1"/>
      <c r="T133" s="1"/>
      <c r="U133" s="1"/>
      <c r="V133" s="1"/>
      <c r="W133" s="1"/>
      <c r="X133" s="1"/>
      <c r="Y133" s="1"/>
      <c r="Z133" s="1"/>
      <c r="AA133" s="1"/>
      <c r="AB133" s="1"/>
      <c r="AC133" s="1"/>
      <c r="AD133" s="1"/>
      <c r="AE133" s="1"/>
      <c r="AF133" s="1"/>
      <c r="AG133" s="1"/>
      <c r="AH133" s="1"/>
      <c r="AI133" s="1"/>
    </row>
    <row r="134" ht="15.75" customHeight="1">
      <c r="A134" s="1"/>
      <c r="B134" s="1"/>
      <c r="C134" s="3"/>
      <c r="D134" s="1"/>
      <c r="E134" s="1"/>
      <c r="F134" s="1"/>
      <c r="G134" s="1"/>
      <c r="H134" s="1"/>
      <c r="I134" s="1"/>
      <c r="J134" s="1"/>
      <c r="K134" s="1"/>
      <c r="L134" s="1"/>
      <c r="M134" s="1"/>
      <c r="N134" s="1"/>
      <c r="O134" s="1"/>
      <c r="P134" s="3"/>
      <c r="Q134" s="1"/>
      <c r="R134" s="1"/>
      <c r="S134" s="1"/>
      <c r="T134" s="1"/>
      <c r="U134" s="1"/>
      <c r="V134" s="1"/>
      <c r="W134" s="1"/>
      <c r="X134" s="1"/>
      <c r="Y134" s="1"/>
      <c r="Z134" s="1"/>
      <c r="AA134" s="1"/>
      <c r="AB134" s="1"/>
      <c r="AC134" s="1"/>
      <c r="AD134" s="1"/>
      <c r="AE134" s="1"/>
      <c r="AF134" s="1"/>
      <c r="AG134" s="1"/>
      <c r="AH134" s="1"/>
      <c r="AI134" s="1"/>
    </row>
    <row r="135" ht="15.75" customHeight="1">
      <c r="A135" s="1"/>
      <c r="B135" s="1"/>
      <c r="C135" s="3"/>
      <c r="D135" s="1"/>
      <c r="E135" s="1"/>
      <c r="F135" s="1"/>
      <c r="G135" s="1"/>
      <c r="H135" s="1"/>
      <c r="I135" s="1"/>
      <c r="J135" s="1"/>
      <c r="K135" s="1"/>
      <c r="L135" s="1"/>
      <c r="M135" s="1"/>
      <c r="N135" s="1"/>
      <c r="O135" s="1"/>
      <c r="P135" s="3"/>
      <c r="Q135" s="1"/>
      <c r="R135" s="1"/>
      <c r="S135" s="1"/>
      <c r="T135" s="1"/>
      <c r="U135" s="1"/>
      <c r="V135" s="1"/>
      <c r="W135" s="1"/>
      <c r="X135" s="1"/>
      <c r="Y135" s="1"/>
      <c r="Z135" s="1"/>
      <c r="AA135" s="1"/>
      <c r="AB135" s="1"/>
      <c r="AC135" s="1"/>
      <c r="AD135" s="1"/>
      <c r="AE135" s="1"/>
      <c r="AF135" s="1"/>
      <c r="AG135" s="1"/>
      <c r="AH135" s="1"/>
      <c r="AI135" s="1"/>
    </row>
    <row r="136" ht="15.75" customHeight="1">
      <c r="A136" s="1"/>
      <c r="B136" s="1"/>
      <c r="C136" s="3"/>
      <c r="D136" s="1"/>
      <c r="E136" s="1"/>
      <c r="F136" s="1"/>
      <c r="G136" s="1"/>
      <c r="H136" s="1"/>
      <c r="I136" s="1"/>
      <c r="J136" s="1"/>
      <c r="K136" s="1"/>
      <c r="L136" s="1"/>
      <c r="M136" s="1"/>
      <c r="N136" s="1"/>
      <c r="O136" s="1"/>
      <c r="P136" s="3"/>
      <c r="Q136" s="1"/>
      <c r="R136" s="1"/>
      <c r="S136" s="1"/>
      <c r="T136" s="1"/>
      <c r="U136" s="1"/>
      <c r="V136" s="1"/>
      <c r="W136" s="1"/>
      <c r="X136" s="1"/>
      <c r="Y136" s="1"/>
      <c r="Z136" s="1"/>
      <c r="AA136" s="1"/>
      <c r="AB136" s="1"/>
      <c r="AC136" s="1"/>
      <c r="AD136" s="1"/>
      <c r="AE136" s="1"/>
      <c r="AF136" s="1"/>
      <c r="AG136" s="1"/>
      <c r="AH136" s="1"/>
      <c r="AI136" s="1"/>
    </row>
    <row r="137" ht="15.75" customHeight="1">
      <c r="A137" s="1"/>
      <c r="B137" s="1"/>
      <c r="C137" s="3"/>
      <c r="D137" s="1"/>
      <c r="E137" s="1"/>
      <c r="F137" s="1"/>
      <c r="G137" s="1"/>
      <c r="H137" s="1"/>
      <c r="I137" s="1"/>
      <c r="J137" s="1"/>
      <c r="K137" s="1"/>
      <c r="L137" s="1"/>
      <c r="M137" s="1"/>
      <c r="N137" s="1"/>
      <c r="O137" s="1"/>
      <c r="P137" s="3"/>
      <c r="Q137" s="1"/>
      <c r="R137" s="1"/>
      <c r="S137" s="1"/>
      <c r="T137" s="1"/>
      <c r="U137" s="1"/>
      <c r="V137" s="1"/>
      <c r="W137" s="1"/>
      <c r="X137" s="1"/>
      <c r="Y137" s="1"/>
      <c r="Z137" s="1"/>
      <c r="AA137" s="1"/>
      <c r="AB137" s="1"/>
      <c r="AC137" s="1"/>
      <c r="AD137" s="1"/>
      <c r="AE137" s="1"/>
      <c r="AF137" s="1"/>
      <c r="AG137" s="1"/>
      <c r="AH137" s="1"/>
      <c r="AI137" s="1"/>
    </row>
    <row r="138" ht="15.75" customHeight="1">
      <c r="A138" s="1"/>
      <c r="B138" s="1"/>
      <c r="C138" s="3"/>
      <c r="D138" s="1"/>
      <c r="E138" s="1"/>
      <c r="F138" s="1"/>
      <c r="G138" s="1"/>
      <c r="H138" s="1"/>
      <c r="I138" s="1"/>
      <c r="J138" s="1"/>
      <c r="K138" s="1"/>
      <c r="L138" s="1"/>
      <c r="M138" s="1"/>
      <c r="N138" s="1"/>
      <c r="O138" s="1"/>
      <c r="P138" s="3"/>
      <c r="Q138" s="1"/>
      <c r="R138" s="1"/>
      <c r="S138" s="1"/>
      <c r="T138" s="1"/>
      <c r="U138" s="1"/>
      <c r="V138" s="1"/>
      <c r="W138" s="1"/>
      <c r="X138" s="1"/>
      <c r="Y138" s="1"/>
      <c r="Z138" s="1"/>
      <c r="AA138" s="1"/>
      <c r="AB138" s="1"/>
      <c r="AC138" s="1"/>
      <c r="AD138" s="1"/>
      <c r="AE138" s="1"/>
      <c r="AF138" s="1"/>
      <c r="AG138" s="1"/>
      <c r="AH138" s="1"/>
      <c r="AI138" s="1"/>
    </row>
    <row r="139" ht="15.75" customHeight="1">
      <c r="A139" s="1"/>
      <c r="B139" s="1"/>
      <c r="C139" s="3"/>
      <c r="D139" s="1"/>
      <c r="E139" s="1"/>
      <c r="F139" s="1"/>
      <c r="G139" s="1"/>
      <c r="H139" s="1"/>
      <c r="I139" s="1"/>
      <c r="J139" s="1"/>
      <c r="K139" s="1"/>
      <c r="L139" s="1"/>
      <c r="M139" s="1"/>
      <c r="N139" s="1"/>
      <c r="O139" s="1"/>
      <c r="P139" s="3"/>
      <c r="Q139" s="1"/>
      <c r="R139" s="1"/>
      <c r="S139" s="1"/>
      <c r="T139" s="1"/>
      <c r="U139" s="1"/>
      <c r="V139" s="1"/>
      <c r="W139" s="1"/>
      <c r="X139" s="1"/>
      <c r="Y139" s="1"/>
      <c r="Z139" s="1"/>
      <c r="AA139" s="1"/>
      <c r="AB139" s="1"/>
      <c r="AC139" s="1"/>
      <c r="AD139" s="1"/>
      <c r="AE139" s="1"/>
      <c r="AF139" s="1"/>
      <c r="AG139" s="1"/>
      <c r="AH139" s="1"/>
      <c r="AI139" s="1"/>
    </row>
    <row r="140" ht="15.75" customHeight="1">
      <c r="A140" s="1"/>
      <c r="B140" s="1"/>
      <c r="C140" s="3"/>
      <c r="D140" s="1"/>
      <c r="E140" s="1"/>
      <c r="F140" s="1"/>
      <c r="G140" s="1"/>
      <c r="H140" s="1"/>
      <c r="I140" s="1"/>
      <c r="J140" s="1"/>
      <c r="K140" s="1"/>
      <c r="L140" s="1"/>
      <c r="M140" s="1"/>
      <c r="N140" s="1"/>
      <c r="O140" s="1"/>
      <c r="P140" s="3"/>
      <c r="Q140" s="1"/>
      <c r="R140" s="1"/>
      <c r="S140" s="1"/>
      <c r="T140" s="1"/>
      <c r="U140" s="1"/>
      <c r="V140" s="1"/>
      <c r="W140" s="1"/>
      <c r="X140" s="1"/>
      <c r="Y140" s="1"/>
      <c r="Z140" s="1"/>
      <c r="AA140" s="1"/>
      <c r="AB140" s="1"/>
      <c r="AC140" s="1"/>
      <c r="AD140" s="1"/>
      <c r="AE140" s="1"/>
      <c r="AF140" s="1"/>
      <c r="AG140" s="1"/>
      <c r="AH140" s="1"/>
      <c r="AI140" s="1"/>
    </row>
    <row r="141" ht="15.75" customHeight="1">
      <c r="A141" s="1"/>
      <c r="B141" s="1"/>
      <c r="C141" s="3"/>
      <c r="D141" s="1"/>
      <c r="E141" s="1"/>
      <c r="F141" s="1"/>
      <c r="G141" s="1"/>
      <c r="H141" s="1"/>
      <c r="I141" s="1"/>
      <c r="J141" s="1"/>
      <c r="K141" s="1"/>
      <c r="L141" s="1"/>
      <c r="M141" s="1"/>
      <c r="N141" s="1"/>
      <c r="O141" s="1"/>
      <c r="P141" s="3"/>
      <c r="Q141" s="1"/>
      <c r="R141" s="1"/>
      <c r="S141" s="1"/>
      <c r="T141" s="1"/>
      <c r="U141" s="1"/>
      <c r="V141" s="1"/>
      <c r="W141" s="1"/>
      <c r="X141" s="1"/>
      <c r="Y141" s="1"/>
      <c r="Z141" s="1"/>
      <c r="AA141" s="1"/>
      <c r="AB141" s="1"/>
      <c r="AC141" s="1"/>
      <c r="AD141" s="1"/>
      <c r="AE141" s="1"/>
      <c r="AF141" s="1"/>
      <c r="AG141" s="1"/>
      <c r="AH141" s="1"/>
      <c r="AI141" s="1"/>
    </row>
    <row r="142" ht="15.75" customHeight="1">
      <c r="A142" s="1"/>
      <c r="B142" s="1"/>
      <c r="C142" s="3"/>
      <c r="D142" s="1"/>
      <c r="E142" s="1"/>
      <c r="F142" s="1"/>
      <c r="G142" s="1"/>
      <c r="H142" s="1"/>
      <c r="I142" s="1"/>
      <c r="J142" s="1"/>
      <c r="K142" s="1"/>
      <c r="L142" s="1"/>
      <c r="M142" s="1"/>
      <c r="N142" s="1"/>
      <c r="O142" s="1"/>
      <c r="P142" s="3"/>
      <c r="Q142" s="1"/>
      <c r="R142" s="1"/>
      <c r="S142" s="1"/>
      <c r="T142" s="1"/>
      <c r="U142" s="1"/>
      <c r="V142" s="1"/>
      <c r="W142" s="1"/>
      <c r="X142" s="1"/>
      <c r="Y142" s="1"/>
      <c r="Z142" s="1"/>
      <c r="AA142" s="1"/>
      <c r="AB142" s="1"/>
      <c r="AC142" s="1"/>
      <c r="AD142" s="1"/>
      <c r="AE142" s="1"/>
      <c r="AF142" s="1"/>
      <c r="AG142" s="1"/>
      <c r="AH142" s="1"/>
      <c r="AI142" s="1"/>
    </row>
    <row r="143" ht="15.75" customHeight="1">
      <c r="A143" s="1"/>
      <c r="B143" s="1"/>
      <c r="C143" s="3"/>
      <c r="D143" s="1"/>
      <c r="E143" s="1"/>
      <c r="F143" s="1"/>
      <c r="G143" s="1"/>
      <c r="H143" s="1"/>
      <c r="I143" s="1"/>
      <c r="J143" s="1"/>
      <c r="K143" s="1"/>
      <c r="L143" s="1"/>
      <c r="M143" s="1"/>
      <c r="N143" s="1"/>
      <c r="O143" s="1"/>
      <c r="P143" s="3"/>
      <c r="Q143" s="1"/>
      <c r="R143" s="1"/>
      <c r="S143" s="1"/>
      <c r="T143" s="1"/>
      <c r="U143" s="1"/>
      <c r="V143" s="1"/>
      <c r="W143" s="1"/>
      <c r="X143" s="1"/>
      <c r="Y143" s="1"/>
      <c r="Z143" s="1"/>
      <c r="AA143" s="1"/>
      <c r="AB143" s="1"/>
      <c r="AC143" s="1"/>
      <c r="AD143" s="1"/>
      <c r="AE143" s="1"/>
      <c r="AF143" s="1"/>
      <c r="AG143" s="1"/>
      <c r="AH143" s="1"/>
      <c r="AI143" s="1"/>
    </row>
    <row r="144" ht="15.75" customHeight="1">
      <c r="A144" s="1"/>
      <c r="B144" s="1"/>
      <c r="C144" s="3"/>
      <c r="D144" s="1"/>
      <c r="E144" s="1"/>
      <c r="F144" s="1"/>
      <c r="G144" s="1"/>
      <c r="H144" s="1"/>
      <c r="I144" s="1"/>
      <c r="J144" s="1"/>
      <c r="K144" s="1"/>
      <c r="L144" s="1"/>
      <c r="M144" s="1"/>
      <c r="N144" s="1"/>
      <c r="O144" s="1"/>
      <c r="P144" s="3"/>
      <c r="Q144" s="1"/>
      <c r="R144" s="1"/>
      <c r="S144" s="1"/>
      <c r="T144" s="1"/>
      <c r="U144" s="1"/>
      <c r="V144" s="1"/>
      <c r="W144" s="1"/>
      <c r="X144" s="1"/>
      <c r="Y144" s="1"/>
      <c r="Z144" s="1"/>
      <c r="AA144" s="1"/>
      <c r="AB144" s="1"/>
      <c r="AC144" s="1"/>
      <c r="AD144" s="1"/>
      <c r="AE144" s="1"/>
      <c r="AF144" s="1"/>
      <c r="AG144" s="1"/>
      <c r="AH144" s="1"/>
      <c r="AI144" s="1"/>
    </row>
    <row r="145" ht="15.75" customHeight="1">
      <c r="A145" s="1"/>
      <c r="B145" s="1"/>
      <c r="C145" s="3"/>
      <c r="D145" s="1"/>
      <c r="E145" s="1"/>
      <c r="F145" s="1"/>
      <c r="G145" s="1"/>
      <c r="H145" s="1"/>
      <c r="I145" s="1"/>
      <c r="J145" s="1"/>
      <c r="K145" s="1"/>
      <c r="L145" s="1"/>
      <c r="M145" s="1"/>
      <c r="N145" s="1"/>
      <c r="O145" s="1"/>
      <c r="P145" s="3"/>
      <c r="Q145" s="1"/>
      <c r="R145" s="1"/>
      <c r="S145" s="1"/>
      <c r="T145" s="1"/>
      <c r="U145" s="1"/>
      <c r="V145" s="1"/>
      <c r="W145" s="1"/>
      <c r="X145" s="1"/>
      <c r="Y145" s="1"/>
      <c r="Z145" s="1"/>
      <c r="AA145" s="1"/>
      <c r="AB145" s="1"/>
      <c r="AC145" s="1"/>
      <c r="AD145" s="1"/>
      <c r="AE145" s="1"/>
      <c r="AF145" s="1"/>
      <c r="AG145" s="1"/>
      <c r="AH145" s="1"/>
      <c r="AI145" s="1"/>
    </row>
    <row r="146" ht="15.75" customHeight="1">
      <c r="A146" s="1"/>
      <c r="B146" s="1"/>
      <c r="C146" s="3"/>
      <c r="D146" s="1"/>
      <c r="E146" s="1"/>
      <c r="F146" s="1"/>
      <c r="G146" s="1"/>
      <c r="H146" s="1"/>
      <c r="I146" s="1"/>
      <c r="J146" s="1"/>
      <c r="K146" s="1"/>
      <c r="L146" s="1"/>
      <c r="M146" s="1"/>
      <c r="N146" s="1"/>
      <c r="O146" s="1"/>
      <c r="P146" s="3"/>
      <c r="Q146" s="1"/>
      <c r="R146" s="1"/>
      <c r="S146" s="1"/>
      <c r="T146" s="1"/>
      <c r="U146" s="1"/>
      <c r="V146" s="1"/>
      <c r="W146" s="1"/>
      <c r="X146" s="1"/>
      <c r="Y146" s="1"/>
      <c r="Z146" s="1"/>
      <c r="AA146" s="1"/>
      <c r="AB146" s="1"/>
      <c r="AC146" s="1"/>
      <c r="AD146" s="1"/>
      <c r="AE146" s="1"/>
      <c r="AF146" s="1"/>
      <c r="AG146" s="1"/>
      <c r="AH146" s="1"/>
      <c r="AI146" s="1"/>
    </row>
    <row r="147" ht="15.75" customHeight="1">
      <c r="A147" s="1"/>
      <c r="B147" s="1"/>
      <c r="C147" s="3"/>
      <c r="D147" s="1"/>
      <c r="E147" s="1"/>
      <c r="F147" s="1"/>
      <c r="G147" s="1"/>
      <c r="H147" s="1"/>
      <c r="I147" s="1"/>
      <c r="J147" s="1"/>
      <c r="K147" s="1"/>
      <c r="L147" s="1"/>
      <c r="M147" s="1"/>
      <c r="N147" s="1"/>
      <c r="O147" s="1"/>
      <c r="P147" s="3"/>
      <c r="Q147" s="1"/>
      <c r="R147" s="1"/>
      <c r="S147" s="1"/>
      <c r="T147" s="1"/>
      <c r="U147" s="1"/>
      <c r="V147" s="1"/>
      <c r="W147" s="1"/>
      <c r="X147" s="1"/>
      <c r="Y147" s="1"/>
      <c r="Z147" s="1"/>
      <c r="AA147" s="1"/>
      <c r="AB147" s="1"/>
      <c r="AC147" s="1"/>
      <c r="AD147" s="1"/>
      <c r="AE147" s="1"/>
      <c r="AF147" s="1"/>
      <c r="AG147" s="1"/>
      <c r="AH147" s="1"/>
      <c r="AI147" s="1"/>
    </row>
    <row r="148" ht="15.75" customHeight="1">
      <c r="A148" s="1"/>
      <c r="B148" s="1"/>
      <c r="C148" s="3"/>
      <c r="D148" s="1"/>
      <c r="E148" s="1"/>
      <c r="F148" s="1"/>
      <c r="G148" s="1"/>
      <c r="H148" s="1"/>
      <c r="I148" s="1"/>
      <c r="J148" s="1"/>
      <c r="K148" s="1"/>
      <c r="L148" s="1"/>
      <c r="M148" s="1"/>
      <c r="N148" s="1"/>
      <c r="O148" s="1"/>
      <c r="P148" s="3"/>
      <c r="Q148" s="1"/>
      <c r="R148" s="1"/>
      <c r="S148" s="1"/>
      <c r="T148" s="1"/>
      <c r="U148" s="1"/>
      <c r="V148" s="1"/>
      <c r="W148" s="1"/>
      <c r="X148" s="1"/>
      <c r="Y148" s="1"/>
      <c r="Z148" s="1"/>
      <c r="AA148" s="1"/>
      <c r="AB148" s="1"/>
      <c r="AC148" s="1"/>
      <c r="AD148" s="1"/>
      <c r="AE148" s="1"/>
      <c r="AF148" s="1"/>
      <c r="AG148" s="1"/>
      <c r="AH148" s="1"/>
      <c r="AI148" s="1"/>
    </row>
    <row r="149" ht="15.75" customHeight="1">
      <c r="A149" s="1"/>
      <c r="B149" s="1"/>
      <c r="C149" s="3"/>
      <c r="D149" s="1"/>
      <c r="E149" s="1"/>
      <c r="F149" s="1"/>
      <c r="G149" s="1"/>
      <c r="H149" s="1"/>
      <c r="I149" s="1"/>
      <c r="J149" s="1"/>
      <c r="K149" s="1"/>
      <c r="L149" s="1"/>
      <c r="M149" s="1"/>
      <c r="N149" s="1"/>
      <c r="O149" s="1"/>
      <c r="P149" s="3"/>
      <c r="Q149" s="1"/>
      <c r="R149" s="1"/>
      <c r="S149" s="1"/>
      <c r="T149" s="1"/>
      <c r="U149" s="1"/>
      <c r="V149" s="1"/>
      <c r="W149" s="1"/>
      <c r="X149" s="1"/>
      <c r="Y149" s="1"/>
      <c r="Z149" s="1"/>
      <c r="AA149" s="1"/>
      <c r="AB149" s="1"/>
      <c r="AC149" s="1"/>
      <c r="AD149" s="1"/>
      <c r="AE149" s="1"/>
      <c r="AF149" s="1"/>
      <c r="AG149" s="1"/>
      <c r="AH149" s="1"/>
      <c r="AI149" s="1"/>
    </row>
    <row r="150" ht="15.75" customHeight="1">
      <c r="A150" s="1"/>
      <c r="B150" s="1"/>
      <c r="C150" s="3"/>
      <c r="D150" s="1"/>
      <c r="E150" s="1"/>
      <c r="F150" s="1"/>
      <c r="G150" s="1"/>
      <c r="H150" s="1"/>
      <c r="I150" s="1"/>
      <c r="J150" s="1"/>
      <c r="K150" s="1"/>
      <c r="L150" s="1"/>
      <c r="M150" s="1"/>
      <c r="N150" s="1"/>
      <c r="O150" s="1"/>
      <c r="P150" s="3"/>
      <c r="Q150" s="1"/>
      <c r="R150" s="1"/>
      <c r="S150" s="1"/>
      <c r="T150" s="1"/>
      <c r="U150" s="1"/>
      <c r="V150" s="1"/>
      <c r="W150" s="1"/>
      <c r="X150" s="1"/>
      <c r="Y150" s="1"/>
      <c r="Z150" s="1"/>
      <c r="AA150" s="1"/>
      <c r="AB150" s="1"/>
      <c r="AC150" s="1"/>
      <c r="AD150" s="1"/>
      <c r="AE150" s="1"/>
      <c r="AF150" s="1"/>
      <c r="AG150" s="1"/>
      <c r="AH150" s="1"/>
      <c r="AI150" s="1"/>
    </row>
    <row r="151" ht="15.75" customHeight="1">
      <c r="A151" s="1"/>
      <c r="B151" s="1"/>
      <c r="C151" s="3"/>
      <c r="D151" s="1"/>
      <c r="E151" s="1"/>
      <c r="F151" s="1"/>
      <c r="G151" s="1"/>
      <c r="H151" s="1"/>
      <c r="I151" s="1"/>
      <c r="J151" s="1"/>
      <c r="K151" s="1"/>
      <c r="L151" s="1"/>
      <c r="M151" s="1"/>
      <c r="N151" s="1"/>
      <c r="O151" s="1"/>
      <c r="P151" s="3"/>
      <c r="Q151" s="1"/>
      <c r="R151" s="1"/>
      <c r="S151" s="1"/>
      <c r="T151" s="1"/>
      <c r="U151" s="1"/>
      <c r="V151" s="1"/>
      <c r="W151" s="1"/>
      <c r="X151" s="1"/>
      <c r="Y151" s="1"/>
      <c r="Z151" s="1"/>
      <c r="AA151" s="1"/>
      <c r="AB151" s="1"/>
      <c r="AC151" s="1"/>
      <c r="AD151" s="1"/>
      <c r="AE151" s="1"/>
      <c r="AF151" s="1"/>
      <c r="AG151" s="1"/>
      <c r="AH151" s="1"/>
      <c r="AI151" s="1"/>
    </row>
    <row r="152" ht="15.75" customHeight="1">
      <c r="A152" s="1"/>
      <c r="B152" s="1"/>
      <c r="C152" s="3"/>
      <c r="D152" s="1"/>
      <c r="E152" s="1"/>
      <c r="F152" s="1"/>
      <c r="G152" s="1"/>
      <c r="H152" s="1"/>
      <c r="I152" s="1"/>
      <c r="J152" s="1"/>
      <c r="K152" s="1"/>
      <c r="L152" s="1"/>
      <c r="M152" s="1"/>
      <c r="N152" s="1"/>
      <c r="O152" s="1"/>
      <c r="P152" s="3"/>
      <c r="Q152" s="1"/>
      <c r="R152" s="1"/>
      <c r="S152" s="1"/>
      <c r="T152" s="1"/>
      <c r="U152" s="1"/>
      <c r="V152" s="1"/>
      <c r="W152" s="1"/>
      <c r="X152" s="1"/>
      <c r="Y152" s="1"/>
      <c r="Z152" s="1"/>
      <c r="AA152" s="1"/>
      <c r="AB152" s="1"/>
      <c r="AC152" s="1"/>
      <c r="AD152" s="1"/>
      <c r="AE152" s="1"/>
      <c r="AF152" s="1"/>
      <c r="AG152" s="1"/>
      <c r="AH152" s="1"/>
      <c r="AI152" s="1"/>
    </row>
    <row r="153" ht="15.75" customHeight="1">
      <c r="A153" s="1"/>
      <c r="B153" s="1"/>
      <c r="C153" s="3"/>
      <c r="D153" s="1"/>
      <c r="E153" s="1"/>
      <c r="F153" s="1"/>
      <c r="G153" s="1"/>
      <c r="H153" s="1"/>
      <c r="I153" s="1"/>
      <c r="J153" s="1"/>
      <c r="K153" s="1"/>
      <c r="L153" s="1"/>
      <c r="M153" s="1"/>
      <c r="N153" s="1"/>
      <c r="O153" s="1"/>
      <c r="P153" s="3"/>
      <c r="Q153" s="1"/>
      <c r="R153" s="1"/>
      <c r="S153" s="1"/>
      <c r="T153" s="1"/>
      <c r="U153" s="1"/>
      <c r="V153" s="1"/>
      <c r="W153" s="1"/>
      <c r="X153" s="1"/>
      <c r="Y153" s="1"/>
      <c r="Z153" s="1"/>
      <c r="AA153" s="1"/>
      <c r="AB153" s="1"/>
      <c r="AC153" s="1"/>
      <c r="AD153" s="1"/>
      <c r="AE153" s="1"/>
      <c r="AF153" s="1"/>
      <c r="AG153" s="1"/>
      <c r="AH153" s="1"/>
      <c r="AI153" s="1"/>
    </row>
    <row r="154" ht="15.75" customHeight="1">
      <c r="A154" s="1"/>
      <c r="B154" s="1"/>
      <c r="C154" s="3"/>
      <c r="D154" s="1"/>
      <c r="E154" s="1"/>
      <c r="F154" s="1"/>
      <c r="G154" s="1"/>
      <c r="H154" s="1"/>
      <c r="I154" s="1"/>
      <c r="J154" s="1"/>
      <c r="K154" s="1"/>
      <c r="L154" s="1"/>
      <c r="M154" s="1"/>
      <c r="N154" s="1"/>
      <c r="O154" s="1"/>
      <c r="P154" s="3"/>
      <c r="Q154" s="1"/>
      <c r="R154" s="1"/>
      <c r="S154" s="1"/>
      <c r="T154" s="1"/>
      <c r="U154" s="1"/>
      <c r="V154" s="1"/>
      <c r="W154" s="1"/>
      <c r="X154" s="1"/>
      <c r="Y154" s="1"/>
      <c r="Z154" s="1"/>
      <c r="AA154" s="1"/>
      <c r="AB154" s="1"/>
      <c r="AC154" s="1"/>
      <c r="AD154" s="1"/>
      <c r="AE154" s="1"/>
      <c r="AF154" s="1"/>
      <c r="AG154" s="1"/>
      <c r="AH154" s="1"/>
      <c r="AI154" s="1"/>
    </row>
    <row r="155" ht="15.75" customHeight="1">
      <c r="A155" s="1"/>
      <c r="B155" s="1"/>
      <c r="C155" s="3"/>
      <c r="D155" s="1"/>
      <c r="E155" s="1"/>
      <c r="F155" s="1"/>
      <c r="G155" s="1"/>
      <c r="H155" s="1"/>
      <c r="I155" s="1"/>
      <c r="J155" s="1"/>
      <c r="K155" s="1"/>
      <c r="L155" s="1"/>
      <c r="M155" s="1"/>
      <c r="N155" s="1"/>
      <c r="O155" s="1"/>
      <c r="P155" s="3"/>
      <c r="Q155" s="1"/>
      <c r="R155" s="1"/>
      <c r="S155" s="1"/>
      <c r="T155" s="1"/>
      <c r="U155" s="1"/>
      <c r="V155" s="1"/>
      <c r="W155" s="1"/>
      <c r="X155" s="1"/>
      <c r="Y155" s="1"/>
      <c r="Z155" s="1"/>
      <c r="AA155" s="1"/>
      <c r="AB155" s="1"/>
      <c r="AC155" s="1"/>
      <c r="AD155" s="1"/>
      <c r="AE155" s="1"/>
      <c r="AF155" s="1"/>
      <c r="AG155" s="1"/>
      <c r="AH155" s="1"/>
      <c r="AI155" s="1"/>
    </row>
    <row r="156" ht="15.75" customHeight="1">
      <c r="A156" s="1"/>
      <c r="B156" s="1"/>
      <c r="C156" s="3"/>
      <c r="D156" s="1"/>
      <c r="E156" s="1"/>
      <c r="F156" s="1"/>
      <c r="G156" s="1"/>
      <c r="H156" s="1"/>
      <c r="I156" s="1"/>
      <c r="J156" s="1"/>
      <c r="K156" s="1"/>
      <c r="L156" s="1"/>
      <c r="M156" s="1"/>
      <c r="N156" s="1"/>
      <c r="O156" s="1"/>
      <c r="P156" s="3"/>
      <c r="Q156" s="1"/>
      <c r="R156" s="1"/>
      <c r="S156" s="1"/>
      <c r="T156" s="1"/>
      <c r="U156" s="1"/>
      <c r="V156" s="1"/>
      <c r="W156" s="1"/>
      <c r="X156" s="1"/>
      <c r="Y156" s="1"/>
      <c r="Z156" s="1"/>
      <c r="AA156" s="1"/>
      <c r="AB156" s="1"/>
      <c r="AC156" s="1"/>
      <c r="AD156" s="1"/>
      <c r="AE156" s="1"/>
      <c r="AF156" s="1"/>
      <c r="AG156" s="1"/>
      <c r="AH156" s="1"/>
      <c r="AI156" s="1"/>
    </row>
    <row r="157" ht="15.75" customHeight="1">
      <c r="A157" s="1"/>
      <c r="B157" s="1"/>
      <c r="C157" s="3"/>
      <c r="D157" s="1"/>
      <c r="E157" s="1"/>
      <c r="F157" s="1"/>
      <c r="G157" s="1"/>
      <c r="H157" s="1"/>
      <c r="I157" s="1"/>
      <c r="J157" s="1"/>
      <c r="K157" s="1"/>
      <c r="L157" s="1"/>
      <c r="M157" s="1"/>
      <c r="N157" s="1"/>
      <c r="O157" s="1"/>
      <c r="P157" s="3"/>
      <c r="Q157" s="1"/>
      <c r="R157" s="1"/>
      <c r="S157" s="1"/>
      <c r="T157" s="1"/>
      <c r="U157" s="1"/>
      <c r="V157" s="1"/>
      <c r="W157" s="1"/>
      <c r="X157" s="1"/>
      <c r="Y157" s="1"/>
      <c r="Z157" s="1"/>
      <c r="AA157" s="1"/>
      <c r="AB157" s="1"/>
      <c r="AC157" s="1"/>
      <c r="AD157" s="1"/>
      <c r="AE157" s="1"/>
      <c r="AF157" s="1"/>
      <c r="AG157" s="1"/>
      <c r="AH157" s="1"/>
      <c r="AI157" s="1"/>
    </row>
    <row r="158" ht="15.75" customHeight="1">
      <c r="A158" s="1"/>
      <c r="B158" s="1"/>
      <c r="C158" s="3"/>
      <c r="D158" s="1"/>
      <c r="E158" s="1"/>
      <c r="F158" s="1"/>
      <c r="G158" s="1"/>
      <c r="H158" s="1"/>
      <c r="I158" s="1"/>
      <c r="J158" s="1"/>
      <c r="K158" s="1"/>
      <c r="L158" s="1"/>
      <c r="M158" s="1"/>
      <c r="N158" s="1"/>
      <c r="O158" s="1"/>
      <c r="P158" s="3"/>
      <c r="Q158" s="1"/>
      <c r="R158" s="1"/>
      <c r="S158" s="1"/>
      <c r="T158" s="1"/>
      <c r="U158" s="1"/>
      <c r="V158" s="1"/>
      <c r="W158" s="1"/>
      <c r="X158" s="1"/>
      <c r="Y158" s="1"/>
      <c r="Z158" s="1"/>
      <c r="AA158" s="1"/>
      <c r="AB158" s="1"/>
      <c r="AC158" s="1"/>
      <c r="AD158" s="1"/>
      <c r="AE158" s="1"/>
      <c r="AF158" s="1"/>
      <c r="AG158" s="1"/>
      <c r="AH158" s="1"/>
      <c r="AI158" s="1"/>
    </row>
    <row r="159" ht="15.75" customHeight="1">
      <c r="A159" s="1"/>
      <c r="B159" s="1"/>
      <c r="C159" s="3"/>
      <c r="D159" s="1"/>
      <c r="E159" s="1"/>
      <c r="F159" s="1"/>
      <c r="G159" s="1"/>
      <c r="H159" s="1"/>
      <c r="I159" s="1"/>
      <c r="J159" s="1"/>
      <c r="K159" s="1"/>
      <c r="L159" s="1"/>
      <c r="M159" s="1"/>
      <c r="N159" s="1"/>
      <c r="O159" s="1"/>
      <c r="P159" s="3"/>
      <c r="Q159" s="1"/>
      <c r="R159" s="1"/>
      <c r="S159" s="1"/>
      <c r="T159" s="1"/>
      <c r="U159" s="1"/>
      <c r="V159" s="1"/>
      <c r="W159" s="1"/>
      <c r="X159" s="1"/>
      <c r="Y159" s="1"/>
      <c r="Z159" s="1"/>
      <c r="AA159" s="1"/>
      <c r="AB159" s="1"/>
      <c r="AC159" s="1"/>
      <c r="AD159" s="1"/>
      <c r="AE159" s="1"/>
      <c r="AF159" s="1"/>
      <c r="AG159" s="1"/>
      <c r="AH159" s="1"/>
      <c r="AI159" s="1"/>
    </row>
    <row r="160" ht="15.75" customHeight="1">
      <c r="A160" s="1"/>
      <c r="B160" s="1"/>
      <c r="C160" s="3"/>
      <c r="D160" s="1"/>
      <c r="E160" s="1"/>
      <c r="F160" s="1"/>
      <c r="G160" s="1"/>
      <c r="H160" s="1"/>
      <c r="I160" s="1"/>
      <c r="J160" s="1"/>
      <c r="K160" s="1"/>
      <c r="L160" s="1"/>
      <c r="M160" s="1"/>
      <c r="N160" s="1"/>
      <c r="O160" s="1"/>
      <c r="P160" s="3"/>
      <c r="Q160" s="1"/>
      <c r="R160" s="1"/>
      <c r="S160" s="1"/>
      <c r="T160" s="1"/>
      <c r="U160" s="1"/>
      <c r="V160" s="1"/>
      <c r="W160" s="1"/>
      <c r="X160" s="1"/>
      <c r="Y160" s="1"/>
      <c r="Z160" s="1"/>
      <c r="AA160" s="1"/>
      <c r="AB160" s="1"/>
      <c r="AC160" s="1"/>
      <c r="AD160" s="1"/>
      <c r="AE160" s="1"/>
      <c r="AF160" s="1"/>
      <c r="AG160" s="1"/>
      <c r="AH160" s="1"/>
      <c r="AI160" s="1"/>
    </row>
    <row r="161" ht="15.75" customHeight="1">
      <c r="A161" s="1"/>
      <c r="B161" s="1"/>
      <c r="C161" s="3"/>
      <c r="D161" s="1"/>
      <c r="E161" s="1"/>
      <c r="F161" s="1"/>
      <c r="G161" s="1"/>
      <c r="H161" s="1"/>
      <c r="I161" s="1"/>
      <c r="J161" s="1"/>
      <c r="K161" s="1"/>
      <c r="L161" s="1"/>
      <c r="M161" s="1"/>
      <c r="N161" s="1"/>
      <c r="O161" s="1"/>
      <c r="P161" s="3"/>
      <c r="Q161" s="1"/>
      <c r="R161" s="1"/>
      <c r="S161" s="1"/>
      <c r="T161" s="1"/>
      <c r="U161" s="1"/>
      <c r="V161" s="1"/>
      <c r="W161" s="1"/>
      <c r="X161" s="1"/>
      <c r="Y161" s="1"/>
      <c r="Z161" s="1"/>
      <c r="AA161" s="1"/>
      <c r="AB161" s="1"/>
      <c r="AC161" s="1"/>
      <c r="AD161" s="1"/>
      <c r="AE161" s="1"/>
      <c r="AF161" s="1"/>
      <c r="AG161" s="1"/>
      <c r="AH161" s="1"/>
      <c r="AI161" s="1"/>
    </row>
    <row r="162" ht="15.75" customHeight="1">
      <c r="A162" s="1"/>
      <c r="B162" s="1"/>
      <c r="C162" s="3"/>
      <c r="D162" s="1"/>
      <c r="E162" s="1"/>
      <c r="F162" s="1"/>
      <c r="G162" s="1"/>
      <c r="H162" s="1"/>
      <c r="I162" s="1"/>
      <c r="J162" s="1"/>
      <c r="K162" s="1"/>
      <c r="L162" s="1"/>
      <c r="M162" s="1"/>
      <c r="N162" s="1"/>
      <c r="O162" s="1"/>
      <c r="P162" s="3"/>
      <c r="Q162" s="1"/>
      <c r="R162" s="1"/>
      <c r="S162" s="1"/>
      <c r="T162" s="1"/>
      <c r="U162" s="1"/>
      <c r="V162" s="1"/>
      <c r="W162" s="1"/>
      <c r="X162" s="1"/>
      <c r="Y162" s="1"/>
      <c r="Z162" s="1"/>
      <c r="AA162" s="1"/>
      <c r="AB162" s="1"/>
      <c r="AC162" s="1"/>
      <c r="AD162" s="1"/>
      <c r="AE162" s="1"/>
      <c r="AF162" s="1"/>
      <c r="AG162" s="1"/>
      <c r="AH162" s="1"/>
      <c r="AI162" s="1"/>
    </row>
    <row r="163" ht="15.75" customHeight="1">
      <c r="A163" s="1"/>
      <c r="B163" s="1"/>
      <c r="C163" s="3"/>
      <c r="D163" s="1"/>
      <c r="E163" s="1"/>
      <c r="F163" s="1"/>
      <c r="G163" s="1"/>
      <c r="H163" s="1"/>
      <c r="I163" s="1"/>
      <c r="J163" s="1"/>
      <c r="K163" s="1"/>
      <c r="L163" s="1"/>
      <c r="M163" s="1"/>
      <c r="N163" s="1"/>
      <c r="O163" s="1"/>
      <c r="P163" s="3"/>
      <c r="Q163" s="1"/>
      <c r="R163" s="1"/>
      <c r="S163" s="1"/>
      <c r="T163" s="1"/>
      <c r="U163" s="1"/>
      <c r="V163" s="1"/>
      <c r="W163" s="1"/>
      <c r="X163" s="1"/>
      <c r="Y163" s="1"/>
      <c r="Z163" s="1"/>
      <c r="AA163" s="1"/>
      <c r="AB163" s="1"/>
      <c r="AC163" s="1"/>
      <c r="AD163" s="1"/>
      <c r="AE163" s="1"/>
      <c r="AF163" s="1"/>
      <c r="AG163" s="1"/>
      <c r="AH163" s="1"/>
      <c r="AI163" s="1"/>
    </row>
    <row r="164" ht="15.75" customHeight="1">
      <c r="A164" s="1"/>
      <c r="B164" s="1"/>
      <c r="C164" s="3"/>
      <c r="D164" s="1"/>
      <c r="E164" s="1"/>
      <c r="F164" s="1"/>
      <c r="G164" s="1"/>
      <c r="H164" s="1"/>
      <c r="I164" s="1"/>
      <c r="J164" s="1"/>
      <c r="K164" s="1"/>
      <c r="L164" s="1"/>
      <c r="M164" s="1"/>
      <c r="N164" s="1"/>
      <c r="O164" s="1"/>
      <c r="P164" s="3"/>
      <c r="Q164" s="1"/>
      <c r="R164" s="1"/>
      <c r="S164" s="1"/>
      <c r="T164" s="1"/>
      <c r="U164" s="1"/>
      <c r="V164" s="1"/>
      <c r="W164" s="1"/>
      <c r="X164" s="1"/>
      <c r="Y164" s="1"/>
      <c r="Z164" s="1"/>
      <c r="AA164" s="1"/>
      <c r="AB164" s="1"/>
      <c r="AC164" s="1"/>
      <c r="AD164" s="1"/>
      <c r="AE164" s="1"/>
      <c r="AF164" s="1"/>
      <c r="AG164" s="1"/>
      <c r="AH164" s="1"/>
      <c r="AI164" s="1"/>
    </row>
    <row r="165" ht="15.75" customHeight="1">
      <c r="A165" s="1"/>
      <c r="B165" s="1"/>
      <c r="C165" s="3"/>
      <c r="D165" s="1"/>
      <c r="E165" s="1"/>
      <c r="F165" s="1"/>
      <c r="G165" s="1"/>
      <c r="H165" s="1"/>
      <c r="I165" s="1"/>
      <c r="J165" s="1"/>
      <c r="K165" s="1"/>
      <c r="L165" s="1"/>
      <c r="M165" s="1"/>
      <c r="N165" s="1"/>
      <c r="O165" s="1"/>
      <c r="P165" s="3"/>
      <c r="Q165" s="1"/>
      <c r="R165" s="1"/>
      <c r="S165" s="1"/>
      <c r="T165" s="1"/>
      <c r="U165" s="1"/>
      <c r="V165" s="1"/>
      <c r="W165" s="1"/>
      <c r="X165" s="1"/>
      <c r="Y165" s="1"/>
      <c r="Z165" s="1"/>
      <c r="AA165" s="1"/>
      <c r="AB165" s="1"/>
      <c r="AC165" s="1"/>
      <c r="AD165" s="1"/>
      <c r="AE165" s="1"/>
      <c r="AF165" s="1"/>
      <c r="AG165" s="1"/>
      <c r="AH165" s="1"/>
      <c r="AI165" s="1"/>
    </row>
    <row r="166" ht="15.75" customHeight="1">
      <c r="A166" s="1"/>
      <c r="B166" s="1"/>
      <c r="C166" s="3"/>
      <c r="D166" s="1"/>
      <c r="E166" s="1"/>
      <c r="F166" s="1"/>
      <c r="G166" s="1"/>
      <c r="H166" s="1"/>
      <c r="I166" s="1"/>
      <c r="J166" s="1"/>
      <c r="K166" s="1"/>
      <c r="L166" s="1"/>
      <c r="M166" s="1"/>
      <c r="N166" s="1"/>
      <c r="O166" s="1"/>
      <c r="P166" s="3"/>
      <c r="Q166" s="1"/>
      <c r="R166" s="1"/>
      <c r="S166" s="1"/>
      <c r="T166" s="1"/>
      <c r="U166" s="1"/>
      <c r="V166" s="1"/>
      <c r="W166" s="1"/>
      <c r="X166" s="1"/>
      <c r="Y166" s="1"/>
      <c r="Z166" s="1"/>
      <c r="AA166" s="1"/>
      <c r="AB166" s="1"/>
      <c r="AC166" s="1"/>
      <c r="AD166" s="1"/>
      <c r="AE166" s="1"/>
      <c r="AF166" s="1"/>
      <c r="AG166" s="1"/>
      <c r="AH166" s="1"/>
      <c r="AI166" s="1"/>
    </row>
    <row r="167" ht="15.75" customHeight="1">
      <c r="A167" s="1"/>
      <c r="B167" s="1"/>
      <c r="C167" s="3"/>
      <c r="D167" s="1"/>
      <c r="E167" s="1"/>
      <c r="F167" s="1"/>
      <c r="G167" s="1"/>
      <c r="H167" s="1"/>
      <c r="I167" s="1"/>
      <c r="J167" s="1"/>
      <c r="K167" s="1"/>
      <c r="L167" s="1"/>
      <c r="M167" s="1"/>
      <c r="N167" s="1"/>
      <c r="O167" s="1"/>
      <c r="P167" s="3"/>
      <c r="Q167" s="1"/>
      <c r="R167" s="1"/>
      <c r="S167" s="1"/>
      <c r="T167" s="1"/>
      <c r="U167" s="1"/>
      <c r="V167" s="1"/>
      <c r="W167" s="1"/>
      <c r="X167" s="1"/>
      <c r="Y167" s="1"/>
      <c r="Z167" s="1"/>
      <c r="AA167" s="1"/>
      <c r="AB167" s="1"/>
      <c r="AC167" s="1"/>
      <c r="AD167" s="1"/>
      <c r="AE167" s="1"/>
      <c r="AF167" s="1"/>
      <c r="AG167" s="1"/>
      <c r="AH167" s="1"/>
      <c r="AI167" s="1"/>
    </row>
    <row r="168" ht="15.75" customHeight="1">
      <c r="A168" s="1"/>
      <c r="B168" s="1"/>
      <c r="C168" s="3"/>
      <c r="D168" s="1"/>
      <c r="E168" s="1"/>
      <c r="F168" s="1"/>
      <c r="G168" s="1"/>
      <c r="H168" s="1"/>
      <c r="I168" s="1"/>
      <c r="J168" s="1"/>
      <c r="K168" s="1"/>
      <c r="L168" s="1"/>
      <c r="M168" s="1"/>
      <c r="N168" s="1"/>
      <c r="O168" s="1"/>
      <c r="P168" s="3"/>
      <c r="Q168" s="1"/>
      <c r="R168" s="1"/>
      <c r="S168" s="1"/>
      <c r="T168" s="1"/>
      <c r="U168" s="1"/>
      <c r="V168" s="1"/>
      <c r="W168" s="1"/>
      <c r="X168" s="1"/>
      <c r="Y168" s="1"/>
      <c r="Z168" s="1"/>
      <c r="AA168" s="1"/>
      <c r="AB168" s="1"/>
      <c r="AC168" s="1"/>
      <c r="AD168" s="1"/>
      <c r="AE168" s="1"/>
      <c r="AF168" s="1"/>
      <c r="AG168" s="1"/>
      <c r="AH168" s="1"/>
      <c r="AI168" s="1"/>
    </row>
    <row r="169" ht="15.75" customHeight="1">
      <c r="A169" s="1"/>
      <c r="B169" s="1"/>
      <c r="C169" s="3"/>
      <c r="D169" s="1"/>
      <c r="E169" s="1"/>
      <c r="F169" s="1"/>
      <c r="G169" s="1"/>
      <c r="H169" s="1"/>
      <c r="I169" s="1"/>
      <c r="J169" s="1"/>
      <c r="K169" s="1"/>
      <c r="L169" s="1"/>
      <c r="M169" s="1"/>
      <c r="N169" s="1"/>
      <c r="O169" s="1"/>
      <c r="P169" s="3"/>
      <c r="Q169" s="1"/>
      <c r="R169" s="1"/>
      <c r="S169" s="1"/>
      <c r="T169" s="1"/>
      <c r="U169" s="1"/>
      <c r="V169" s="1"/>
      <c r="W169" s="1"/>
      <c r="X169" s="1"/>
      <c r="Y169" s="1"/>
      <c r="Z169" s="1"/>
      <c r="AA169" s="1"/>
      <c r="AB169" s="1"/>
      <c r="AC169" s="1"/>
      <c r="AD169" s="1"/>
      <c r="AE169" s="1"/>
      <c r="AF169" s="1"/>
      <c r="AG169" s="1"/>
      <c r="AH169" s="1"/>
      <c r="AI169" s="1"/>
    </row>
    <row r="170" ht="15.75" customHeight="1">
      <c r="A170" s="1"/>
      <c r="B170" s="1"/>
      <c r="C170" s="3"/>
      <c r="D170" s="1"/>
      <c r="E170" s="1"/>
      <c r="F170" s="1"/>
      <c r="G170" s="1"/>
      <c r="H170" s="1"/>
      <c r="I170" s="1"/>
      <c r="J170" s="1"/>
      <c r="K170" s="1"/>
      <c r="L170" s="1"/>
      <c r="M170" s="1"/>
      <c r="N170" s="1"/>
      <c r="O170" s="1"/>
      <c r="P170" s="3"/>
      <c r="Q170" s="1"/>
      <c r="R170" s="1"/>
      <c r="S170" s="1"/>
      <c r="T170" s="1"/>
      <c r="U170" s="1"/>
      <c r="V170" s="1"/>
      <c r="W170" s="1"/>
      <c r="X170" s="1"/>
      <c r="Y170" s="1"/>
      <c r="Z170" s="1"/>
      <c r="AA170" s="1"/>
      <c r="AB170" s="1"/>
      <c r="AC170" s="1"/>
      <c r="AD170" s="1"/>
      <c r="AE170" s="1"/>
      <c r="AF170" s="1"/>
      <c r="AG170" s="1"/>
      <c r="AH170" s="1"/>
      <c r="AI170" s="1"/>
    </row>
    <row r="171" ht="15.75" customHeight="1">
      <c r="A171" s="1"/>
      <c r="B171" s="1"/>
      <c r="C171" s="3"/>
      <c r="D171" s="1"/>
      <c r="E171" s="1"/>
      <c r="F171" s="1"/>
      <c r="G171" s="1"/>
      <c r="H171" s="1"/>
      <c r="I171" s="1"/>
      <c r="J171" s="1"/>
      <c r="K171" s="1"/>
      <c r="L171" s="1"/>
      <c r="M171" s="1"/>
      <c r="N171" s="1"/>
      <c r="O171" s="1"/>
      <c r="P171" s="3"/>
      <c r="Q171" s="1"/>
      <c r="R171" s="1"/>
      <c r="S171" s="1"/>
      <c r="T171" s="1"/>
      <c r="U171" s="1"/>
      <c r="V171" s="1"/>
      <c r="W171" s="1"/>
      <c r="X171" s="1"/>
      <c r="Y171" s="1"/>
      <c r="Z171" s="1"/>
      <c r="AA171" s="1"/>
      <c r="AB171" s="1"/>
      <c r="AC171" s="1"/>
      <c r="AD171" s="1"/>
      <c r="AE171" s="1"/>
      <c r="AF171" s="1"/>
      <c r="AG171" s="1"/>
      <c r="AH171" s="1"/>
      <c r="AI171" s="1"/>
    </row>
    <row r="172" ht="15.75" customHeight="1">
      <c r="A172" s="1"/>
      <c r="B172" s="1"/>
      <c r="C172" s="3"/>
      <c r="D172" s="1"/>
      <c r="E172" s="1"/>
      <c r="F172" s="1"/>
      <c r="G172" s="1"/>
      <c r="H172" s="1"/>
      <c r="I172" s="1"/>
      <c r="J172" s="1"/>
      <c r="K172" s="1"/>
      <c r="L172" s="1"/>
      <c r="M172" s="1"/>
      <c r="N172" s="1"/>
      <c r="O172" s="1"/>
      <c r="P172" s="3"/>
      <c r="Q172" s="1"/>
      <c r="R172" s="1"/>
      <c r="S172" s="1"/>
      <c r="T172" s="1"/>
      <c r="U172" s="1"/>
      <c r="V172" s="1"/>
      <c r="W172" s="1"/>
      <c r="X172" s="1"/>
      <c r="Y172" s="1"/>
      <c r="Z172" s="1"/>
      <c r="AA172" s="1"/>
      <c r="AB172" s="1"/>
      <c r="AC172" s="1"/>
      <c r="AD172" s="1"/>
      <c r="AE172" s="1"/>
      <c r="AF172" s="1"/>
      <c r="AG172" s="1"/>
      <c r="AH172" s="1"/>
      <c r="AI172" s="1"/>
    </row>
    <row r="173" ht="15.75" customHeight="1">
      <c r="A173" s="1"/>
      <c r="B173" s="1"/>
      <c r="C173" s="3"/>
      <c r="D173" s="1"/>
      <c r="E173" s="1"/>
      <c r="F173" s="1"/>
      <c r="G173" s="1"/>
      <c r="H173" s="1"/>
      <c r="I173" s="1"/>
      <c r="J173" s="1"/>
      <c r="K173" s="1"/>
      <c r="L173" s="1"/>
      <c r="M173" s="1"/>
      <c r="N173" s="1"/>
      <c r="O173" s="1"/>
      <c r="P173" s="3"/>
      <c r="Q173" s="1"/>
      <c r="R173" s="1"/>
      <c r="S173" s="1"/>
      <c r="T173" s="1"/>
      <c r="U173" s="1"/>
      <c r="V173" s="1"/>
      <c r="W173" s="1"/>
      <c r="X173" s="1"/>
      <c r="Y173" s="1"/>
      <c r="Z173" s="1"/>
      <c r="AA173" s="1"/>
      <c r="AB173" s="1"/>
      <c r="AC173" s="1"/>
      <c r="AD173" s="1"/>
      <c r="AE173" s="1"/>
      <c r="AF173" s="1"/>
      <c r="AG173" s="1"/>
      <c r="AH173" s="1"/>
      <c r="AI173" s="1"/>
    </row>
    <row r="174" ht="15.75" customHeight="1">
      <c r="A174" s="1"/>
      <c r="B174" s="1"/>
      <c r="C174" s="3"/>
      <c r="D174" s="1"/>
      <c r="E174" s="1"/>
      <c r="F174" s="1"/>
      <c r="G174" s="1"/>
      <c r="H174" s="1"/>
      <c r="I174" s="1"/>
      <c r="J174" s="1"/>
      <c r="K174" s="1"/>
      <c r="L174" s="1"/>
      <c r="M174" s="1"/>
      <c r="N174" s="1"/>
      <c r="O174" s="1"/>
      <c r="P174" s="3"/>
      <c r="Q174" s="1"/>
      <c r="R174" s="1"/>
      <c r="S174" s="1"/>
      <c r="T174" s="1"/>
      <c r="U174" s="1"/>
      <c r="V174" s="1"/>
      <c r="W174" s="1"/>
      <c r="X174" s="1"/>
      <c r="Y174" s="1"/>
      <c r="Z174" s="1"/>
      <c r="AA174" s="1"/>
      <c r="AB174" s="1"/>
      <c r="AC174" s="1"/>
      <c r="AD174" s="1"/>
      <c r="AE174" s="1"/>
      <c r="AF174" s="1"/>
      <c r="AG174" s="1"/>
      <c r="AH174" s="1"/>
      <c r="AI174" s="1"/>
    </row>
    <row r="175" ht="15.75" customHeight="1">
      <c r="A175" s="1"/>
      <c r="B175" s="1"/>
      <c r="C175" s="3"/>
      <c r="D175" s="1"/>
      <c r="E175" s="1"/>
      <c r="F175" s="1"/>
      <c r="G175" s="1"/>
      <c r="H175" s="1"/>
      <c r="I175" s="1"/>
      <c r="J175" s="1"/>
      <c r="K175" s="1"/>
      <c r="L175" s="1"/>
      <c r="M175" s="1"/>
      <c r="N175" s="1"/>
      <c r="O175" s="1"/>
      <c r="P175" s="3"/>
      <c r="Q175" s="1"/>
      <c r="R175" s="1"/>
      <c r="S175" s="1"/>
      <c r="T175" s="1"/>
      <c r="U175" s="1"/>
      <c r="V175" s="1"/>
      <c r="W175" s="1"/>
      <c r="X175" s="1"/>
      <c r="Y175" s="1"/>
      <c r="Z175" s="1"/>
      <c r="AA175" s="1"/>
      <c r="AB175" s="1"/>
      <c r="AC175" s="1"/>
      <c r="AD175" s="1"/>
      <c r="AE175" s="1"/>
      <c r="AF175" s="1"/>
      <c r="AG175" s="1"/>
      <c r="AH175" s="1"/>
      <c r="AI175" s="1"/>
    </row>
    <row r="176" ht="15.75" customHeight="1">
      <c r="A176" s="1"/>
      <c r="B176" s="1"/>
      <c r="C176" s="3"/>
      <c r="D176" s="1"/>
      <c r="E176" s="1"/>
      <c r="F176" s="1"/>
      <c r="G176" s="1"/>
      <c r="H176" s="1"/>
      <c r="I176" s="1"/>
      <c r="J176" s="1"/>
      <c r="K176" s="1"/>
      <c r="L176" s="1"/>
      <c r="M176" s="1"/>
      <c r="N176" s="1"/>
      <c r="O176" s="1"/>
      <c r="P176" s="3"/>
      <c r="Q176" s="1"/>
      <c r="R176" s="1"/>
      <c r="S176" s="1"/>
      <c r="T176" s="1"/>
      <c r="U176" s="1"/>
      <c r="V176" s="1"/>
      <c r="W176" s="1"/>
      <c r="X176" s="1"/>
      <c r="Y176" s="1"/>
      <c r="Z176" s="1"/>
      <c r="AA176" s="1"/>
      <c r="AB176" s="1"/>
      <c r="AC176" s="1"/>
      <c r="AD176" s="1"/>
      <c r="AE176" s="1"/>
      <c r="AF176" s="1"/>
      <c r="AG176" s="1"/>
      <c r="AH176" s="1"/>
      <c r="AI176" s="1"/>
    </row>
    <row r="177" ht="15.75" customHeight="1">
      <c r="A177" s="1"/>
      <c r="B177" s="1"/>
      <c r="C177" s="3"/>
      <c r="D177" s="1"/>
      <c r="E177" s="1"/>
      <c r="F177" s="1"/>
      <c r="G177" s="1"/>
      <c r="H177" s="1"/>
      <c r="I177" s="1"/>
      <c r="J177" s="1"/>
      <c r="K177" s="1"/>
      <c r="L177" s="1"/>
      <c r="M177" s="1"/>
      <c r="N177" s="1"/>
      <c r="O177" s="1"/>
      <c r="P177" s="3"/>
      <c r="Q177" s="1"/>
      <c r="R177" s="1"/>
      <c r="S177" s="1"/>
      <c r="T177" s="1"/>
      <c r="U177" s="1"/>
      <c r="V177" s="1"/>
      <c r="W177" s="1"/>
      <c r="X177" s="1"/>
      <c r="Y177" s="1"/>
      <c r="Z177" s="1"/>
      <c r="AA177" s="1"/>
      <c r="AB177" s="1"/>
      <c r="AC177" s="1"/>
      <c r="AD177" s="1"/>
      <c r="AE177" s="1"/>
      <c r="AF177" s="1"/>
      <c r="AG177" s="1"/>
      <c r="AH177" s="1"/>
      <c r="AI177" s="1"/>
    </row>
    <row r="178" ht="15.75" customHeight="1">
      <c r="A178" s="1"/>
      <c r="B178" s="1"/>
      <c r="C178" s="3"/>
      <c r="D178" s="1"/>
      <c r="E178" s="1"/>
      <c r="F178" s="1"/>
      <c r="G178" s="1"/>
      <c r="H178" s="1"/>
      <c r="I178" s="1"/>
      <c r="J178" s="1"/>
      <c r="K178" s="1"/>
      <c r="L178" s="1"/>
      <c r="M178" s="1"/>
      <c r="N178" s="1"/>
      <c r="O178" s="1"/>
      <c r="P178" s="3"/>
      <c r="Q178" s="1"/>
      <c r="R178" s="1"/>
      <c r="S178" s="1"/>
      <c r="T178" s="1"/>
      <c r="U178" s="1"/>
      <c r="V178" s="1"/>
      <c r="W178" s="1"/>
      <c r="X178" s="1"/>
      <c r="Y178" s="1"/>
      <c r="Z178" s="1"/>
      <c r="AA178" s="1"/>
      <c r="AB178" s="1"/>
      <c r="AC178" s="1"/>
      <c r="AD178" s="1"/>
      <c r="AE178" s="1"/>
      <c r="AF178" s="1"/>
      <c r="AG178" s="1"/>
      <c r="AH178" s="1"/>
      <c r="AI178" s="1"/>
    </row>
    <row r="179" ht="15.75" customHeight="1">
      <c r="A179" s="1"/>
      <c r="B179" s="1"/>
      <c r="C179" s="3"/>
      <c r="D179" s="1"/>
      <c r="E179" s="1"/>
      <c r="F179" s="1"/>
      <c r="G179" s="1"/>
      <c r="H179" s="1"/>
      <c r="I179" s="1"/>
      <c r="J179" s="1"/>
      <c r="K179" s="1"/>
      <c r="L179" s="1"/>
      <c r="M179" s="1"/>
      <c r="N179" s="1"/>
      <c r="O179" s="1"/>
      <c r="P179" s="3"/>
      <c r="Q179" s="1"/>
      <c r="R179" s="1"/>
      <c r="S179" s="1"/>
      <c r="T179" s="1"/>
      <c r="U179" s="1"/>
      <c r="V179" s="1"/>
      <c r="W179" s="1"/>
      <c r="X179" s="1"/>
      <c r="Y179" s="1"/>
      <c r="Z179" s="1"/>
      <c r="AA179" s="1"/>
      <c r="AB179" s="1"/>
      <c r="AC179" s="1"/>
      <c r="AD179" s="1"/>
      <c r="AE179" s="1"/>
      <c r="AF179" s="1"/>
      <c r="AG179" s="1"/>
      <c r="AH179" s="1"/>
      <c r="AI179" s="1"/>
    </row>
    <row r="180" ht="15.75" customHeight="1">
      <c r="A180" s="1"/>
      <c r="B180" s="1"/>
      <c r="C180" s="3"/>
      <c r="D180" s="1"/>
      <c r="E180" s="1"/>
      <c r="F180" s="1"/>
      <c r="G180" s="1"/>
      <c r="H180" s="1"/>
      <c r="I180" s="1"/>
      <c r="J180" s="1"/>
      <c r="K180" s="1"/>
      <c r="L180" s="1"/>
      <c r="M180" s="1"/>
      <c r="N180" s="1"/>
      <c r="O180" s="1"/>
      <c r="P180" s="3"/>
      <c r="Q180" s="1"/>
      <c r="R180" s="1"/>
      <c r="S180" s="1"/>
      <c r="T180" s="1"/>
      <c r="U180" s="1"/>
      <c r="V180" s="1"/>
      <c r="W180" s="1"/>
      <c r="X180" s="1"/>
      <c r="Y180" s="1"/>
      <c r="Z180" s="1"/>
      <c r="AA180" s="1"/>
      <c r="AB180" s="1"/>
      <c r="AC180" s="1"/>
      <c r="AD180" s="1"/>
      <c r="AE180" s="1"/>
      <c r="AF180" s="1"/>
      <c r="AG180" s="1"/>
      <c r="AH180" s="1"/>
      <c r="AI180" s="1"/>
    </row>
    <row r="181" ht="15.75" customHeight="1">
      <c r="A181" s="1"/>
      <c r="B181" s="1"/>
      <c r="C181" s="3"/>
      <c r="D181" s="1"/>
      <c r="E181" s="1"/>
      <c r="F181" s="1"/>
      <c r="G181" s="1"/>
      <c r="H181" s="1"/>
      <c r="I181" s="1"/>
      <c r="J181" s="1"/>
      <c r="K181" s="1"/>
      <c r="L181" s="1"/>
      <c r="M181" s="1"/>
      <c r="N181" s="1"/>
      <c r="O181" s="1"/>
      <c r="P181" s="3"/>
      <c r="Q181" s="1"/>
      <c r="R181" s="1"/>
      <c r="S181" s="1"/>
      <c r="T181" s="1"/>
      <c r="U181" s="1"/>
      <c r="V181" s="1"/>
      <c r="W181" s="1"/>
      <c r="X181" s="1"/>
      <c r="Y181" s="1"/>
      <c r="Z181" s="1"/>
      <c r="AA181" s="1"/>
      <c r="AB181" s="1"/>
      <c r="AC181" s="1"/>
      <c r="AD181" s="1"/>
      <c r="AE181" s="1"/>
      <c r="AF181" s="1"/>
      <c r="AG181" s="1"/>
      <c r="AH181" s="1"/>
      <c r="AI181" s="1"/>
    </row>
    <row r="182" ht="15.75" customHeight="1">
      <c r="A182" s="1"/>
      <c r="B182" s="1"/>
      <c r="C182" s="3"/>
      <c r="D182" s="1"/>
      <c r="E182" s="1"/>
      <c r="F182" s="1"/>
      <c r="G182" s="1"/>
      <c r="H182" s="1"/>
      <c r="I182" s="1"/>
      <c r="J182" s="1"/>
      <c r="K182" s="1"/>
      <c r="L182" s="1"/>
      <c r="M182" s="1"/>
      <c r="N182" s="1"/>
      <c r="O182" s="1"/>
      <c r="P182" s="3"/>
      <c r="Q182" s="1"/>
      <c r="R182" s="1"/>
      <c r="S182" s="1"/>
      <c r="T182" s="1"/>
      <c r="U182" s="1"/>
      <c r="V182" s="1"/>
      <c r="W182" s="1"/>
      <c r="X182" s="1"/>
      <c r="Y182" s="1"/>
      <c r="Z182" s="1"/>
      <c r="AA182" s="1"/>
      <c r="AB182" s="1"/>
      <c r="AC182" s="1"/>
      <c r="AD182" s="1"/>
      <c r="AE182" s="1"/>
      <c r="AF182" s="1"/>
      <c r="AG182" s="1"/>
      <c r="AH182" s="1"/>
      <c r="AI182" s="1"/>
    </row>
    <row r="183" ht="15.75" customHeight="1">
      <c r="A183" s="1"/>
      <c r="B183" s="1"/>
      <c r="C183" s="3"/>
      <c r="D183" s="1"/>
      <c r="E183" s="1"/>
      <c r="F183" s="1"/>
      <c r="G183" s="1"/>
      <c r="H183" s="1"/>
      <c r="I183" s="1"/>
      <c r="J183" s="1"/>
      <c r="K183" s="1"/>
      <c r="L183" s="1"/>
      <c r="M183" s="1"/>
      <c r="N183" s="1"/>
      <c r="O183" s="1"/>
      <c r="P183" s="3"/>
      <c r="Q183" s="1"/>
      <c r="R183" s="1"/>
      <c r="S183" s="1"/>
      <c r="T183" s="1"/>
      <c r="U183" s="1"/>
      <c r="V183" s="1"/>
      <c r="W183" s="1"/>
      <c r="X183" s="1"/>
      <c r="Y183" s="1"/>
      <c r="Z183" s="1"/>
      <c r="AA183" s="1"/>
      <c r="AB183" s="1"/>
      <c r="AC183" s="1"/>
      <c r="AD183" s="1"/>
      <c r="AE183" s="1"/>
      <c r="AF183" s="1"/>
      <c r="AG183" s="1"/>
      <c r="AH183" s="1"/>
      <c r="AI183" s="1"/>
    </row>
    <row r="184" ht="15.75" customHeight="1">
      <c r="A184" s="1"/>
      <c r="B184" s="1"/>
      <c r="C184" s="3"/>
      <c r="D184" s="1"/>
      <c r="E184" s="1"/>
      <c r="F184" s="1"/>
      <c r="G184" s="1"/>
      <c r="H184" s="1"/>
      <c r="I184" s="1"/>
      <c r="J184" s="1"/>
      <c r="K184" s="1"/>
      <c r="L184" s="1"/>
      <c r="M184" s="1"/>
      <c r="N184" s="1"/>
      <c r="O184" s="1"/>
      <c r="P184" s="3"/>
      <c r="Q184" s="1"/>
      <c r="R184" s="1"/>
      <c r="S184" s="1"/>
      <c r="T184" s="1"/>
      <c r="U184" s="1"/>
      <c r="V184" s="1"/>
      <c r="W184" s="1"/>
      <c r="X184" s="1"/>
      <c r="Y184" s="1"/>
      <c r="Z184" s="1"/>
      <c r="AA184" s="1"/>
      <c r="AB184" s="1"/>
      <c r="AC184" s="1"/>
      <c r="AD184" s="1"/>
      <c r="AE184" s="1"/>
      <c r="AF184" s="1"/>
      <c r="AG184" s="1"/>
      <c r="AH184" s="1"/>
      <c r="AI184" s="1"/>
    </row>
    <row r="185" ht="15.75" customHeight="1">
      <c r="A185" s="1"/>
      <c r="B185" s="1"/>
      <c r="C185" s="3"/>
      <c r="D185" s="1"/>
      <c r="E185" s="1"/>
      <c r="F185" s="1"/>
      <c r="G185" s="1"/>
      <c r="H185" s="1"/>
      <c r="I185" s="1"/>
      <c r="J185" s="1"/>
      <c r="K185" s="1"/>
      <c r="L185" s="1"/>
      <c r="M185" s="1"/>
      <c r="N185" s="1"/>
      <c r="O185" s="1"/>
      <c r="P185" s="3"/>
      <c r="Q185" s="1"/>
      <c r="R185" s="1"/>
      <c r="S185" s="1"/>
      <c r="T185" s="1"/>
      <c r="U185" s="1"/>
      <c r="V185" s="1"/>
      <c r="W185" s="1"/>
      <c r="X185" s="1"/>
      <c r="Y185" s="1"/>
      <c r="Z185" s="1"/>
      <c r="AA185" s="1"/>
      <c r="AB185" s="1"/>
      <c r="AC185" s="1"/>
      <c r="AD185" s="1"/>
      <c r="AE185" s="1"/>
      <c r="AF185" s="1"/>
      <c r="AG185" s="1"/>
      <c r="AH185" s="1"/>
      <c r="AI185" s="1"/>
    </row>
    <row r="186" ht="15.75" customHeight="1">
      <c r="A186" s="1"/>
      <c r="B186" s="1"/>
      <c r="C186" s="3"/>
      <c r="D186" s="1"/>
      <c r="E186" s="1"/>
      <c r="F186" s="1"/>
      <c r="G186" s="1"/>
      <c r="H186" s="1"/>
      <c r="I186" s="1"/>
      <c r="J186" s="1"/>
      <c r="K186" s="1"/>
      <c r="L186" s="1"/>
      <c r="M186" s="1"/>
      <c r="N186" s="1"/>
      <c r="O186" s="1"/>
      <c r="P186" s="3"/>
      <c r="Q186" s="1"/>
      <c r="R186" s="1"/>
      <c r="S186" s="1"/>
      <c r="T186" s="1"/>
      <c r="U186" s="1"/>
      <c r="V186" s="1"/>
      <c r="W186" s="1"/>
      <c r="X186" s="1"/>
      <c r="Y186" s="1"/>
      <c r="Z186" s="1"/>
      <c r="AA186" s="1"/>
      <c r="AB186" s="1"/>
      <c r="AC186" s="1"/>
      <c r="AD186" s="1"/>
      <c r="AE186" s="1"/>
      <c r="AF186" s="1"/>
      <c r="AG186" s="1"/>
      <c r="AH186" s="1"/>
      <c r="AI186" s="1"/>
    </row>
    <row r="187" ht="15.75" customHeight="1">
      <c r="A187" s="1"/>
      <c r="B187" s="1"/>
      <c r="C187" s="3"/>
      <c r="D187" s="1"/>
      <c r="E187" s="1"/>
      <c r="F187" s="1"/>
      <c r="G187" s="1"/>
      <c r="H187" s="1"/>
      <c r="I187" s="1"/>
      <c r="J187" s="1"/>
      <c r="K187" s="1"/>
      <c r="L187" s="1"/>
      <c r="M187" s="1"/>
      <c r="N187" s="1"/>
      <c r="O187" s="1"/>
      <c r="P187" s="3"/>
      <c r="Q187" s="1"/>
      <c r="R187" s="1"/>
      <c r="S187" s="1"/>
      <c r="T187" s="1"/>
      <c r="U187" s="1"/>
      <c r="V187" s="1"/>
      <c r="W187" s="1"/>
      <c r="X187" s="1"/>
      <c r="Y187" s="1"/>
      <c r="Z187" s="1"/>
      <c r="AA187" s="1"/>
      <c r="AB187" s="1"/>
      <c r="AC187" s="1"/>
      <c r="AD187" s="1"/>
      <c r="AE187" s="1"/>
      <c r="AF187" s="1"/>
      <c r="AG187" s="1"/>
      <c r="AH187" s="1"/>
      <c r="AI187" s="1"/>
    </row>
    <row r="188" ht="15.75" customHeight="1">
      <c r="A188" s="1"/>
      <c r="B188" s="1"/>
      <c r="C188" s="3"/>
      <c r="D188" s="1"/>
      <c r="E188" s="1"/>
      <c r="F188" s="1"/>
      <c r="G188" s="1"/>
      <c r="H188" s="1"/>
      <c r="I188" s="1"/>
      <c r="J188" s="1"/>
      <c r="K188" s="1"/>
      <c r="L188" s="1"/>
      <c r="M188" s="1"/>
      <c r="N188" s="1"/>
      <c r="O188" s="1"/>
      <c r="P188" s="3"/>
      <c r="Q188" s="1"/>
      <c r="R188" s="1"/>
      <c r="S188" s="1"/>
      <c r="T188" s="1"/>
      <c r="U188" s="1"/>
      <c r="V188" s="1"/>
      <c r="W188" s="1"/>
      <c r="X188" s="1"/>
      <c r="Y188" s="1"/>
      <c r="Z188" s="1"/>
      <c r="AA188" s="1"/>
      <c r="AB188" s="1"/>
      <c r="AC188" s="1"/>
      <c r="AD188" s="1"/>
      <c r="AE188" s="1"/>
      <c r="AF188" s="1"/>
      <c r="AG188" s="1"/>
      <c r="AH188" s="1"/>
      <c r="AI188" s="1"/>
    </row>
    <row r="189" ht="15.75" customHeight="1">
      <c r="A189" s="1"/>
      <c r="B189" s="1"/>
      <c r="C189" s="3"/>
      <c r="D189" s="1"/>
      <c r="E189" s="1"/>
      <c r="F189" s="1"/>
      <c r="G189" s="1"/>
      <c r="H189" s="1"/>
      <c r="I189" s="1"/>
      <c r="J189" s="1"/>
      <c r="K189" s="1"/>
      <c r="L189" s="1"/>
      <c r="M189" s="1"/>
      <c r="N189" s="1"/>
      <c r="O189" s="1"/>
      <c r="P189" s="3"/>
      <c r="Q189" s="1"/>
      <c r="R189" s="1"/>
      <c r="S189" s="1"/>
      <c r="T189" s="1"/>
      <c r="U189" s="1"/>
      <c r="V189" s="1"/>
      <c r="W189" s="1"/>
      <c r="X189" s="1"/>
      <c r="Y189" s="1"/>
      <c r="Z189" s="1"/>
      <c r="AA189" s="1"/>
      <c r="AB189" s="1"/>
      <c r="AC189" s="1"/>
      <c r="AD189" s="1"/>
      <c r="AE189" s="1"/>
      <c r="AF189" s="1"/>
      <c r="AG189" s="1"/>
      <c r="AH189" s="1"/>
      <c r="AI189" s="1"/>
    </row>
    <row r="190" ht="15.75" customHeight="1">
      <c r="A190" s="1"/>
      <c r="B190" s="1"/>
      <c r="C190" s="3"/>
      <c r="D190" s="1"/>
      <c r="E190" s="1"/>
      <c r="F190" s="1"/>
      <c r="G190" s="1"/>
      <c r="H190" s="1"/>
      <c r="I190" s="1"/>
      <c r="J190" s="1"/>
      <c r="K190" s="1"/>
      <c r="L190" s="1"/>
      <c r="M190" s="1"/>
      <c r="N190" s="1"/>
      <c r="O190" s="1"/>
      <c r="P190" s="3"/>
      <c r="Q190" s="1"/>
      <c r="R190" s="1"/>
      <c r="S190" s="1"/>
      <c r="T190" s="1"/>
      <c r="U190" s="1"/>
      <c r="V190" s="1"/>
      <c r="W190" s="1"/>
      <c r="X190" s="1"/>
      <c r="Y190" s="1"/>
      <c r="Z190" s="1"/>
      <c r="AA190" s="1"/>
      <c r="AB190" s="1"/>
      <c r="AC190" s="1"/>
      <c r="AD190" s="1"/>
      <c r="AE190" s="1"/>
      <c r="AF190" s="1"/>
      <c r="AG190" s="1"/>
      <c r="AH190" s="1"/>
      <c r="AI190" s="1"/>
    </row>
    <row r="191" ht="15.75" customHeight="1">
      <c r="A191" s="1"/>
      <c r="B191" s="1"/>
      <c r="C191" s="3"/>
      <c r="D191" s="1"/>
      <c r="E191" s="1"/>
      <c r="F191" s="1"/>
      <c r="G191" s="1"/>
      <c r="H191" s="1"/>
      <c r="I191" s="1"/>
      <c r="J191" s="1"/>
      <c r="K191" s="1"/>
      <c r="L191" s="1"/>
      <c r="M191" s="1"/>
      <c r="N191" s="1"/>
      <c r="O191" s="1"/>
      <c r="P191" s="3"/>
      <c r="Q191" s="1"/>
      <c r="R191" s="1"/>
      <c r="S191" s="1"/>
      <c r="T191" s="1"/>
      <c r="U191" s="1"/>
      <c r="V191" s="1"/>
      <c r="W191" s="1"/>
      <c r="X191" s="1"/>
      <c r="Y191" s="1"/>
      <c r="Z191" s="1"/>
      <c r="AA191" s="1"/>
      <c r="AB191" s="1"/>
      <c r="AC191" s="1"/>
      <c r="AD191" s="1"/>
      <c r="AE191" s="1"/>
      <c r="AF191" s="1"/>
      <c r="AG191" s="1"/>
      <c r="AH191" s="1"/>
      <c r="AI191" s="1"/>
    </row>
    <row r="192" ht="15.75" customHeight="1">
      <c r="A192" s="1"/>
      <c r="B192" s="1"/>
      <c r="C192" s="3"/>
      <c r="D192" s="1"/>
      <c r="E192" s="1"/>
      <c r="F192" s="1"/>
      <c r="G192" s="1"/>
      <c r="H192" s="1"/>
      <c r="I192" s="1"/>
      <c r="J192" s="1"/>
      <c r="K192" s="1"/>
      <c r="L192" s="1"/>
      <c r="M192" s="1"/>
      <c r="N192" s="1"/>
      <c r="O192" s="1"/>
      <c r="P192" s="3"/>
      <c r="Q192" s="1"/>
      <c r="R192" s="1"/>
      <c r="S192" s="1"/>
      <c r="T192" s="1"/>
      <c r="U192" s="1"/>
      <c r="V192" s="1"/>
      <c r="W192" s="1"/>
      <c r="X192" s="1"/>
      <c r="Y192" s="1"/>
      <c r="Z192" s="1"/>
      <c r="AA192" s="1"/>
      <c r="AB192" s="1"/>
      <c r="AC192" s="1"/>
      <c r="AD192" s="1"/>
      <c r="AE192" s="1"/>
      <c r="AF192" s="1"/>
      <c r="AG192" s="1"/>
      <c r="AH192" s="1"/>
      <c r="AI192" s="1"/>
    </row>
    <row r="193" ht="15.75" customHeight="1">
      <c r="A193" s="1"/>
      <c r="B193" s="1"/>
      <c r="C193" s="3"/>
      <c r="D193" s="1"/>
      <c r="E193" s="1"/>
      <c r="F193" s="1"/>
      <c r="G193" s="1"/>
      <c r="H193" s="1"/>
      <c r="I193" s="1"/>
      <c r="J193" s="1"/>
      <c r="K193" s="1"/>
      <c r="L193" s="1"/>
      <c r="M193" s="1"/>
      <c r="N193" s="1"/>
      <c r="O193" s="1"/>
      <c r="P193" s="3"/>
      <c r="Q193" s="1"/>
      <c r="R193" s="1"/>
      <c r="S193" s="1"/>
      <c r="T193" s="1"/>
      <c r="U193" s="1"/>
      <c r="V193" s="1"/>
      <c r="W193" s="1"/>
      <c r="X193" s="1"/>
      <c r="Y193" s="1"/>
      <c r="Z193" s="1"/>
      <c r="AA193" s="1"/>
      <c r="AB193" s="1"/>
      <c r="AC193" s="1"/>
      <c r="AD193" s="1"/>
      <c r="AE193" s="1"/>
      <c r="AF193" s="1"/>
      <c r="AG193" s="1"/>
      <c r="AH193" s="1"/>
      <c r="AI193" s="1"/>
    </row>
    <row r="194" ht="15.75" customHeight="1">
      <c r="A194" s="1"/>
      <c r="B194" s="1"/>
      <c r="C194" s="3"/>
      <c r="D194" s="1"/>
      <c r="E194" s="1"/>
      <c r="F194" s="1"/>
      <c r="G194" s="1"/>
      <c r="H194" s="1"/>
      <c r="I194" s="1"/>
      <c r="J194" s="1"/>
      <c r="K194" s="1"/>
      <c r="L194" s="1"/>
      <c r="M194" s="1"/>
      <c r="N194" s="1"/>
      <c r="O194" s="1"/>
      <c r="P194" s="3"/>
      <c r="Q194" s="1"/>
      <c r="R194" s="1"/>
      <c r="S194" s="1"/>
      <c r="T194" s="1"/>
      <c r="U194" s="1"/>
      <c r="V194" s="1"/>
      <c r="W194" s="1"/>
      <c r="X194" s="1"/>
      <c r="Y194" s="1"/>
      <c r="Z194" s="1"/>
      <c r="AA194" s="1"/>
      <c r="AB194" s="1"/>
      <c r="AC194" s="1"/>
      <c r="AD194" s="1"/>
      <c r="AE194" s="1"/>
      <c r="AF194" s="1"/>
      <c r="AG194" s="1"/>
      <c r="AH194" s="1"/>
      <c r="AI194" s="1"/>
    </row>
    <row r="195" ht="15.75" customHeight="1">
      <c r="A195" s="1"/>
      <c r="B195" s="1"/>
      <c r="C195" s="3"/>
      <c r="D195" s="1"/>
      <c r="E195" s="1"/>
      <c r="F195" s="1"/>
      <c r="G195" s="1"/>
      <c r="H195" s="1"/>
      <c r="I195" s="1"/>
      <c r="J195" s="1"/>
      <c r="K195" s="1"/>
      <c r="L195" s="1"/>
      <c r="M195" s="1"/>
      <c r="N195" s="1"/>
      <c r="O195" s="1"/>
      <c r="P195" s="3"/>
      <c r="Q195" s="1"/>
      <c r="R195" s="1"/>
      <c r="S195" s="1"/>
      <c r="T195" s="1"/>
      <c r="U195" s="1"/>
      <c r="V195" s="1"/>
      <c r="W195" s="1"/>
      <c r="X195" s="1"/>
      <c r="Y195" s="1"/>
      <c r="Z195" s="1"/>
      <c r="AA195" s="1"/>
      <c r="AB195" s="1"/>
      <c r="AC195" s="1"/>
      <c r="AD195" s="1"/>
      <c r="AE195" s="1"/>
      <c r="AF195" s="1"/>
      <c r="AG195" s="1"/>
      <c r="AH195" s="1"/>
      <c r="AI195" s="1"/>
    </row>
    <row r="196" ht="15.75" customHeight="1">
      <c r="A196" s="1"/>
      <c r="B196" s="1"/>
      <c r="C196" s="3"/>
      <c r="D196" s="1"/>
      <c r="E196" s="1"/>
      <c r="F196" s="1"/>
      <c r="G196" s="1"/>
      <c r="H196" s="1"/>
      <c r="I196" s="1"/>
      <c r="J196" s="1"/>
      <c r="K196" s="1"/>
      <c r="L196" s="1"/>
      <c r="M196" s="1"/>
      <c r="N196" s="1"/>
      <c r="O196" s="1"/>
      <c r="P196" s="3"/>
      <c r="Q196" s="1"/>
      <c r="R196" s="1"/>
      <c r="S196" s="1"/>
      <c r="T196" s="1"/>
      <c r="U196" s="1"/>
      <c r="V196" s="1"/>
      <c r="W196" s="1"/>
      <c r="X196" s="1"/>
      <c r="Y196" s="1"/>
      <c r="Z196" s="1"/>
      <c r="AA196" s="1"/>
      <c r="AB196" s="1"/>
      <c r="AC196" s="1"/>
      <c r="AD196" s="1"/>
      <c r="AE196" s="1"/>
      <c r="AF196" s="1"/>
      <c r="AG196" s="1"/>
      <c r="AH196" s="1"/>
      <c r="AI196" s="1"/>
    </row>
    <row r="197" ht="15.75" customHeight="1">
      <c r="A197" s="1"/>
      <c r="B197" s="1"/>
      <c r="C197" s="3"/>
      <c r="D197" s="1"/>
      <c r="E197" s="1"/>
      <c r="F197" s="1"/>
      <c r="G197" s="1"/>
      <c r="H197" s="1"/>
      <c r="I197" s="1"/>
      <c r="J197" s="1"/>
      <c r="K197" s="1"/>
      <c r="L197" s="1"/>
      <c r="M197" s="1"/>
      <c r="N197" s="1"/>
      <c r="O197" s="1"/>
      <c r="P197" s="3"/>
      <c r="Q197" s="1"/>
      <c r="R197" s="1"/>
      <c r="S197" s="1"/>
      <c r="T197" s="1"/>
      <c r="U197" s="1"/>
      <c r="V197" s="1"/>
      <c r="W197" s="1"/>
      <c r="X197" s="1"/>
      <c r="Y197" s="1"/>
      <c r="Z197" s="1"/>
      <c r="AA197" s="1"/>
      <c r="AB197" s="1"/>
      <c r="AC197" s="1"/>
      <c r="AD197" s="1"/>
      <c r="AE197" s="1"/>
      <c r="AF197" s="1"/>
      <c r="AG197" s="1"/>
      <c r="AH197" s="1"/>
      <c r="AI197" s="1"/>
    </row>
    <row r="198" ht="15.75" customHeight="1">
      <c r="A198" s="1"/>
      <c r="B198" s="1"/>
      <c r="C198" s="3"/>
      <c r="D198" s="1"/>
      <c r="E198" s="1"/>
      <c r="F198" s="1"/>
      <c r="G198" s="1"/>
      <c r="H198" s="1"/>
      <c r="I198" s="1"/>
      <c r="J198" s="1"/>
      <c r="K198" s="1"/>
      <c r="L198" s="1"/>
      <c r="M198" s="1"/>
      <c r="N198" s="1"/>
      <c r="O198" s="1"/>
      <c r="P198" s="3"/>
      <c r="Q198" s="1"/>
      <c r="R198" s="1"/>
      <c r="S198" s="1"/>
      <c r="T198" s="1"/>
      <c r="U198" s="1"/>
      <c r="V198" s="1"/>
      <c r="W198" s="1"/>
      <c r="X198" s="1"/>
      <c r="Y198" s="1"/>
      <c r="Z198" s="1"/>
      <c r="AA198" s="1"/>
      <c r="AB198" s="1"/>
      <c r="AC198" s="1"/>
      <c r="AD198" s="1"/>
      <c r="AE198" s="1"/>
      <c r="AF198" s="1"/>
      <c r="AG198" s="1"/>
      <c r="AH198" s="1"/>
      <c r="AI198" s="1"/>
    </row>
    <row r="199" ht="15.75" customHeight="1">
      <c r="A199" s="1"/>
      <c r="B199" s="1"/>
      <c r="C199" s="3"/>
      <c r="D199" s="1"/>
      <c r="E199" s="1"/>
      <c r="F199" s="1"/>
      <c r="G199" s="1"/>
      <c r="H199" s="1"/>
      <c r="I199" s="1"/>
      <c r="J199" s="1"/>
      <c r="K199" s="1"/>
      <c r="L199" s="1"/>
      <c r="M199" s="1"/>
      <c r="N199" s="1"/>
      <c r="O199" s="1"/>
      <c r="P199" s="3"/>
      <c r="Q199" s="1"/>
      <c r="R199" s="1"/>
      <c r="S199" s="1"/>
      <c r="T199" s="1"/>
      <c r="U199" s="1"/>
      <c r="V199" s="1"/>
      <c r="W199" s="1"/>
      <c r="X199" s="1"/>
      <c r="Y199" s="1"/>
      <c r="Z199" s="1"/>
      <c r="AA199" s="1"/>
      <c r="AB199" s="1"/>
      <c r="AC199" s="1"/>
      <c r="AD199" s="1"/>
      <c r="AE199" s="1"/>
      <c r="AF199" s="1"/>
      <c r="AG199" s="1"/>
      <c r="AH199" s="1"/>
      <c r="AI199" s="1"/>
    </row>
    <row r="200" ht="15.75" customHeight="1">
      <c r="A200" s="1"/>
      <c r="B200" s="1"/>
      <c r="C200" s="3"/>
      <c r="D200" s="1"/>
      <c r="E200" s="1"/>
      <c r="F200" s="1"/>
      <c r="G200" s="1"/>
      <c r="H200" s="1"/>
      <c r="I200" s="1"/>
      <c r="J200" s="1"/>
      <c r="K200" s="1"/>
      <c r="L200" s="1"/>
      <c r="M200" s="1"/>
      <c r="N200" s="1"/>
      <c r="O200" s="1"/>
      <c r="P200" s="3"/>
      <c r="Q200" s="1"/>
      <c r="R200" s="1"/>
      <c r="S200" s="1"/>
      <c r="T200" s="1"/>
      <c r="U200" s="1"/>
      <c r="V200" s="1"/>
      <c r="W200" s="1"/>
      <c r="X200" s="1"/>
      <c r="Y200" s="1"/>
      <c r="Z200" s="1"/>
      <c r="AA200" s="1"/>
      <c r="AB200" s="1"/>
      <c r="AC200" s="1"/>
      <c r="AD200" s="1"/>
      <c r="AE200" s="1"/>
      <c r="AF200" s="1"/>
      <c r="AG200" s="1"/>
      <c r="AH200" s="1"/>
      <c r="AI200" s="1"/>
    </row>
    <row r="201" ht="15.75" customHeight="1">
      <c r="A201" s="1"/>
      <c r="B201" s="1"/>
      <c r="C201" s="3"/>
      <c r="D201" s="1"/>
      <c r="E201" s="1"/>
      <c r="F201" s="1"/>
      <c r="G201" s="1"/>
      <c r="H201" s="1"/>
      <c r="I201" s="1"/>
      <c r="J201" s="1"/>
      <c r="K201" s="1"/>
      <c r="L201" s="1"/>
      <c r="M201" s="1"/>
      <c r="N201" s="1"/>
      <c r="O201" s="1"/>
      <c r="P201" s="3"/>
      <c r="Q201" s="1"/>
      <c r="R201" s="1"/>
      <c r="S201" s="1"/>
      <c r="T201" s="1"/>
      <c r="U201" s="1"/>
      <c r="V201" s="1"/>
      <c r="W201" s="1"/>
      <c r="X201" s="1"/>
      <c r="Y201" s="1"/>
      <c r="Z201" s="1"/>
      <c r="AA201" s="1"/>
      <c r="AB201" s="1"/>
      <c r="AC201" s="1"/>
      <c r="AD201" s="1"/>
      <c r="AE201" s="1"/>
      <c r="AF201" s="1"/>
      <c r="AG201" s="1"/>
      <c r="AH201" s="1"/>
      <c r="AI201" s="1"/>
    </row>
    <row r="202" ht="15.75" customHeight="1">
      <c r="A202" s="1"/>
      <c r="B202" s="1"/>
      <c r="C202" s="3"/>
      <c r="D202" s="1"/>
      <c r="E202" s="1"/>
      <c r="F202" s="1"/>
      <c r="G202" s="1"/>
      <c r="H202" s="1"/>
      <c r="I202" s="1"/>
      <c r="J202" s="1"/>
      <c r="K202" s="1"/>
      <c r="L202" s="1"/>
      <c r="M202" s="1"/>
      <c r="N202" s="1"/>
      <c r="O202" s="1"/>
      <c r="P202" s="3"/>
      <c r="Q202" s="1"/>
      <c r="R202" s="1"/>
      <c r="S202" s="1"/>
      <c r="T202" s="1"/>
      <c r="U202" s="1"/>
      <c r="V202" s="1"/>
      <c r="W202" s="1"/>
      <c r="X202" s="1"/>
      <c r="Y202" s="1"/>
      <c r="Z202" s="1"/>
      <c r="AA202" s="1"/>
      <c r="AB202" s="1"/>
      <c r="AC202" s="1"/>
      <c r="AD202" s="1"/>
      <c r="AE202" s="1"/>
      <c r="AF202" s="1"/>
      <c r="AG202" s="1"/>
      <c r="AH202" s="1"/>
      <c r="AI202" s="1"/>
    </row>
    <row r="203" ht="15.75" customHeight="1">
      <c r="A203" s="1"/>
      <c r="B203" s="1"/>
      <c r="C203" s="3"/>
      <c r="D203" s="1"/>
      <c r="E203" s="1"/>
      <c r="F203" s="1"/>
      <c r="G203" s="1"/>
      <c r="H203" s="1"/>
      <c r="I203" s="1"/>
      <c r="J203" s="1"/>
      <c r="K203" s="1"/>
      <c r="L203" s="1"/>
      <c r="M203" s="1"/>
      <c r="N203" s="1"/>
      <c r="O203" s="1"/>
      <c r="P203" s="3"/>
      <c r="Q203" s="1"/>
      <c r="R203" s="1"/>
      <c r="S203" s="1"/>
      <c r="T203" s="1"/>
      <c r="U203" s="1"/>
      <c r="V203" s="1"/>
      <c r="W203" s="1"/>
      <c r="X203" s="1"/>
      <c r="Y203" s="1"/>
      <c r="Z203" s="1"/>
      <c r="AA203" s="1"/>
      <c r="AB203" s="1"/>
      <c r="AC203" s="1"/>
      <c r="AD203" s="1"/>
      <c r="AE203" s="1"/>
      <c r="AF203" s="1"/>
      <c r="AG203" s="1"/>
      <c r="AH203" s="1"/>
      <c r="AI203" s="1"/>
    </row>
    <row r="204" ht="15.75" customHeight="1">
      <c r="A204" s="1"/>
      <c r="B204" s="1"/>
      <c r="C204" s="3"/>
      <c r="D204" s="1"/>
      <c r="E204" s="1"/>
      <c r="F204" s="1"/>
      <c r="G204" s="1"/>
      <c r="H204" s="1"/>
      <c r="I204" s="1"/>
      <c r="J204" s="1"/>
      <c r="K204" s="1"/>
      <c r="L204" s="1"/>
      <c r="M204" s="1"/>
      <c r="N204" s="1"/>
      <c r="O204" s="1"/>
      <c r="P204" s="3"/>
      <c r="Q204" s="1"/>
      <c r="R204" s="1"/>
      <c r="S204" s="1"/>
      <c r="T204" s="1"/>
      <c r="U204" s="1"/>
      <c r="V204" s="1"/>
      <c r="W204" s="1"/>
      <c r="X204" s="1"/>
      <c r="Y204" s="1"/>
      <c r="Z204" s="1"/>
      <c r="AA204" s="1"/>
      <c r="AB204" s="1"/>
      <c r="AC204" s="1"/>
      <c r="AD204" s="1"/>
      <c r="AE204" s="1"/>
      <c r="AF204" s="1"/>
      <c r="AG204" s="1"/>
      <c r="AH204" s="1"/>
      <c r="AI204" s="1"/>
    </row>
    <row r="205" ht="15.75" customHeight="1">
      <c r="A205" s="1"/>
      <c r="B205" s="1"/>
      <c r="C205" s="3"/>
      <c r="D205" s="1"/>
      <c r="E205" s="1"/>
      <c r="F205" s="1"/>
      <c r="G205" s="1"/>
      <c r="H205" s="1"/>
      <c r="I205" s="1"/>
      <c r="J205" s="1"/>
      <c r="K205" s="1"/>
      <c r="L205" s="1"/>
      <c r="M205" s="1"/>
      <c r="N205" s="1"/>
      <c r="O205" s="1"/>
      <c r="P205" s="3"/>
      <c r="Q205" s="1"/>
      <c r="R205" s="1"/>
      <c r="S205" s="1"/>
      <c r="T205" s="1"/>
      <c r="U205" s="1"/>
      <c r="V205" s="1"/>
      <c r="W205" s="1"/>
      <c r="X205" s="1"/>
      <c r="Y205" s="1"/>
      <c r="Z205" s="1"/>
      <c r="AA205" s="1"/>
      <c r="AB205" s="1"/>
      <c r="AC205" s="1"/>
      <c r="AD205" s="1"/>
      <c r="AE205" s="1"/>
      <c r="AF205" s="1"/>
      <c r="AG205" s="1"/>
      <c r="AH205" s="1"/>
      <c r="AI205" s="1"/>
    </row>
    <row r="206" ht="15.75" customHeight="1">
      <c r="A206" s="1"/>
      <c r="B206" s="1"/>
      <c r="C206" s="3"/>
      <c r="D206" s="1"/>
      <c r="E206" s="1"/>
      <c r="F206" s="1"/>
      <c r="G206" s="1"/>
      <c r="H206" s="1"/>
      <c r="I206" s="1"/>
      <c r="J206" s="1"/>
      <c r="K206" s="1"/>
      <c r="L206" s="1"/>
      <c r="M206" s="1"/>
      <c r="N206" s="1"/>
      <c r="O206" s="1"/>
      <c r="P206" s="3"/>
      <c r="Q206" s="1"/>
      <c r="R206" s="1"/>
      <c r="S206" s="1"/>
      <c r="T206" s="1"/>
      <c r="U206" s="1"/>
      <c r="V206" s="1"/>
      <c r="W206" s="1"/>
      <c r="X206" s="1"/>
      <c r="Y206" s="1"/>
      <c r="Z206" s="1"/>
      <c r="AA206" s="1"/>
      <c r="AB206" s="1"/>
      <c r="AC206" s="1"/>
      <c r="AD206" s="1"/>
      <c r="AE206" s="1"/>
      <c r="AF206" s="1"/>
      <c r="AG206" s="1"/>
      <c r="AH206" s="1"/>
      <c r="AI206" s="1"/>
    </row>
    <row r="207" ht="15.75" customHeight="1">
      <c r="A207" s="1"/>
      <c r="B207" s="1"/>
      <c r="C207" s="3"/>
      <c r="D207" s="1"/>
      <c r="E207" s="1"/>
      <c r="F207" s="1"/>
      <c r="G207" s="1"/>
      <c r="H207" s="1"/>
      <c r="I207" s="1"/>
      <c r="J207" s="1"/>
      <c r="K207" s="1"/>
      <c r="L207" s="1"/>
      <c r="M207" s="1"/>
      <c r="N207" s="1"/>
      <c r="O207" s="1"/>
      <c r="P207" s="3"/>
      <c r="Q207" s="1"/>
      <c r="R207" s="1"/>
      <c r="S207" s="1"/>
      <c r="T207" s="1"/>
      <c r="U207" s="1"/>
      <c r="V207" s="1"/>
      <c r="W207" s="1"/>
      <c r="X207" s="1"/>
      <c r="Y207" s="1"/>
      <c r="Z207" s="1"/>
      <c r="AA207" s="1"/>
      <c r="AB207" s="1"/>
      <c r="AC207" s="1"/>
      <c r="AD207" s="1"/>
      <c r="AE207" s="1"/>
      <c r="AF207" s="1"/>
      <c r="AG207" s="1"/>
      <c r="AH207" s="1"/>
      <c r="AI207" s="1"/>
    </row>
    <row r="208" ht="15.75" customHeight="1">
      <c r="A208" s="1"/>
      <c r="B208" s="1"/>
      <c r="C208" s="3"/>
      <c r="D208" s="1"/>
      <c r="E208" s="1"/>
      <c r="F208" s="1"/>
      <c r="G208" s="1"/>
      <c r="H208" s="1"/>
      <c r="I208" s="1"/>
      <c r="J208" s="1"/>
      <c r="K208" s="1"/>
      <c r="L208" s="1"/>
      <c r="M208" s="1"/>
      <c r="N208" s="1"/>
      <c r="O208" s="1"/>
      <c r="P208" s="3"/>
      <c r="Q208" s="1"/>
      <c r="R208" s="1"/>
      <c r="S208" s="1"/>
      <c r="T208" s="1"/>
      <c r="U208" s="1"/>
      <c r="V208" s="1"/>
      <c r="W208" s="1"/>
      <c r="X208" s="1"/>
      <c r="Y208" s="1"/>
      <c r="Z208" s="1"/>
      <c r="AA208" s="1"/>
      <c r="AB208" s="1"/>
      <c r="AC208" s="1"/>
      <c r="AD208" s="1"/>
      <c r="AE208" s="1"/>
      <c r="AF208" s="1"/>
      <c r="AG208" s="1"/>
      <c r="AH208" s="1"/>
      <c r="AI208" s="1"/>
    </row>
    <row r="209" ht="15.75" customHeight="1">
      <c r="A209" s="1"/>
      <c r="B209" s="1"/>
      <c r="C209" s="3"/>
      <c r="D209" s="1"/>
      <c r="E209" s="1"/>
      <c r="F209" s="1"/>
      <c r="G209" s="1"/>
      <c r="H209" s="1"/>
      <c r="I209" s="1"/>
      <c r="J209" s="1"/>
      <c r="K209" s="1"/>
      <c r="L209" s="1"/>
      <c r="M209" s="1"/>
      <c r="N209" s="1"/>
      <c r="O209" s="1"/>
      <c r="P209" s="3"/>
      <c r="Q209" s="1"/>
      <c r="R209" s="1"/>
      <c r="S209" s="1"/>
      <c r="T209" s="1"/>
      <c r="U209" s="1"/>
      <c r="V209" s="1"/>
      <c r="W209" s="1"/>
      <c r="X209" s="1"/>
      <c r="Y209" s="1"/>
      <c r="Z209" s="1"/>
      <c r="AA209" s="1"/>
      <c r="AB209" s="1"/>
      <c r="AC209" s="1"/>
      <c r="AD209" s="1"/>
      <c r="AE209" s="1"/>
      <c r="AF209" s="1"/>
      <c r="AG209" s="1"/>
      <c r="AH209" s="1"/>
      <c r="AI209" s="1"/>
    </row>
    <row r="210" ht="15.75" customHeight="1">
      <c r="A210" s="1"/>
      <c r="B210" s="1"/>
      <c r="C210" s="3"/>
      <c r="D210" s="1"/>
      <c r="E210" s="1"/>
      <c r="F210" s="1"/>
      <c r="G210" s="1"/>
      <c r="H210" s="1"/>
      <c r="I210" s="1"/>
      <c r="J210" s="1"/>
      <c r="K210" s="1"/>
      <c r="L210" s="1"/>
      <c r="M210" s="1"/>
      <c r="N210" s="1"/>
      <c r="O210" s="1"/>
      <c r="P210" s="3"/>
      <c r="Q210" s="1"/>
      <c r="R210" s="1"/>
      <c r="S210" s="1"/>
      <c r="T210" s="1"/>
      <c r="U210" s="1"/>
      <c r="V210" s="1"/>
      <c r="W210" s="1"/>
      <c r="X210" s="1"/>
      <c r="Y210" s="1"/>
      <c r="Z210" s="1"/>
      <c r="AA210" s="1"/>
      <c r="AB210" s="1"/>
      <c r="AC210" s="1"/>
      <c r="AD210" s="1"/>
      <c r="AE210" s="1"/>
      <c r="AF210" s="1"/>
      <c r="AG210" s="1"/>
      <c r="AH210" s="1"/>
      <c r="AI210" s="1"/>
    </row>
    <row r="211" ht="15.75" customHeight="1">
      <c r="A211" s="1"/>
      <c r="B211" s="1"/>
      <c r="C211" s="3"/>
      <c r="D211" s="1"/>
      <c r="E211" s="1"/>
      <c r="F211" s="1"/>
      <c r="G211" s="1"/>
      <c r="H211" s="1"/>
      <c r="I211" s="1"/>
      <c r="J211" s="1"/>
      <c r="K211" s="1"/>
      <c r="L211" s="1"/>
      <c r="M211" s="1"/>
      <c r="N211" s="1"/>
      <c r="O211" s="1"/>
      <c r="P211" s="3"/>
      <c r="Q211" s="1"/>
      <c r="R211" s="1"/>
      <c r="S211" s="1"/>
      <c r="T211" s="1"/>
      <c r="U211" s="1"/>
      <c r="V211" s="1"/>
      <c r="W211" s="1"/>
      <c r="X211" s="1"/>
      <c r="Y211" s="1"/>
      <c r="Z211" s="1"/>
      <c r="AA211" s="1"/>
      <c r="AB211" s="1"/>
      <c r="AC211" s="1"/>
      <c r="AD211" s="1"/>
      <c r="AE211" s="1"/>
      <c r="AF211" s="1"/>
      <c r="AG211" s="1"/>
      <c r="AH211" s="1"/>
      <c r="AI211" s="1"/>
    </row>
    <row r="212" ht="15.75" customHeight="1">
      <c r="A212" s="1"/>
      <c r="B212" s="1"/>
      <c r="C212" s="3"/>
      <c r="D212" s="1"/>
      <c r="E212" s="1"/>
      <c r="F212" s="1"/>
      <c r="G212" s="1"/>
      <c r="H212" s="1"/>
      <c r="I212" s="1"/>
      <c r="J212" s="1"/>
      <c r="K212" s="1"/>
      <c r="L212" s="1"/>
      <c r="M212" s="1"/>
      <c r="N212" s="1"/>
      <c r="O212" s="1"/>
      <c r="P212" s="3"/>
      <c r="Q212" s="1"/>
      <c r="R212" s="1"/>
      <c r="S212" s="1"/>
      <c r="T212" s="1"/>
      <c r="U212" s="1"/>
      <c r="V212" s="1"/>
      <c r="W212" s="1"/>
      <c r="X212" s="1"/>
      <c r="Y212" s="1"/>
      <c r="Z212" s="1"/>
      <c r="AA212" s="1"/>
      <c r="AB212" s="1"/>
      <c r="AC212" s="1"/>
      <c r="AD212" s="1"/>
      <c r="AE212" s="1"/>
      <c r="AF212" s="1"/>
      <c r="AG212" s="1"/>
      <c r="AH212" s="1"/>
      <c r="AI212" s="1"/>
    </row>
    <row r="213" ht="15.75" customHeight="1">
      <c r="A213" s="1"/>
      <c r="B213" s="1"/>
      <c r="C213" s="3"/>
      <c r="D213" s="1"/>
      <c r="E213" s="1"/>
      <c r="F213" s="1"/>
      <c r="G213" s="1"/>
      <c r="H213" s="1"/>
      <c r="I213" s="1"/>
      <c r="J213" s="1"/>
      <c r="K213" s="1"/>
      <c r="L213" s="1"/>
      <c r="M213" s="1"/>
      <c r="N213" s="1"/>
      <c r="O213" s="1"/>
      <c r="P213" s="3"/>
      <c r="Q213" s="1"/>
      <c r="R213" s="1"/>
      <c r="S213" s="1"/>
      <c r="T213" s="1"/>
      <c r="U213" s="1"/>
      <c r="V213" s="1"/>
      <c r="W213" s="1"/>
      <c r="X213" s="1"/>
      <c r="Y213" s="1"/>
      <c r="Z213" s="1"/>
      <c r="AA213" s="1"/>
      <c r="AB213" s="1"/>
      <c r="AC213" s="1"/>
      <c r="AD213" s="1"/>
      <c r="AE213" s="1"/>
      <c r="AF213" s="1"/>
      <c r="AG213" s="1"/>
      <c r="AH213" s="1"/>
      <c r="AI213" s="1"/>
    </row>
    <row r="214" ht="15.75" customHeight="1">
      <c r="A214" s="1"/>
      <c r="B214" s="1"/>
      <c r="C214" s="3"/>
      <c r="D214" s="1"/>
      <c r="E214" s="1"/>
      <c r="F214" s="1"/>
      <c r="G214" s="1"/>
      <c r="H214" s="1"/>
      <c r="I214" s="1"/>
      <c r="J214" s="1"/>
      <c r="K214" s="1"/>
      <c r="L214" s="1"/>
      <c r="M214" s="1"/>
      <c r="N214" s="1"/>
      <c r="O214" s="1"/>
      <c r="P214" s="3"/>
      <c r="Q214" s="1"/>
      <c r="R214" s="1"/>
      <c r="S214" s="1"/>
      <c r="T214" s="1"/>
      <c r="U214" s="1"/>
      <c r="V214" s="1"/>
      <c r="W214" s="1"/>
      <c r="X214" s="1"/>
      <c r="Y214" s="1"/>
      <c r="Z214" s="1"/>
      <c r="AA214" s="1"/>
      <c r="AB214" s="1"/>
      <c r="AC214" s="1"/>
      <c r="AD214" s="1"/>
      <c r="AE214" s="1"/>
      <c r="AF214" s="1"/>
      <c r="AG214" s="1"/>
      <c r="AH214" s="1"/>
      <c r="AI214" s="1"/>
    </row>
    <row r="215" ht="15.75" customHeight="1">
      <c r="A215" s="1"/>
      <c r="B215" s="1"/>
      <c r="C215" s="3"/>
      <c r="D215" s="1"/>
      <c r="E215" s="1"/>
      <c r="F215" s="1"/>
      <c r="G215" s="1"/>
      <c r="H215" s="1"/>
      <c r="I215" s="1"/>
      <c r="J215" s="1"/>
      <c r="K215" s="1"/>
      <c r="L215" s="1"/>
      <c r="M215" s="1"/>
      <c r="N215" s="1"/>
      <c r="O215" s="1"/>
      <c r="P215" s="3"/>
      <c r="Q215" s="1"/>
      <c r="R215" s="1"/>
      <c r="S215" s="1"/>
      <c r="T215" s="1"/>
      <c r="U215" s="1"/>
      <c r="V215" s="1"/>
      <c r="W215" s="1"/>
      <c r="X215" s="1"/>
      <c r="Y215" s="1"/>
      <c r="Z215" s="1"/>
      <c r="AA215" s="1"/>
      <c r="AB215" s="1"/>
      <c r="AC215" s="1"/>
      <c r="AD215" s="1"/>
      <c r="AE215" s="1"/>
      <c r="AF215" s="1"/>
      <c r="AG215" s="1"/>
      <c r="AH215" s="1"/>
      <c r="AI215" s="1"/>
    </row>
    <row r="216" ht="15.75" customHeight="1">
      <c r="A216" s="1"/>
      <c r="B216" s="1"/>
      <c r="C216" s="3"/>
      <c r="D216" s="1"/>
      <c r="E216" s="1"/>
      <c r="F216" s="1"/>
      <c r="G216" s="1"/>
      <c r="H216" s="1"/>
      <c r="I216" s="1"/>
      <c r="J216" s="1"/>
      <c r="K216" s="1"/>
      <c r="L216" s="1"/>
      <c r="M216" s="1"/>
      <c r="N216" s="1"/>
      <c r="O216" s="1"/>
      <c r="P216" s="3"/>
      <c r="Q216" s="1"/>
      <c r="R216" s="1"/>
      <c r="S216" s="1"/>
      <c r="T216" s="1"/>
      <c r="U216" s="1"/>
      <c r="V216" s="1"/>
      <c r="W216" s="1"/>
      <c r="X216" s="1"/>
      <c r="Y216" s="1"/>
      <c r="Z216" s="1"/>
      <c r="AA216" s="1"/>
      <c r="AB216" s="1"/>
      <c r="AC216" s="1"/>
      <c r="AD216" s="1"/>
      <c r="AE216" s="1"/>
      <c r="AF216" s="1"/>
      <c r="AG216" s="1"/>
      <c r="AH216" s="1"/>
      <c r="AI216" s="1"/>
    </row>
    <row r="217" ht="15.75" customHeight="1">
      <c r="A217" s="1"/>
      <c r="B217" s="1"/>
      <c r="C217" s="3"/>
      <c r="D217" s="1"/>
      <c r="E217" s="1"/>
      <c r="F217" s="1"/>
      <c r="G217" s="1"/>
      <c r="H217" s="1"/>
      <c r="I217" s="1"/>
      <c r="J217" s="1"/>
      <c r="K217" s="1"/>
      <c r="L217" s="1"/>
      <c r="M217" s="1"/>
      <c r="N217" s="1"/>
      <c r="O217" s="1"/>
      <c r="P217" s="3"/>
      <c r="Q217" s="1"/>
      <c r="R217" s="1"/>
      <c r="S217" s="1"/>
      <c r="T217" s="1"/>
      <c r="U217" s="1"/>
      <c r="V217" s="1"/>
      <c r="W217" s="1"/>
      <c r="X217" s="1"/>
      <c r="Y217" s="1"/>
      <c r="Z217" s="1"/>
      <c r="AA217" s="1"/>
      <c r="AB217" s="1"/>
      <c r="AC217" s="1"/>
      <c r="AD217" s="1"/>
      <c r="AE217" s="1"/>
      <c r="AF217" s="1"/>
      <c r="AG217" s="1"/>
      <c r="AH217" s="1"/>
      <c r="AI217" s="1"/>
    </row>
    <row r="218" ht="15.75" customHeight="1">
      <c r="A218" s="1"/>
      <c r="B218" s="1"/>
      <c r="C218" s="3"/>
      <c r="D218" s="1"/>
      <c r="E218" s="1"/>
      <c r="F218" s="1"/>
      <c r="G218" s="1"/>
      <c r="H218" s="1"/>
      <c r="I218" s="1"/>
      <c r="J218" s="1"/>
      <c r="K218" s="1"/>
      <c r="L218" s="1"/>
      <c r="M218" s="1"/>
      <c r="N218" s="1"/>
      <c r="O218" s="1"/>
      <c r="P218" s="3"/>
      <c r="Q218" s="1"/>
      <c r="R218" s="1"/>
      <c r="S218" s="1"/>
      <c r="T218" s="1"/>
      <c r="U218" s="1"/>
      <c r="V218" s="1"/>
      <c r="W218" s="1"/>
      <c r="X218" s="1"/>
      <c r="Y218" s="1"/>
      <c r="Z218" s="1"/>
      <c r="AA218" s="1"/>
      <c r="AB218" s="1"/>
      <c r="AC218" s="1"/>
      <c r="AD218" s="1"/>
      <c r="AE218" s="1"/>
      <c r="AF218" s="1"/>
      <c r="AG218" s="1"/>
      <c r="AH218" s="1"/>
      <c r="AI218" s="1"/>
    </row>
    <row r="219" ht="15.75" customHeight="1">
      <c r="A219" s="1"/>
      <c r="B219" s="1"/>
      <c r="C219" s="3"/>
      <c r="D219" s="1"/>
      <c r="E219" s="1"/>
      <c r="F219" s="1"/>
      <c r="G219" s="1"/>
      <c r="H219" s="1"/>
      <c r="I219" s="1"/>
      <c r="J219" s="1"/>
      <c r="K219" s="1"/>
      <c r="L219" s="1"/>
      <c r="M219" s="1"/>
      <c r="N219" s="1"/>
      <c r="O219" s="1"/>
      <c r="P219" s="3"/>
      <c r="Q219" s="1"/>
      <c r="R219" s="1"/>
      <c r="S219" s="1"/>
      <c r="T219" s="1"/>
      <c r="U219" s="1"/>
      <c r="V219" s="1"/>
      <c r="W219" s="1"/>
      <c r="X219" s="1"/>
      <c r="Y219" s="1"/>
      <c r="Z219" s="1"/>
      <c r="AA219" s="1"/>
      <c r="AB219" s="1"/>
      <c r="AC219" s="1"/>
      <c r="AD219" s="1"/>
      <c r="AE219" s="1"/>
      <c r="AF219" s="1"/>
      <c r="AG219" s="1"/>
      <c r="AH219" s="1"/>
      <c r="AI219" s="1"/>
    </row>
    <row r="220" ht="15.75" customHeight="1">
      <c r="A220" s="1"/>
      <c r="B220" s="1"/>
      <c r="C220" s="3"/>
      <c r="D220" s="1"/>
      <c r="E220" s="1"/>
      <c r="F220" s="1"/>
      <c r="G220" s="1"/>
      <c r="H220" s="1"/>
      <c r="I220" s="1"/>
      <c r="J220" s="1"/>
      <c r="K220" s="1"/>
      <c r="L220" s="1"/>
      <c r="M220" s="1"/>
      <c r="N220" s="1"/>
      <c r="O220" s="1"/>
      <c r="P220" s="3"/>
      <c r="Q220" s="1"/>
      <c r="R220" s="1"/>
      <c r="S220" s="1"/>
      <c r="T220" s="1"/>
      <c r="U220" s="1"/>
      <c r="V220" s="1"/>
      <c r="W220" s="1"/>
      <c r="X220" s="1"/>
      <c r="Y220" s="1"/>
      <c r="Z220" s="1"/>
      <c r="AA220" s="1"/>
      <c r="AB220" s="1"/>
      <c r="AC220" s="1"/>
      <c r="AD220" s="1"/>
      <c r="AE220" s="1"/>
      <c r="AF220" s="1"/>
      <c r="AG220" s="1"/>
      <c r="AH220" s="1"/>
      <c r="AI220" s="1"/>
    </row>
    <row r="221" ht="15.75" customHeight="1">
      <c r="A221" s="1"/>
      <c r="B221" s="1"/>
      <c r="C221" s="3"/>
      <c r="D221" s="1"/>
      <c r="E221" s="1"/>
      <c r="F221" s="1"/>
      <c r="G221" s="1"/>
      <c r="H221" s="1"/>
      <c r="I221" s="1"/>
      <c r="J221" s="1"/>
      <c r="K221" s="1"/>
      <c r="L221" s="1"/>
      <c r="M221" s="1"/>
      <c r="N221" s="1"/>
      <c r="O221" s="1"/>
      <c r="P221" s="3"/>
      <c r="Q221" s="1"/>
      <c r="R221" s="1"/>
      <c r="S221" s="1"/>
      <c r="T221" s="1"/>
      <c r="U221" s="1"/>
      <c r="V221" s="1"/>
      <c r="W221" s="1"/>
      <c r="X221" s="1"/>
      <c r="Y221" s="1"/>
      <c r="Z221" s="1"/>
      <c r="AA221" s="1"/>
      <c r="AB221" s="1"/>
      <c r="AC221" s="1"/>
      <c r="AD221" s="1"/>
      <c r="AE221" s="1"/>
      <c r="AF221" s="1"/>
      <c r="AG221" s="1"/>
      <c r="AH221" s="1"/>
      <c r="AI221" s="1"/>
    </row>
    <row r="222" ht="15.75" customHeight="1">
      <c r="A222" s="1"/>
      <c r="B222" s="1"/>
      <c r="C222" s="3"/>
      <c r="D222" s="1"/>
      <c r="E222" s="1"/>
      <c r="F222" s="1"/>
      <c r="G222" s="1"/>
      <c r="H222" s="1"/>
      <c r="I222" s="1"/>
      <c r="J222" s="1"/>
      <c r="K222" s="1"/>
      <c r="L222" s="1"/>
      <c r="M222" s="1"/>
      <c r="N222" s="1"/>
      <c r="O222" s="1"/>
      <c r="P222" s="3"/>
      <c r="Q222" s="1"/>
      <c r="R222" s="1"/>
      <c r="S222" s="1"/>
      <c r="T222" s="1"/>
      <c r="U222" s="1"/>
      <c r="V222" s="1"/>
      <c r="W222" s="1"/>
      <c r="X222" s="1"/>
      <c r="Y222" s="1"/>
      <c r="Z222" s="1"/>
      <c r="AA222" s="1"/>
      <c r="AB222" s="1"/>
      <c r="AC222" s="1"/>
      <c r="AD222" s="1"/>
      <c r="AE222" s="1"/>
      <c r="AF222" s="1"/>
      <c r="AG222" s="1"/>
      <c r="AH222" s="1"/>
      <c r="AI222" s="1"/>
    </row>
    <row r="223" ht="15.75" customHeight="1">
      <c r="A223" s="1"/>
      <c r="B223" s="1"/>
      <c r="C223" s="3"/>
      <c r="D223" s="1"/>
      <c r="E223" s="1"/>
      <c r="F223" s="1"/>
      <c r="G223" s="1"/>
      <c r="H223" s="1"/>
      <c r="I223" s="1"/>
      <c r="J223" s="1"/>
      <c r="K223" s="1"/>
      <c r="L223" s="1"/>
      <c r="M223" s="1"/>
      <c r="N223" s="1"/>
      <c r="O223" s="1"/>
      <c r="P223" s="3"/>
      <c r="Q223" s="1"/>
      <c r="R223" s="1"/>
      <c r="S223" s="1"/>
      <c r="T223" s="1"/>
      <c r="U223" s="1"/>
      <c r="V223" s="1"/>
      <c r="W223" s="1"/>
      <c r="X223" s="1"/>
      <c r="Y223" s="1"/>
      <c r="Z223" s="1"/>
      <c r="AA223" s="1"/>
      <c r="AB223" s="1"/>
      <c r="AC223" s="1"/>
      <c r="AD223" s="1"/>
      <c r="AE223" s="1"/>
      <c r="AF223" s="1"/>
      <c r="AG223" s="1"/>
      <c r="AH223" s="1"/>
      <c r="AI223" s="1"/>
    </row>
    <row r="224" ht="15.75" customHeight="1">
      <c r="A224" s="1"/>
      <c r="B224" s="1"/>
      <c r="C224" s="3"/>
      <c r="D224" s="1"/>
      <c r="E224" s="1"/>
      <c r="F224" s="1"/>
      <c r="G224" s="1"/>
      <c r="H224" s="1"/>
      <c r="I224" s="1"/>
      <c r="J224" s="1"/>
      <c r="K224" s="1"/>
      <c r="L224" s="1"/>
      <c r="M224" s="1"/>
      <c r="N224" s="1"/>
      <c r="O224" s="1"/>
      <c r="P224" s="3"/>
      <c r="Q224" s="1"/>
      <c r="R224" s="1"/>
      <c r="S224" s="1"/>
      <c r="T224" s="1"/>
      <c r="U224" s="1"/>
      <c r="V224" s="1"/>
      <c r="W224" s="1"/>
      <c r="X224" s="1"/>
      <c r="Y224" s="1"/>
      <c r="Z224" s="1"/>
      <c r="AA224" s="1"/>
      <c r="AB224" s="1"/>
      <c r="AC224" s="1"/>
      <c r="AD224" s="1"/>
      <c r="AE224" s="1"/>
      <c r="AF224" s="1"/>
      <c r="AG224" s="1"/>
      <c r="AH224" s="1"/>
      <c r="AI224" s="1"/>
    </row>
    <row r="225" ht="15.75" customHeight="1">
      <c r="A225" s="1"/>
      <c r="B225" s="1"/>
      <c r="C225" s="3"/>
      <c r="D225" s="1"/>
      <c r="E225" s="1"/>
      <c r="F225" s="1"/>
      <c r="G225" s="1"/>
      <c r="H225" s="1"/>
      <c r="I225" s="1"/>
      <c r="J225" s="1"/>
      <c r="K225" s="1"/>
      <c r="L225" s="1"/>
      <c r="M225" s="1"/>
      <c r="N225" s="1"/>
      <c r="O225" s="1"/>
      <c r="P225" s="3"/>
      <c r="Q225" s="1"/>
      <c r="R225" s="1"/>
      <c r="S225" s="1"/>
      <c r="T225" s="1"/>
      <c r="U225" s="1"/>
      <c r="V225" s="1"/>
      <c r="W225" s="1"/>
      <c r="X225" s="1"/>
      <c r="Y225" s="1"/>
      <c r="Z225" s="1"/>
      <c r="AA225" s="1"/>
      <c r="AB225" s="1"/>
      <c r="AC225" s="1"/>
      <c r="AD225" s="1"/>
      <c r="AE225" s="1"/>
      <c r="AF225" s="1"/>
      <c r="AG225" s="1"/>
      <c r="AH225" s="1"/>
      <c r="AI225" s="1"/>
    </row>
    <row r="226" ht="15.75" customHeight="1">
      <c r="A226" s="1"/>
      <c r="B226" s="1"/>
      <c r="C226" s="3"/>
      <c r="D226" s="1"/>
      <c r="E226" s="1"/>
      <c r="F226" s="1"/>
      <c r="G226" s="1"/>
      <c r="H226" s="1"/>
      <c r="I226" s="1"/>
      <c r="J226" s="1"/>
      <c r="K226" s="1"/>
      <c r="L226" s="1"/>
      <c r="M226" s="1"/>
      <c r="N226" s="1"/>
      <c r="O226" s="1"/>
      <c r="P226" s="3"/>
      <c r="Q226" s="1"/>
      <c r="R226" s="1"/>
      <c r="S226" s="1"/>
      <c r="T226" s="1"/>
      <c r="U226" s="1"/>
      <c r="V226" s="1"/>
      <c r="W226" s="1"/>
      <c r="X226" s="1"/>
      <c r="Y226" s="1"/>
      <c r="Z226" s="1"/>
      <c r="AA226" s="1"/>
      <c r="AB226" s="1"/>
      <c r="AC226" s="1"/>
      <c r="AD226" s="1"/>
      <c r="AE226" s="1"/>
      <c r="AF226" s="1"/>
      <c r="AG226" s="1"/>
      <c r="AH226" s="1"/>
      <c r="AI226" s="1"/>
    </row>
    <row r="227" ht="15.75" customHeight="1">
      <c r="A227" s="1"/>
      <c r="B227" s="1"/>
      <c r="C227" s="3"/>
      <c r="D227" s="1"/>
      <c r="E227" s="1"/>
      <c r="F227" s="1"/>
      <c r="G227" s="1"/>
      <c r="H227" s="1"/>
      <c r="I227" s="1"/>
      <c r="J227" s="1"/>
      <c r="K227" s="1"/>
      <c r="L227" s="1"/>
      <c r="M227" s="1"/>
      <c r="N227" s="1"/>
      <c r="O227" s="1"/>
      <c r="P227" s="3"/>
      <c r="Q227" s="1"/>
      <c r="R227" s="1"/>
      <c r="S227" s="1"/>
      <c r="T227" s="1"/>
      <c r="U227" s="1"/>
      <c r="V227" s="1"/>
      <c r="W227" s="1"/>
      <c r="X227" s="1"/>
      <c r="Y227" s="1"/>
      <c r="Z227" s="1"/>
      <c r="AA227" s="1"/>
      <c r="AB227" s="1"/>
      <c r="AC227" s="1"/>
      <c r="AD227" s="1"/>
      <c r="AE227" s="1"/>
      <c r="AF227" s="1"/>
      <c r="AG227" s="1"/>
      <c r="AH227" s="1"/>
      <c r="AI227" s="1"/>
    </row>
    <row r="228" ht="15.75" customHeight="1">
      <c r="A228" s="1"/>
      <c r="B228" s="1"/>
      <c r="C228" s="3"/>
      <c r="D228" s="1"/>
      <c r="E228" s="1"/>
      <c r="F228" s="1"/>
      <c r="G228" s="1"/>
      <c r="H228" s="1"/>
      <c r="I228" s="1"/>
      <c r="J228" s="1"/>
      <c r="K228" s="1"/>
      <c r="L228" s="1"/>
      <c r="M228" s="1"/>
      <c r="N228" s="1"/>
      <c r="O228" s="1"/>
      <c r="P228" s="3"/>
      <c r="Q228" s="1"/>
      <c r="R228" s="1"/>
      <c r="S228" s="1"/>
      <c r="T228" s="1"/>
      <c r="U228" s="1"/>
      <c r="V228" s="1"/>
      <c r="W228" s="1"/>
      <c r="X228" s="1"/>
      <c r="Y228" s="1"/>
      <c r="Z228" s="1"/>
      <c r="AA228" s="1"/>
      <c r="AB228" s="1"/>
      <c r="AC228" s="1"/>
      <c r="AD228" s="1"/>
      <c r="AE228" s="1"/>
      <c r="AF228" s="1"/>
      <c r="AG228" s="1"/>
      <c r="AH228" s="1"/>
      <c r="AI228" s="1"/>
    </row>
    <row r="229" ht="15.75" customHeight="1">
      <c r="A229" s="1"/>
      <c r="B229" s="1"/>
      <c r="C229" s="3"/>
      <c r="D229" s="1"/>
      <c r="E229" s="1"/>
      <c r="F229" s="1"/>
      <c r="G229" s="1"/>
      <c r="H229" s="1"/>
      <c r="I229" s="1"/>
      <c r="J229" s="1"/>
      <c r="K229" s="1"/>
      <c r="L229" s="1"/>
      <c r="M229" s="1"/>
      <c r="N229" s="1"/>
      <c r="O229" s="1"/>
      <c r="P229" s="3"/>
      <c r="Q229" s="1"/>
      <c r="R229" s="1"/>
      <c r="S229" s="1"/>
      <c r="T229" s="1"/>
      <c r="U229" s="1"/>
      <c r="V229" s="1"/>
      <c r="W229" s="1"/>
      <c r="X229" s="1"/>
      <c r="Y229" s="1"/>
      <c r="Z229" s="1"/>
      <c r="AA229" s="1"/>
      <c r="AB229" s="1"/>
      <c r="AC229" s="1"/>
      <c r="AD229" s="1"/>
      <c r="AE229" s="1"/>
      <c r="AF229" s="1"/>
      <c r="AG229" s="1"/>
      <c r="AH229" s="1"/>
      <c r="AI229" s="1"/>
    </row>
    <row r="230" ht="15.75" customHeight="1">
      <c r="A230" s="1"/>
      <c r="B230" s="1"/>
      <c r="C230" s="3"/>
      <c r="D230" s="1"/>
      <c r="E230" s="1"/>
      <c r="F230" s="1"/>
      <c r="G230" s="1"/>
      <c r="H230" s="1"/>
      <c r="I230" s="1"/>
      <c r="J230" s="1"/>
      <c r="K230" s="1"/>
      <c r="L230" s="1"/>
      <c r="M230" s="1"/>
      <c r="N230" s="1"/>
      <c r="O230" s="1"/>
      <c r="P230" s="3"/>
      <c r="Q230" s="1"/>
      <c r="R230" s="1"/>
      <c r="S230" s="1"/>
      <c r="T230" s="1"/>
      <c r="U230" s="1"/>
      <c r="V230" s="1"/>
      <c r="W230" s="1"/>
      <c r="X230" s="1"/>
      <c r="Y230" s="1"/>
      <c r="Z230" s="1"/>
      <c r="AA230" s="1"/>
      <c r="AB230" s="1"/>
      <c r="AC230" s="1"/>
      <c r="AD230" s="1"/>
      <c r="AE230" s="1"/>
      <c r="AF230" s="1"/>
      <c r="AG230" s="1"/>
      <c r="AH230" s="1"/>
      <c r="AI230" s="1"/>
    </row>
    <row r="231" ht="15.75" customHeight="1">
      <c r="A231" s="1"/>
      <c r="B231" s="1"/>
      <c r="C231" s="3"/>
      <c r="D231" s="1"/>
      <c r="E231" s="1"/>
      <c r="F231" s="1"/>
      <c r="G231" s="1"/>
      <c r="H231" s="1"/>
      <c r="I231" s="1"/>
      <c r="J231" s="1"/>
      <c r="K231" s="1"/>
      <c r="L231" s="1"/>
      <c r="M231" s="1"/>
      <c r="N231" s="1"/>
      <c r="O231" s="1"/>
      <c r="P231" s="3"/>
      <c r="Q231" s="1"/>
      <c r="R231" s="1"/>
      <c r="S231" s="1"/>
      <c r="T231" s="1"/>
      <c r="U231" s="1"/>
      <c r="V231" s="1"/>
      <c r="W231" s="1"/>
      <c r="X231" s="1"/>
      <c r="Y231" s="1"/>
      <c r="Z231" s="1"/>
      <c r="AA231" s="1"/>
      <c r="AB231" s="1"/>
      <c r="AC231" s="1"/>
      <c r="AD231" s="1"/>
      <c r="AE231" s="1"/>
      <c r="AF231" s="1"/>
      <c r="AG231" s="1"/>
      <c r="AH231" s="1"/>
      <c r="AI231" s="1"/>
    </row>
    <row r="232" ht="15.75" customHeight="1">
      <c r="A232" s="1"/>
      <c r="B232" s="1"/>
      <c r="C232" s="3"/>
      <c r="D232" s="1"/>
      <c r="E232" s="1"/>
      <c r="F232" s="1"/>
      <c r="G232" s="1"/>
      <c r="H232" s="1"/>
      <c r="I232" s="1"/>
      <c r="J232" s="1"/>
      <c r="K232" s="1"/>
      <c r="L232" s="1"/>
      <c r="M232" s="1"/>
      <c r="N232" s="1"/>
      <c r="O232" s="1"/>
      <c r="P232" s="3"/>
      <c r="Q232" s="1"/>
      <c r="R232" s="1"/>
      <c r="S232" s="1"/>
      <c r="T232" s="1"/>
      <c r="U232" s="1"/>
      <c r="V232" s="1"/>
      <c r="W232" s="1"/>
      <c r="X232" s="1"/>
      <c r="Y232" s="1"/>
      <c r="Z232" s="1"/>
      <c r="AA232" s="1"/>
      <c r="AB232" s="1"/>
      <c r="AC232" s="1"/>
      <c r="AD232" s="1"/>
      <c r="AE232" s="1"/>
      <c r="AF232" s="1"/>
      <c r="AG232" s="1"/>
      <c r="AH232" s="1"/>
      <c r="AI232" s="1"/>
    </row>
    <row r="233" ht="15.75" customHeight="1">
      <c r="A233" s="1"/>
      <c r="B233" s="1"/>
      <c r="C233" s="3"/>
      <c r="D233" s="1"/>
      <c r="E233" s="1"/>
      <c r="F233" s="1"/>
      <c r="G233" s="1"/>
      <c r="H233" s="1"/>
      <c r="I233" s="1"/>
      <c r="J233" s="1"/>
      <c r="K233" s="1"/>
      <c r="L233" s="1"/>
      <c r="M233" s="1"/>
      <c r="N233" s="1"/>
      <c r="O233" s="1"/>
      <c r="P233" s="3"/>
      <c r="Q233" s="1"/>
      <c r="R233" s="1"/>
      <c r="S233" s="1"/>
      <c r="T233" s="1"/>
      <c r="U233" s="1"/>
      <c r="V233" s="1"/>
      <c r="W233" s="1"/>
      <c r="X233" s="1"/>
      <c r="Y233" s="1"/>
      <c r="Z233" s="1"/>
      <c r="AA233" s="1"/>
      <c r="AB233" s="1"/>
      <c r="AC233" s="1"/>
      <c r="AD233" s="1"/>
      <c r="AE233" s="1"/>
      <c r="AF233" s="1"/>
      <c r="AG233" s="1"/>
      <c r="AH233" s="1"/>
      <c r="AI233" s="1"/>
    </row>
    <row r="234" ht="15.75" customHeight="1">
      <c r="A234" s="1"/>
      <c r="B234" s="1"/>
      <c r="C234" s="3"/>
      <c r="D234" s="1"/>
      <c r="E234" s="1"/>
      <c r="F234" s="1"/>
      <c r="G234" s="1"/>
      <c r="H234" s="1"/>
      <c r="I234" s="1"/>
      <c r="J234" s="1"/>
      <c r="K234" s="1"/>
      <c r="L234" s="1"/>
      <c r="M234" s="1"/>
      <c r="N234" s="1"/>
      <c r="O234" s="1"/>
      <c r="P234" s="3"/>
      <c r="Q234" s="1"/>
      <c r="R234" s="1"/>
      <c r="S234" s="1"/>
      <c r="T234" s="1"/>
      <c r="U234" s="1"/>
      <c r="V234" s="1"/>
      <c r="W234" s="1"/>
      <c r="X234" s="1"/>
      <c r="Y234" s="1"/>
      <c r="Z234" s="1"/>
      <c r="AA234" s="1"/>
      <c r="AB234" s="1"/>
      <c r="AC234" s="1"/>
      <c r="AD234" s="1"/>
      <c r="AE234" s="1"/>
      <c r="AF234" s="1"/>
      <c r="AG234" s="1"/>
      <c r="AH234" s="1"/>
      <c r="AI234" s="1"/>
    </row>
    <row r="235" ht="15.75" customHeight="1">
      <c r="A235" s="1"/>
      <c r="B235" s="1"/>
      <c r="C235" s="3"/>
      <c r="D235" s="1"/>
      <c r="E235" s="1"/>
      <c r="F235" s="1"/>
      <c r="G235" s="1"/>
      <c r="H235" s="1"/>
      <c r="I235" s="1"/>
      <c r="J235" s="1"/>
      <c r="K235" s="1"/>
      <c r="L235" s="1"/>
      <c r="M235" s="1"/>
      <c r="N235" s="1"/>
      <c r="O235" s="1"/>
      <c r="P235" s="3"/>
      <c r="Q235" s="1"/>
      <c r="R235" s="1"/>
      <c r="S235" s="1"/>
      <c r="T235" s="1"/>
      <c r="U235" s="1"/>
      <c r="V235" s="1"/>
      <c r="W235" s="1"/>
      <c r="X235" s="1"/>
      <c r="Y235" s="1"/>
      <c r="Z235" s="1"/>
      <c r="AA235" s="1"/>
      <c r="AB235" s="1"/>
      <c r="AC235" s="1"/>
      <c r="AD235" s="1"/>
      <c r="AE235" s="1"/>
      <c r="AF235" s="1"/>
      <c r="AG235" s="1"/>
      <c r="AH235" s="1"/>
      <c r="AI235" s="1"/>
    </row>
    <row r="236" ht="15.75" customHeight="1">
      <c r="A236" s="1"/>
      <c r="B236" s="1"/>
      <c r="C236" s="3"/>
      <c r="D236" s="1"/>
      <c r="E236" s="1"/>
      <c r="F236" s="1"/>
      <c r="G236" s="1"/>
      <c r="H236" s="1"/>
      <c r="I236" s="1"/>
      <c r="J236" s="1"/>
      <c r="K236" s="1"/>
      <c r="L236" s="1"/>
      <c r="M236" s="1"/>
      <c r="N236" s="1"/>
      <c r="O236" s="1"/>
      <c r="P236" s="3"/>
      <c r="Q236" s="1"/>
      <c r="R236" s="1"/>
      <c r="S236" s="1"/>
      <c r="T236" s="1"/>
      <c r="U236" s="1"/>
      <c r="V236" s="1"/>
      <c r="W236" s="1"/>
      <c r="X236" s="1"/>
      <c r="Y236" s="1"/>
      <c r="Z236" s="1"/>
      <c r="AA236" s="1"/>
      <c r="AB236" s="1"/>
      <c r="AC236" s="1"/>
      <c r="AD236" s="1"/>
      <c r="AE236" s="1"/>
      <c r="AF236" s="1"/>
      <c r="AG236" s="1"/>
      <c r="AH236" s="1"/>
      <c r="AI236" s="1"/>
    </row>
    <row r="237" ht="15.75" customHeight="1">
      <c r="A237" s="1"/>
      <c r="B237" s="1"/>
      <c r="C237" s="3"/>
      <c r="D237" s="1"/>
      <c r="E237" s="1"/>
      <c r="F237" s="1"/>
      <c r="G237" s="1"/>
      <c r="H237" s="1"/>
      <c r="I237" s="1"/>
      <c r="J237" s="1"/>
      <c r="K237" s="1"/>
      <c r="L237" s="1"/>
      <c r="M237" s="1"/>
      <c r="N237" s="1"/>
      <c r="O237" s="1"/>
      <c r="P237" s="3"/>
      <c r="Q237" s="1"/>
      <c r="R237" s="1"/>
      <c r="S237" s="1"/>
      <c r="T237" s="1"/>
      <c r="U237" s="1"/>
      <c r="V237" s="1"/>
      <c r="W237" s="1"/>
      <c r="X237" s="1"/>
      <c r="Y237" s="1"/>
      <c r="Z237" s="1"/>
      <c r="AA237" s="1"/>
      <c r="AB237" s="1"/>
      <c r="AC237" s="1"/>
      <c r="AD237" s="1"/>
      <c r="AE237" s="1"/>
      <c r="AF237" s="1"/>
      <c r="AG237" s="1"/>
      <c r="AH237" s="1"/>
      <c r="AI237" s="1"/>
    </row>
    <row r="238" ht="15.75" customHeight="1">
      <c r="A238" s="1"/>
      <c r="B238" s="1"/>
      <c r="C238" s="3"/>
      <c r="D238" s="1"/>
      <c r="E238" s="1"/>
      <c r="F238" s="1"/>
      <c r="G238" s="1"/>
      <c r="H238" s="1"/>
      <c r="I238" s="1"/>
      <c r="J238" s="1"/>
      <c r="K238" s="1"/>
      <c r="L238" s="1"/>
      <c r="M238" s="1"/>
      <c r="N238" s="1"/>
      <c r="O238" s="1"/>
      <c r="P238" s="3"/>
      <c r="Q238" s="1"/>
      <c r="R238" s="1"/>
      <c r="S238" s="1"/>
      <c r="T238" s="1"/>
      <c r="U238" s="1"/>
      <c r="V238" s="1"/>
      <c r="W238" s="1"/>
      <c r="X238" s="1"/>
      <c r="Y238" s="1"/>
      <c r="Z238" s="1"/>
      <c r="AA238" s="1"/>
      <c r="AB238" s="1"/>
      <c r="AC238" s="1"/>
      <c r="AD238" s="1"/>
      <c r="AE238" s="1"/>
      <c r="AF238" s="1"/>
      <c r="AG238" s="1"/>
      <c r="AH238" s="1"/>
      <c r="AI238" s="1"/>
    </row>
    <row r="239" ht="15.75" customHeight="1">
      <c r="A239" s="1"/>
      <c r="B239" s="1"/>
      <c r="C239" s="3"/>
      <c r="D239" s="1"/>
      <c r="E239" s="1"/>
      <c r="F239" s="1"/>
      <c r="G239" s="1"/>
      <c r="H239" s="1"/>
      <c r="I239" s="1"/>
      <c r="J239" s="1"/>
      <c r="K239" s="1"/>
      <c r="L239" s="1"/>
      <c r="M239" s="1"/>
      <c r="N239" s="1"/>
      <c r="O239" s="1"/>
      <c r="P239" s="3"/>
      <c r="Q239" s="1"/>
      <c r="R239" s="1"/>
      <c r="S239" s="1"/>
      <c r="T239" s="1"/>
      <c r="U239" s="1"/>
      <c r="V239" s="1"/>
      <c r="W239" s="1"/>
      <c r="X239" s="1"/>
      <c r="Y239" s="1"/>
      <c r="Z239" s="1"/>
      <c r="AA239" s="1"/>
      <c r="AB239" s="1"/>
      <c r="AC239" s="1"/>
      <c r="AD239" s="1"/>
      <c r="AE239" s="1"/>
      <c r="AF239" s="1"/>
      <c r="AG239" s="1"/>
      <c r="AH239" s="1"/>
      <c r="AI239" s="1"/>
    </row>
    <row r="240" ht="15.75" customHeight="1">
      <c r="A240" s="1"/>
      <c r="B240" s="1"/>
      <c r="C240" s="3"/>
      <c r="D240" s="1"/>
      <c r="E240" s="1"/>
      <c r="F240" s="1"/>
      <c r="G240" s="1"/>
      <c r="H240" s="1"/>
      <c r="I240" s="1"/>
      <c r="J240" s="1"/>
      <c r="K240" s="1"/>
      <c r="L240" s="1"/>
      <c r="M240" s="1"/>
      <c r="N240" s="1"/>
      <c r="O240" s="1"/>
      <c r="P240" s="3"/>
      <c r="Q240" s="1"/>
      <c r="R240" s="1"/>
      <c r="S240" s="1"/>
      <c r="T240" s="1"/>
      <c r="U240" s="1"/>
      <c r="V240" s="1"/>
      <c r="W240" s="1"/>
      <c r="X240" s="1"/>
      <c r="Y240" s="1"/>
      <c r="Z240" s="1"/>
      <c r="AA240" s="1"/>
      <c r="AB240" s="1"/>
      <c r="AC240" s="1"/>
      <c r="AD240" s="1"/>
      <c r="AE240" s="1"/>
      <c r="AF240" s="1"/>
      <c r="AG240" s="1"/>
      <c r="AH240" s="1"/>
      <c r="AI240" s="1"/>
    </row>
    <row r="241" ht="15.75" customHeight="1">
      <c r="A241" s="1"/>
      <c r="B241" s="1"/>
      <c r="C241" s="3"/>
      <c r="D241" s="1"/>
      <c r="E241" s="1"/>
      <c r="F241" s="1"/>
      <c r="G241" s="1"/>
      <c r="H241" s="1"/>
      <c r="I241" s="1"/>
      <c r="J241" s="1"/>
      <c r="K241" s="1"/>
      <c r="L241" s="1"/>
      <c r="M241" s="1"/>
      <c r="N241" s="1"/>
      <c r="O241" s="1"/>
      <c r="P241" s="3"/>
      <c r="Q241" s="1"/>
      <c r="R241" s="1"/>
      <c r="S241" s="1"/>
      <c r="T241" s="1"/>
      <c r="U241" s="1"/>
      <c r="V241" s="1"/>
      <c r="W241" s="1"/>
      <c r="X241" s="1"/>
      <c r="Y241" s="1"/>
      <c r="Z241" s="1"/>
      <c r="AA241" s="1"/>
      <c r="AB241" s="1"/>
      <c r="AC241" s="1"/>
      <c r="AD241" s="1"/>
      <c r="AE241" s="1"/>
      <c r="AF241" s="1"/>
      <c r="AG241" s="1"/>
      <c r="AH241" s="1"/>
      <c r="AI241" s="1"/>
    </row>
    <row r="242" ht="15.75" customHeight="1">
      <c r="A242" s="1"/>
      <c r="B242" s="1"/>
      <c r="C242" s="3"/>
      <c r="D242" s="1"/>
      <c r="E242" s="1"/>
      <c r="F242" s="1"/>
      <c r="G242" s="1"/>
      <c r="H242" s="1"/>
      <c r="I242" s="1"/>
      <c r="J242" s="1"/>
      <c r="K242" s="1"/>
      <c r="L242" s="1"/>
      <c r="M242" s="1"/>
      <c r="N242" s="1"/>
      <c r="O242" s="1"/>
      <c r="P242" s="3"/>
      <c r="Q242" s="1"/>
      <c r="R242" s="1"/>
      <c r="S242" s="1"/>
      <c r="T242" s="1"/>
      <c r="U242" s="1"/>
      <c r="V242" s="1"/>
      <c r="W242" s="1"/>
      <c r="X242" s="1"/>
      <c r="Y242" s="1"/>
      <c r="Z242" s="1"/>
      <c r="AA242" s="1"/>
      <c r="AB242" s="1"/>
      <c r="AC242" s="1"/>
      <c r="AD242" s="1"/>
      <c r="AE242" s="1"/>
      <c r="AF242" s="1"/>
      <c r="AG242" s="1"/>
      <c r="AH242" s="1"/>
      <c r="AI242" s="1"/>
    </row>
    <row r="243" ht="15.75" customHeight="1">
      <c r="A243" s="1"/>
      <c r="B243" s="1"/>
      <c r="C243" s="3"/>
      <c r="D243" s="1"/>
      <c r="E243" s="1"/>
      <c r="F243" s="1"/>
      <c r="G243" s="1"/>
      <c r="H243" s="1"/>
      <c r="I243" s="1"/>
      <c r="J243" s="1"/>
      <c r="K243" s="1"/>
      <c r="L243" s="1"/>
      <c r="M243" s="1"/>
      <c r="N243" s="1"/>
      <c r="O243" s="1"/>
      <c r="P243" s="3"/>
      <c r="Q243" s="1"/>
      <c r="R243" s="1"/>
      <c r="S243" s="1"/>
      <c r="T243" s="1"/>
      <c r="U243" s="1"/>
      <c r="V243" s="1"/>
      <c r="W243" s="1"/>
      <c r="X243" s="1"/>
      <c r="Y243" s="1"/>
      <c r="Z243" s="1"/>
      <c r="AA243" s="1"/>
      <c r="AB243" s="1"/>
      <c r="AC243" s="1"/>
      <c r="AD243" s="1"/>
      <c r="AE243" s="1"/>
      <c r="AF243" s="1"/>
      <c r="AG243" s="1"/>
      <c r="AH243" s="1"/>
      <c r="AI243" s="1"/>
    </row>
    <row r="244" ht="15.75" customHeight="1">
      <c r="A244" s="1"/>
      <c r="B244" s="1"/>
      <c r="C244" s="3"/>
      <c r="D244" s="1"/>
      <c r="E244" s="1"/>
      <c r="F244" s="1"/>
      <c r="G244" s="1"/>
      <c r="H244" s="1"/>
      <c r="I244" s="1"/>
      <c r="J244" s="1"/>
      <c r="K244" s="1"/>
      <c r="L244" s="1"/>
      <c r="M244" s="1"/>
      <c r="N244" s="1"/>
      <c r="O244" s="1"/>
      <c r="P244" s="3"/>
      <c r="Q244" s="1"/>
      <c r="R244" s="1"/>
      <c r="S244" s="1"/>
      <c r="T244" s="1"/>
      <c r="U244" s="1"/>
      <c r="V244" s="1"/>
      <c r="W244" s="1"/>
      <c r="X244" s="1"/>
      <c r="Y244" s="1"/>
      <c r="Z244" s="1"/>
      <c r="AA244" s="1"/>
      <c r="AB244" s="1"/>
      <c r="AC244" s="1"/>
      <c r="AD244" s="1"/>
      <c r="AE244" s="1"/>
      <c r="AF244" s="1"/>
      <c r="AG244" s="1"/>
      <c r="AH244" s="1"/>
      <c r="AI244" s="1"/>
    </row>
    <row r="245" ht="15.75" customHeight="1">
      <c r="A245" s="1"/>
      <c r="B245" s="1"/>
      <c r="C245" s="3"/>
      <c r="D245" s="1"/>
      <c r="E245" s="1"/>
      <c r="F245" s="1"/>
      <c r="G245" s="1"/>
      <c r="H245" s="1"/>
      <c r="I245" s="1"/>
      <c r="J245" s="1"/>
      <c r="K245" s="1"/>
      <c r="L245" s="1"/>
      <c r="M245" s="1"/>
      <c r="N245" s="1"/>
      <c r="O245" s="1"/>
      <c r="P245" s="3"/>
      <c r="Q245" s="1"/>
      <c r="R245" s="1"/>
      <c r="S245" s="1"/>
      <c r="T245" s="1"/>
      <c r="U245" s="1"/>
      <c r="V245" s="1"/>
      <c r="W245" s="1"/>
      <c r="X245" s="1"/>
      <c r="Y245" s="1"/>
      <c r="Z245" s="1"/>
      <c r="AA245" s="1"/>
      <c r="AB245" s="1"/>
      <c r="AC245" s="1"/>
      <c r="AD245" s="1"/>
      <c r="AE245" s="1"/>
      <c r="AF245" s="1"/>
      <c r="AG245" s="1"/>
      <c r="AH245" s="1"/>
      <c r="AI245" s="1"/>
    </row>
    <row r="246" ht="15.75" customHeight="1">
      <c r="A246" s="1"/>
      <c r="B246" s="1"/>
      <c r="C246" s="3"/>
      <c r="D246" s="1"/>
      <c r="E246" s="1"/>
      <c r="F246" s="1"/>
      <c r="G246" s="1"/>
      <c r="H246" s="1"/>
      <c r="I246" s="1"/>
      <c r="J246" s="1"/>
      <c r="K246" s="1"/>
      <c r="L246" s="1"/>
      <c r="M246" s="1"/>
      <c r="N246" s="1"/>
      <c r="O246" s="1"/>
      <c r="P246" s="3"/>
      <c r="Q246" s="1"/>
      <c r="R246" s="1"/>
      <c r="S246" s="1"/>
      <c r="T246" s="1"/>
      <c r="U246" s="1"/>
      <c r="V246" s="1"/>
      <c r="W246" s="1"/>
      <c r="X246" s="1"/>
      <c r="Y246" s="1"/>
      <c r="Z246" s="1"/>
      <c r="AA246" s="1"/>
      <c r="AB246" s="1"/>
      <c r="AC246" s="1"/>
      <c r="AD246" s="1"/>
      <c r="AE246" s="1"/>
      <c r="AF246" s="1"/>
      <c r="AG246" s="1"/>
      <c r="AH246" s="1"/>
      <c r="AI246" s="1"/>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B$16:$U$47"/>
  <mergeCells count="24">
    <mergeCell ref="F9:G11"/>
    <mergeCell ref="H9:H11"/>
    <mergeCell ref="I10:J10"/>
    <mergeCell ref="I11:J11"/>
    <mergeCell ref="C14:D14"/>
    <mergeCell ref="N14:O14"/>
    <mergeCell ref="P14:Q14"/>
    <mergeCell ref="M2:N2"/>
    <mergeCell ref="D3:E3"/>
    <mergeCell ref="F3:G3"/>
    <mergeCell ref="B4:C4"/>
    <mergeCell ref="I4:K4"/>
    <mergeCell ref="B5:C5"/>
    <mergeCell ref="B6:C6"/>
    <mergeCell ref="S14:S15"/>
    <mergeCell ref="T14:T15"/>
    <mergeCell ref="U14:U15"/>
    <mergeCell ref="R5:S5"/>
    <mergeCell ref="R6:S7"/>
    <mergeCell ref="T6:T7"/>
    <mergeCell ref="R8:S8"/>
    <mergeCell ref="R9:S11"/>
    <mergeCell ref="T9:T11"/>
    <mergeCell ref="R14:R15"/>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1" width="12.75"/>
    <col customWidth="1" min="2" max="2" width="55.38"/>
    <col customWidth="1" min="5" max="5" width="19.75"/>
    <col customWidth="1" min="10" max="10" width="25.38"/>
    <col customWidth="1" min="11" max="11" width="24.75"/>
    <col customWidth="1" min="19" max="19" width="24.75"/>
  </cols>
  <sheetData>
    <row r="1" ht="15.75" hidden="1" customHeight="1">
      <c r="A1" s="149" t="s">
        <v>53</v>
      </c>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50"/>
    </row>
    <row r="2" ht="15.75" hidden="1" customHeight="1">
      <c r="A2" s="149" t="s">
        <v>54</v>
      </c>
      <c r="B2" s="149" t="s">
        <v>55</v>
      </c>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50"/>
    </row>
    <row r="3" ht="15.75" hidden="1" customHeight="1">
      <c r="A3" s="149" t="s">
        <v>56</v>
      </c>
      <c r="B3" s="149" t="s">
        <v>57</v>
      </c>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50"/>
    </row>
    <row r="4" ht="15.75" hidden="1" customHeight="1">
      <c r="A4" s="149" t="s">
        <v>58</v>
      </c>
      <c r="B4" s="151">
        <v>2.27240948E8</v>
      </c>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50"/>
    </row>
    <row r="5" ht="15.75" hidden="1" customHeight="1">
      <c r="A5" s="149" t="s">
        <v>59</v>
      </c>
      <c r="B5" s="152">
        <v>45843.41875</v>
      </c>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50"/>
    </row>
    <row r="6" ht="15.75" hidden="1" customHeight="1">
      <c r="A6" s="149" t="s">
        <v>60</v>
      </c>
      <c r="B6" s="149" t="s">
        <v>61</v>
      </c>
      <c r="D6" s="149"/>
      <c r="E6" s="149"/>
      <c r="F6" s="149"/>
      <c r="G6" s="149"/>
      <c r="H6" s="149"/>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50"/>
    </row>
    <row r="7" ht="15.75" hidden="1" customHeight="1">
      <c r="A7" s="149"/>
      <c r="B7" s="149"/>
      <c r="C7" s="149"/>
      <c r="D7" s="149"/>
      <c r="E7" s="149"/>
      <c r="F7" s="149"/>
      <c r="G7" s="149"/>
      <c r="H7" s="149"/>
      <c r="I7" s="149"/>
      <c r="J7" s="149"/>
      <c r="K7" s="149"/>
      <c r="L7" s="149"/>
      <c r="M7" s="149"/>
      <c r="N7" s="149"/>
      <c r="O7" s="149"/>
      <c r="P7" s="149"/>
      <c r="Q7" s="149"/>
      <c r="R7" s="149"/>
      <c r="S7" s="149"/>
      <c r="T7" s="149"/>
      <c r="U7" s="149"/>
      <c r="V7" s="149"/>
      <c r="W7" s="153">
        <f>SUM(W9:W26)</f>
        <v>19452000</v>
      </c>
      <c r="X7" s="153"/>
      <c r="Y7" s="153">
        <f>SUM(Y9:Y26)</f>
        <v>3427031</v>
      </c>
      <c r="Z7" s="149"/>
      <c r="AA7" s="149"/>
      <c r="AB7" s="149"/>
      <c r="AC7" s="149"/>
      <c r="AD7" s="149"/>
      <c r="AE7" s="149"/>
      <c r="AF7" s="149"/>
      <c r="AG7" s="150"/>
    </row>
    <row r="8" ht="15.75" hidden="1" customHeight="1">
      <c r="A8" s="149" t="s">
        <v>62</v>
      </c>
      <c r="B8" s="149" t="s">
        <v>63</v>
      </c>
      <c r="C8" s="149" t="s">
        <v>64</v>
      </c>
      <c r="D8" s="149" t="s">
        <v>65</v>
      </c>
      <c r="E8" s="149" t="s">
        <v>66</v>
      </c>
      <c r="F8" s="149" t="s">
        <v>67</v>
      </c>
      <c r="G8" s="149" t="s">
        <v>68</v>
      </c>
      <c r="H8" s="149" t="s">
        <v>69</v>
      </c>
      <c r="I8" s="149" t="s">
        <v>70</v>
      </c>
      <c r="J8" s="149" t="s">
        <v>71</v>
      </c>
      <c r="K8" s="149" t="s">
        <v>72</v>
      </c>
      <c r="L8" s="149" t="s">
        <v>73</v>
      </c>
      <c r="M8" s="149" t="s">
        <v>74</v>
      </c>
      <c r="N8" s="149" t="s">
        <v>75</v>
      </c>
      <c r="O8" s="149" t="s">
        <v>76</v>
      </c>
      <c r="P8" s="149" t="s">
        <v>77</v>
      </c>
      <c r="Q8" s="149" t="s">
        <v>78</v>
      </c>
      <c r="R8" s="149" t="s">
        <v>79</v>
      </c>
      <c r="S8" s="149" t="s">
        <v>80</v>
      </c>
      <c r="T8" s="149" t="s">
        <v>81</v>
      </c>
      <c r="U8" s="149" t="s">
        <v>82</v>
      </c>
      <c r="V8" s="149" t="s">
        <v>83</v>
      </c>
      <c r="W8" s="149" t="s">
        <v>84</v>
      </c>
      <c r="X8" s="149" t="s">
        <v>85</v>
      </c>
      <c r="Y8" s="149" t="s">
        <v>86</v>
      </c>
      <c r="Z8" s="149" t="s">
        <v>20</v>
      </c>
      <c r="AA8" s="149" t="s">
        <v>87</v>
      </c>
      <c r="AB8" s="149" t="s">
        <v>88</v>
      </c>
      <c r="AC8" s="149" t="s">
        <v>89</v>
      </c>
      <c r="AD8" s="149" t="s">
        <v>90</v>
      </c>
      <c r="AE8" s="149" t="s">
        <v>91</v>
      </c>
      <c r="AF8" s="149" t="s">
        <v>92</v>
      </c>
      <c r="AG8" s="154" t="s">
        <v>93</v>
      </c>
    </row>
    <row r="9" ht="15.75" hidden="1" customHeight="1">
      <c r="A9" s="151">
        <v>1.0</v>
      </c>
      <c r="B9" s="149" t="s">
        <v>94</v>
      </c>
      <c r="C9" s="149" t="s">
        <v>95</v>
      </c>
      <c r="D9" s="149" t="s">
        <v>96</v>
      </c>
      <c r="E9" s="149" t="s">
        <v>97</v>
      </c>
      <c r="F9" s="149" t="s">
        <v>97</v>
      </c>
      <c r="G9" s="149" t="s">
        <v>98</v>
      </c>
      <c r="H9" s="149" t="s">
        <v>99</v>
      </c>
      <c r="I9" s="149" t="s">
        <v>97</v>
      </c>
      <c r="J9" s="152">
        <v>45784.0</v>
      </c>
      <c r="K9" s="149" t="s">
        <v>100</v>
      </c>
      <c r="L9" s="151">
        <v>6833.0</v>
      </c>
      <c r="M9" s="151">
        <v>1230.0</v>
      </c>
      <c r="N9" s="151" t="s">
        <v>101</v>
      </c>
      <c r="O9" s="151">
        <v>8.0</v>
      </c>
      <c r="P9" s="151">
        <v>6.0</v>
      </c>
      <c r="Q9" s="151" t="s">
        <v>102</v>
      </c>
      <c r="R9" s="151" t="s">
        <v>103</v>
      </c>
      <c r="S9" s="151" t="s">
        <v>104</v>
      </c>
      <c r="T9" s="151" t="s">
        <v>105</v>
      </c>
      <c r="U9" s="151">
        <v>8.0</v>
      </c>
      <c r="V9" s="151">
        <v>6.0</v>
      </c>
      <c r="W9" s="151">
        <v>5848000.0</v>
      </c>
      <c r="X9" s="151">
        <v>5246000.0</v>
      </c>
      <c r="Y9" s="151">
        <v>731021.0</v>
      </c>
      <c r="Z9" s="151">
        <v>8.0</v>
      </c>
      <c r="AA9" s="151" t="s">
        <v>106</v>
      </c>
      <c r="AB9" s="151" t="s">
        <v>107</v>
      </c>
      <c r="AC9" s="151" t="s">
        <v>108</v>
      </c>
      <c r="AD9" s="151">
        <v>20786.0</v>
      </c>
      <c r="AE9" s="151">
        <v>137.0</v>
      </c>
      <c r="AF9" s="151" t="s">
        <v>109</v>
      </c>
      <c r="AG9" s="150">
        <v>6.0</v>
      </c>
    </row>
    <row r="10" ht="15.75" hidden="1" customHeight="1">
      <c r="A10" s="151">
        <v>2.0</v>
      </c>
      <c r="B10" s="149" t="s">
        <v>110</v>
      </c>
      <c r="C10" s="149" t="s">
        <v>95</v>
      </c>
      <c r="D10" s="149" t="s">
        <v>111</v>
      </c>
      <c r="E10" s="151">
        <v>8.782633181E9</v>
      </c>
      <c r="F10" s="149" t="s">
        <v>97</v>
      </c>
      <c r="G10" s="149" t="s">
        <v>112</v>
      </c>
      <c r="H10" s="149" t="s">
        <v>113</v>
      </c>
      <c r="I10" s="149" t="s">
        <v>114</v>
      </c>
      <c r="J10" s="152">
        <v>45660.0</v>
      </c>
      <c r="K10" s="149" t="s">
        <v>100</v>
      </c>
      <c r="L10" s="151">
        <v>37018.0</v>
      </c>
      <c r="M10" s="151">
        <v>162.0</v>
      </c>
      <c r="N10" s="151" t="s">
        <v>115</v>
      </c>
      <c r="O10" s="151">
        <v>2.0</v>
      </c>
      <c r="P10" s="151">
        <v>2.0</v>
      </c>
      <c r="Q10" s="151" t="s">
        <v>116</v>
      </c>
      <c r="R10" s="151" t="s">
        <v>116</v>
      </c>
      <c r="S10" s="151" t="s">
        <v>117</v>
      </c>
      <c r="T10" s="151" t="s">
        <v>117</v>
      </c>
      <c r="U10" s="151">
        <v>2.0</v>
      </c>
      <c r="V10" s="151">
        <v>2.0</v>
      </c>
      <c r="W10" s="151">
        <v>2970000.0</v>
      </c>
      <c r="X10" s="151">
        <v>2970000.0</v>
      </c>
      <c r="Y10" s="151">
        <v>877188.0</v>
      </c>
      <c r="Z10" s="151" t="s">
        <v>118</v>
      </c>
      <c r="AA10" s="151" t="s">
        <v>118</v>
      </c>
      <c r="AB10" s="151" t="s">
        <v>119</v>
      </c>
      <c r="AC10" s="151" t="s">
        <v>119</v>
      </c>
      <c r="AD10" s="149" t="s">
        <v>97</v>
      </c>
      <c r="AE10" s="149" t="s">
        <v>97</v>
      </c>
      <c r="AF10" s="149" t="s">
        <v>97</v>
      </c>
      <c r="AG10" s="150">
        <v>6.0</v>
      </c>
    </row>
    <row r="11" ht="15.75" hidden="1" customHeight="1">
      <c r="A11" s="151">
        <v>3.0</v>
      </c>
      <c r="B11" s="149" t="s">
        <v>120</v>
      </c>
      <c r="C11" s="149" t="s">
        <v>95</v>
      </c>
      <c r="D11" s="149" t="s">
        <v>111</v>
      </c>
      <c r="E11" s="151">
        <v>5.219966803E9</v>
      </c>
      <c r="F11" s="149" t="s">
        <v>97</v>
      </c>
      <c r="G11" s="149" t="s">
        <v>121</v>
      </c>
      <c r="H11" s="149" t="s">
        <v>113</v>
      </c>
      <c r="I11" s="149" t="s">
        <v>114</v>
      </c>
      <c r="J11" s="152">
        <v>45660.0</v>
      </c>
      <c r="K11" s="149" t="s">
        <v>100</v>
      </c>
      <c r="L11" s="151">
        <v>9756.0</v>
      </c>
      <c r="M11" s="151">
        <v>52.0</v>
      </c>
      <c r="N11" s="151" t="s">
        <v>122</v>
      </c>
      <c r="O11" s="151">
        <v>1.0</v>
      </c>
      <c r="P11" s="151">
        <v>1.0</v>
      </c>
      <c r="Q11" s="151" t="s">
        <v>123</v>
      </c>
      <c r="R11" s="151" t="s">
        <v>123</v>
      </c>
      <c r="S11" s="151" t="s">
        <v>124</v>
      </c>
      <c r="T11" s="151" t="s">
        <v>124</v>
      </c>
      <c r="U11" s="151">
        <v>1.0</v>
      </c>
      <c r="V11" s="151">
        <v>1.0</v>
      </c>
      <c r="W11" s="151">
        <v>731000.0</v>
      </c>
      <c r="X11" s="151">
        <v>731000.0</v>
      </c>
      <c r="Y11" s="151">
        <v>277325.0</v>
      </c>
      <c r="Z11" s="151" t="s">
        <v>125</v>
      </c>
      <c r="AA11" s="151" t="s">
        <v>125</v>
      </c>
      <c r="AB11" s="151" t="s">
        <v>126</v>
      </c>
      <c r="AC11" s="151" t="s">
        <v>126</v>
      </c>
      <c r="AD11" s="149" t="s">
        <v>97</v>
      </c>
      <c r="AE11" s="149" t="s">
        <v>97</v>
      </c>
      <c r="AF11" s="149" t="s">
        <v>97</v>
      </c>
      <c r="AG11" s="150">
        <v>6.0</v>
      </c>
    </row>
    <row r="12" ht="15.75" hidden="1" customHeight="1">
      <c r="A12" s="151">
        <v>4.0</v>
      </c>
      <c r="B12" s="149" t="s">
        <v>127</v>
      </c>
      <c r="C12" s="149" t="s">
        <v>95</v>
      </c>
      <c r="D12" s="149" t="s">
        <v>111</v>
      </c>
      <c r="E12" s="151">
        <v>2.5666719442E10</v>
      </c>
      <c r="F12" s="149" t="s">
        <v>97</v>
      </c>
      <c r="G12" s="149" t="s">
        <v>112</v>
      </c>
      <c r="H12" s="149" t="s">
        <v>113</v>
      </c>
      <c r="I12" s="149" t="s">
        <v>114</v>
      </c>
      <c r="J12" s="155">
        <v>45833.0</v>
      </c>
      <c r="K12" s="149" t="s">
        <v>100</v>
      </c>
      <c r="L12" s="151">
        <v>4525.0</v>
      </c>
      <c r="M12" s="151">
        <v>43.0</v>
      </c>
      <c r="N12" s="151" t="s">
        <v>128</v>
      </c>
      <c r="O12" s="151">
        <v>4.0</v>
      </c>
      <c r="P12" s="151">
        <v>4.0</v>
      </c>
      <c r="Q12" s="151" t="s">
        <v>129</v>
      </c>
      <c r="R12" s="151" t="s">
        <v>129</v>
      </c>
      <c r="S12" s="151" t="s">
        <v>130</v>
      </c>
      <c r="T12" s="151" t="s">
        <v>130</v>
      </c>
      <c r="U12" s="151">
        <v>4.0</v>
      </c>
      <c r="V12" s="151">
        <v>4.0</v>
      </c>
      <c r="W12" s="151">
        <v>2430000.0</v>
      </c>
      <c r="X12" s="151">
        <v>2430000.0</v>
      </c>
      <c r="Y12" s="151">
        <v>208146.0</v>
      </c>
      <c r="Z12" s="151" t="s">
        <v>131</v>
      </c>
      <c r="AA12" s="151" t="s">
        <v>131</v>
      </c>
      <c r="AB12" s="151" t="s">
        <v>132</v>
      </c>
      <c r="AC12" s="151" t="s">
        <v>132</v>
      </c>
      <c r="AD12" s="149" t="s">
        <v>97</v>
      </c>
      <c r="AE12" s="149" t="s">
        <v>97</v>
      </c>
      <c r="AF12" s="149" t="s">
        <v>97</v>
      </c>
      <c r="AG12" s="150">
        <v>6.0</v>
      </c>
    </row>
    <row r="13" ht="15.75" hidden="1" customHeight="1">
      <c r="A13" s="151">
        <v>5.0</v>
      </c>
      <c r="B13" s="149" t="s">
        <v>133</v>
      </c>
      <c r="C13" s="149" t="s">
        <v>95</v>
      </c>
      <c r="D13" s="149" t="s">
        <v>111</v>
      </c>
      <c r="E13" s="151">
        <v>2.486748184E10</v>
      </c>
      <c r="F13" s="149" t="s">
        <v>134</v>
      </c>
      <c r="G13" s="149" t="s">
        <v>112</v>
      </c>
      <c r="H13" s="149" t="s">
        <v>135</v>
      </c>
      <c r="I13" s="149" t="s">
        <v>136</v>
      </c>
      <c r="J13" s="152">
        <v>45785.0</v>
      </c>
      <c r="K13" s="149" t="s">
        <v>100</v>
      </c>
      <c r="L13" s="151">
        <v>1600.0</v>
      </c>
      <c r="M13" s="151">
        <v>25.0</v>
      </c>
      <c r="N13" s="151" t="s">
        <v>137</v>
      </c>
      <c r="O13" s="151">
        <v>1.0</v>
      </c>
      <c r="P13" s="151">
        <v>1.0</v>
      </c>
      <c r="Q13" s="151" t="s">
        <v>138</v>
      </c>
      <c r="R13" s="151" t="s">
        <v>138</v>
      </c>
      <c r="S13" s="151">
        <v>240000.0</v>
      </c>
      <c r="T13" s="151">
        <v>240000.0</v>
      </c>
      <c r="U13" s="151">
        <v>1.0</v>
      </c>
      <c r="V13" s="151">
        <v>1.0</v>
      </c>
      <c r="W13" s="151">
        <v>286000.0</v>
      </c>
      <c r="X13" s="151">
        <v>286000.0</v>
      </c>
      <c r="Y13" s="151">
        <v>240000.0</v>
      </c>
      <c r="Z13" s="151" t="s">
        <v>139</v>
      </c>
      <c r="AA13" s="151" t="s">
        <v>139</v>
      </c>
      <c r="AB13" s="151" t="s">
        <v>140</v>
      </c>
      <c r="AC13" s="151" t="s">
        <v>140</v>
      </c>
      <c r="AD13" s="149" t="s">
        <v>97</v>
      </c>
      <c r="AE13" s="149" t="s">
        <v>97</v>
      </c>
      <c r="AF13" s="149" t="s">
        <v>97</v>
      </c>
      <c r="AG13" s="150">
        <v>6.0</v>
      </c>
    </row>
    <row r="14" ht="15.75" hidden="1" customHeight="1">
      <c r="A14" s="151">
        <v>6.0</v>
      </c>
      <c r="B14" s="149" t="s">
        <v>141</v>
      </c>
      <c r="C14" s="149" t="s">
        <v>95</v>
      </c>
      <c r="D14" s="149" t="s">
        <v>111</v>
      </c>
      <c r="E14" s="151">
        <v>2.2657955668E10</v>
      </c>
      <c r="F14" s="149" t="s">
        <v>97</v>
      </c>
      <c r="G14" s="149" t="s">
        <v>112</v>
      </c>
      <c r="H14" s="149" t="s">
        <v>113</v>
      </c>
      <c r="I14" s="149" t="s">
        <v>114</v>
      </c>
      <c r="J14" s="152">
        <v>45660.0</v>
      </c>
      <c r="K14" s="149" t="s">
        <v>100</v>
      </c>
      <c r="L14" s="151">
        <v>1320.0</v>
      </c>
      <c r="M14" s="151">
        <v>9.0</v>
      </c>
      <c r="N14" s="151" t="s">
        <v>142</v>
      </c>
      <c r="O14" s="151">
        <v>0.0</v>
      </c>
      <c r="P14" s="151">
        <v>0.0</v>
      </c>
      <c r="Q14" s="151" t="s">
        <v>143</v>
      </c>
      <c r="R14" s="151" t="s">
        <v>143</v>
      </c>
      <c r="S14" s="151">
        <v>0.0</v>
      </c>
      <c r="T14" s="151">
        <v>0.0</v>
      </c>
      <c r="U14" s="151">
        <v>0.0</v>
      </c>
      <c r="V14" s="151">
        <v>0.0</v>
      </c>
      <c r="W14" s="151">
        <v>0.0</v>
      </c>
      <c r="X14" s="151">
        <v>0.0</v>
      </c>
      <c r="Y14" s="151">
        <v>1235.0</v>
      </c>
      <c r="Z14" s="151">
        <v>0.0</v>
      </c>
      <c r="AA14" s="151">
        <v>0.0</v>
      </c>
      <c r="AB14" s="151" t="s">
        <v>143</v>
      </c>
      <c r="AC14" s="151" t="s">
        <v>143</v>
      </c>
      <c r="AD14" s="149" t="s">
        <v>97</v>
      </c>
      <c r="AE14" s="149" t="s">
        <v>97</v>
      </c>
      <c r="AF14" s="149" t="s">
        <v>97</v>
      </c>
      <c r="AG14" s="150">
        <v>6.0</v>
      </c>
    </row>
    <row r="15" ht="15.75" hidden="1" customHeight="1">
      <c r="A15" s="151">
        <v>7.0</v>
      </c>
      <c r="B15" s="149" t="s">
        <v>144</v>
      </c>
      <c r="C15" s="149" t="s">
        <v>95</v>
      </c>
      <c r="D15" s="149" t="s">
        <v>111</v>
      </c>
      <c r="E15" s="151">
        <v>5.519393895E9</v>
      </c>
      <c r="F15" s="149" t="s">
        <v>134</v>
      </c>
      <c r="G15" s="149" t="s">
        <v>112</v>
      </c>
      <c r="H15" s="149" t="s">
        <v>135</v>
      </c>
      <c r="I15" s="149" t="s">
        <v>136</v>
      </c>
      <c r="J15" s="155">
        <v>45821.0</v>
      </c>
      <c r="K15" s="149" t="s">
        <v>100</v>
      </c>
      <c r="L15" s="151">
        <v>981.0</v>
      </c>
      <c r="M15" s="151">
        <v>19.0</v>
      </c>
      <c r="N15" s="151" t="s">
        <v>145</v>
      </c>
      <c r="O15" s="151">
        <v>2.0</v>
      </c>
      <c r="P15" s="151">
        <v>1.0</v>
      </c>
      <c r="Q15" s="151" t="s">
        <v>146</v>
      </c>
      <c r="R15" s="151" t="s">
        <v>147</v>
      </c>
      <c r="S15" s="151" t="s">
        <v>148</v>
      </c>
      <c r="T15" s="151" t="s">
        <v>149</v>
      </c>
      <c r="U15" s="151">
        <v>2.0</v>
      </c>
      <c r="V15" s="151">
        <v>1.0</v>
      </c>
      <c r="W15" s="151">
        <v>1246000.0</v>
      </c>
      <c r="X15" s="151">
        <v>856000.0</v>
      </c>
      <c r="Y15" s="151">
        <v>74658.0</v>
      </c>
      <c r="Z15" s="151" t="s">
        <v>150</v>
      </c>
      <c r="AA15" s="151" t="s">
        <v>151</v>
      </c>
      <c r="AB15" s="151" t="s">
        <v>152</v>
      </c>
      <c r="AC15" s="151" t="s">
        <v>153</v>
      </c>
      <c r="AD15" s="149" t="s">
        <v>97</v>
      </c>
      <c r="AE15" s="149" t="s">
        <v>97</v>
      </c>
      <c r="AF15" s="149" t="s">
        <v>97</v>
      </c>
      <c r="AG15" s="150">
        <v>6.0</v>
      </c>
    </row>
    <row r="16" ht="15.75" hidden="1" customHeight="1">
      <c r="A16" s="151">
        <v>8.0</v>
      </c>
      <c r="B16" s="149" t="s">
        <v>154</v>
      </c>
      <c r="C16" s="149" t="s">
        <v>95</v>
      </c>
      <c r="D16" s="149" t="s">
        <v>111</v>
      </c>
      <c r="E16" s="151">
        <v>5.158911395E9</v>
      </c>
      <c r="F16" s="149" t="s">
        <v>97</v>
      </c>
      <c r="G16" s="149" t="s">
        <v>121</v>
      </c>
      <c r="H16" s="149" t="s">
        <v>113</v>
      </c>
      <c r="I16" s="149" t="s">
        <v>114</v>
      </c>
      <c r="J16" s="155">
        <v>45831.0</v>
      </c>
      <c r="K16" s="149" t="s">
        <v>100</v>
      </c>
      <c r="L16" s="151">
        <v>778.0</v>
      </c>
      <c r="M16" s="151">
        <v>24.0</v>
      </c>
      <c r="N16" s="151" t="s">
        <v>155</v>
      </c>
      <c r="O16" s="151">
        <v>0.0</v>
      </c>
      <c r="P16" s="151">
        <v>0.0</v>
      </c>
      <c r="Q16" s="151" t="s">
        <v>143</v>
      </c>
      <c r="R16" s="151" t="s">
        <v>143</v>
      </c>
      <c r="S16" s="151">
        <v>0.0</v>
      </c>
      <c r="T16" s="151">
        <v>0.0</v>
      </c>
      <c r="U16" s="151">
        <v>0.0</v>
      </c>
      <c r="V16" s="151">
        <v>0.0</v>
      </c>
      <c r="W16" s="151">
        <v>0.0</v>
      </c>
      <c r="X16" s="151">
        <v>0.0</v>
      </c>
      <c r="Y16" s="151">
        <v>45848.0</v>
      </c>
      <c r="Z16" s="151">
        <v>0.0</v>
      </c>
      <c r="AA16" s="151">
        <v>0.0</v>
      </c>
      <c r="AB16" s="151" t="s">
        <v>143</v>
      </c>
      <c r="AC16" s="151" t="s">
        <v>143</v>
      </c>
      <c r="AD16" s="149" t="s">
        <v>97</v>
      </c>
      <c r="AE16" s="149" t="s">
        <v>97</v>
      </c>
      <c r="AF16" s="149" t="s">
        <v>97</v>
      </c>
      <c r="AG16" s="150">
        <v>6.0</v>
      </c>
    </row>
    <row r="17" ht="15.75" hidden="1" customHeight="1">
      <c r="A17" s="151">
        <v>9.0</v>
      </c>
      <c r="B17" s="149" t="s">
        <v>156</v>
      </c>
      <c r="C17" s="149" t="s">
        <v>95</v>
      </c>
      <c r="D17" s="149" t="s">
        <v>111</v>
      </c>
      <c r="E17" s="151">
        <v>5.519393895E9</v>
      </c>
      <c r="F17" s="149" t="s">
        <v>134</v>
      </c>
      <c r="G17" s="149" t="s">
        <v>121</v>
      </c>
      <c r="H17" s="149" t="s">
        <v>135</v>
      </c>
      <c r="I17" s="149" t="s">
        <v>136</v>
      </c>
      <c r="J17" s="155">
        <v>45821.0</v>
      </c>
      <c r="K17" s="149" t="s">
        <v>100</v>
      </c>
      <c r="L17" s="151">
        <v>506.0</v>
      </c>
      <c r="M17" s="151">
        <v>7.0</v>
      </c>
      <c r="N17" s="151" t="s">
        <v>157</v>
      </c>
      <c r="O17" s="151">
        <v>0.0</v>
      </c>
      <c r="P17" s="151">
        <v>0.0</v>
      </c>
      <c r="Q17" s="151" t="s">
        <v>143</v>
      </c>
      <c r="R17" s="151" t="s">
        <v>143</v>
      </c>
      <c r="S17" s="151">
        <v>0.0</v>
      </c>
      <c r="T17" s="151">
        <v>0.0</v>
      </c>
      <c r="U17" s="151">
        <v>0.0</v>
      </c>
      <c r="V17" s="151">
        <v>0.0</v>
      </c>
      <c r="W17" s="151">
        <v>0.0</v>
      </c>
      <c r="X17" s="151">
        <v>0.0</v>
      </c>
      <c r="Y17" s="151">
        <v>27852.0</v>
      </c>
      <c r="Z17" s="151">
        <v>0.0</v>
      </c>
      <c r="AA17" s="151">
        <v>0.0</v>
      </c>
      <c r="AB17" s="151" t="s">
        <v>143</v>
      </c>
      <c r="AC17" s="151" t="s">
        <v>143</v>
      </c>
      <c r="AD17" s="149" t="s">
        <v>97</v>
      </c>
      <c r="AE17" s="149" t="s">
        <v>97</v>
      </c>
      <c r="AF17" s="149" t="s">
        <v>97</v>
      </c>
      <c r="AG17" s="150">
        <v>6.0</v>
      </c>
    </row>
    <row r="18" ht="15.75" hidden="1" customHeight="1">
      <c r="A18" s="151">
        <v>10.0</v>
      </c>
      <c r="B18" s="149" t="s">
        <v>158</v>
      </c>
      <c r="C18" s="149" t="s">
        <v>159</v>
      </c>
      <c r="D18" s="149" t="s">
        <v>111</v>
      </c>
      <c r="E18" s="151">
        <v>5.519393895E9</v>
      </c>
      <c r="F18" s="149" t="s">
        <v>97</v>
      </c>
      <c r="G18" s="149" t="s">
        <v>121</v>
      </c>
      <c r="H18" s="149" t="s">
        <v>113</v>
      </c>
      <c r="I18" s="149" t="s">
        <v>114</v>
      </c>
      <c r="J18" s="152">
        <v>45813.0</v>
      </c>
      <c r="K18" s="149" t="s">
        <v>100</v>
      </c>
      <c r="L18" s="151">
        <v>14810.0</v>
      </c>
      <c r="M18" s="151">
        <v>70.0</v>
      </c>
      <c r="N18" s="151" t="s">
        <v>160</v>
      </c>
      <c r="O18" s="151">
        <v>0.0</v>
      </c>
      <c r="P18" s="151">
        <v>0.0</v>
      </c>
      <c r="Q18" s="151" t="s">
        <v>143</v>
      </c>
      <c r="R18" s="151" t="s">
        <v>143</v>
      </c>
      <c r="S18" s="151">
        <v>0.0</v>
      </c>
      <c r="T18" s="151">
        <v>0.0</v>
      </c>
      <c r="U18" s="151">
        <v>0.0</v>
      </c>
      <c r="V18" s="151">
        <v>0.0</v>
      </c>
      <c r="W18" s="151">
        <v>0.0</v>
      </c>
      <c r="X18" s="151">
        <v>0.0</v>
      </c>
      <c r="Y18" s="151">
        <v>338540.0</v>
      </c>
      <c r="Z18" s="151">
        <v>0.0</v>
      </c>
      <c r="AA18" s="151">
        <v>0.0</v>
      </c>
      <c r="AB18" s="151" t="s">
        <v>143</v>
      </c>
      <c r="AC18" s="151" t="s">
        <v>143</v>
      </c>
      <c r="AD18" s="149" t="s">
        <v>97</v>
      </c>
      <c r="AE18" s="149" t="s">
        <v>97</v>
      </c>
      <c r="AF18" s="149" t="s">
        <v>97</v>
      </c>
      <c r="AG18" s="150">
        <v>6.0</v>
      </c>
    </row>
    <row r="19" ht="15.75" hidden="1" customHeight="1">
      <c r="A19" s="151">
        <v>11.0</v>
      </c>
      <c r="B19" s="149" t="s">
        <v>161</v>
      </c>
      <c r="C19" s="149" t="s">
        <v>159</v>
      </c>
      <c r="D19" s="149" t="s">
        <v>111</v>
      </c>
      <c r="E19" s="151">
        <v>2.5666719442E10</v>
      </c>
      <c r="F19" s="149" t="s">
        <v>97</v>
      </c>
      <c r="G19" s="149" t="s">
        <v>112</v>
      </c>
      <c r="H19" s="149" t="s">
        <v>113</v>
      </c>
      <c r="I19" s="149" t="s">
        <v>114</v>
      </c>
      <c r="J19" s="152">
        <v>45660.0</v>
      </c>
      <c r="K19" s="149" t="s">
        <v>100</v>
      </c>
      <c r="L19" s="151">
        <v>14075.0</v>
      </c>
      <c r="M19" s="151">
        <v>72.0</v>
      </c>
      <c r="N19" s="151" t="s">
        <v>162</v>
      </c>
      <c r="O19" s="151">
        <v>2.0</v>
      </c>
      <c r="P19" s="151">
        <v>0.0</v>
      </c>
      <c r="Q19" s="151" t="s">
        <v>163</v>
      </c>
      <c r="R19" s="151" t="s">
        <v>143</v>
      </c>
      <c r="S19" s="151" t="s">
        <v>164</v>
      </c>
      <c r="T19" s="151">
        <v>0.0</v>
      </c>
      <c r="U19" s="151">
        <v>2.0</v>
      </c>
      <c r="V19" s="151">
        <v>0.0</v>
      </c>
      <c r="W19" s="151">
        <v>676000.0</v>
      </c>
      <c r="X19" s="151">
        <v>0.0</v>
      </c>
      <c r="Y19" s="151">
        <v>409446.0</v>
      </c>
      <c r="Z19" s="151" t="s">
        <v>165</v>
      </c>
      <c r="AA19" s="151">
        <v>0.0</v>
      </c>
      <c r="AB19" s="151" t="s">
        <v>166</v>
      </c>
      <c r="AC19" s="151" t="s">
        <v>143</v>
      </c>
      <c r="AD19" s="149" t="s">
        <v>97</v>
      </c>
      <c r="AE19" s="149" t="s">
        <v>97</v>
      </c>
      <c r="AF19" s="149" t="s">
        <v>97</v>
      </c>
      <c r="AG19" s="150">
        <v>6.0</v>
      </c>
    </row>
    <row r="20" ht="15.75" hidden="1" customHeight="1">
      <c r="A20" s="151">
        <v>12.0</v>
      </c>
      <c r="B20" s="149" t="s">
        <v>167</v>
      </c>
      <c r="C20" s="149" t="s">
        <v>159</v>
      </c>
      <c r="D20" s="149" t="s">
        <v>111</v>
      </c>
      <c r="E20" s="151">
        <v>2.5666719442E10</v>
      </c>
      <c r="F20" s="149" t="s">
        <v>134</v>
      </c>
      <c r="G20" s="149" t="s">
        <v>112</v>
      </c>
      <c r="H20" s="149" t="s">
        <v>135</v>
      </c>
      <c r="I20" s="149" t="s">
        <v>136</v>
      </c>
      <c r="J20" s="155">
        <v>45821.0</v>
      </c>
      <c r="K20" s="149" t="s">
        <v>100</v>
      </c>
      <c r="L20" s="151">
        <v>1755.0</v>
      </c>
      <c r="M20" s="151">
        <v>38.0</v>
      </c>
      <c r="N20" s="151" t="s">
        <v>168</v>
      </c>
      <c r="O20" s="151">
        <v>6.0</v>
      </c>
      <c r="P20" s="151">
        <v>6.0</v>
      </c>
      <c r="Q20" s="151" t="s">
        <v>169</v>
      </c>
      <c r="R20" s="151" t="s">
        <v>169</v>
      </c>
      <c r="S20" s="151" t="s">
        <v>170</v>
      </c>
      <c r="T20" s="151" t="s">
        <v>170</v>
      </c>
      <c r="U20" s="151">
        <v>7.0</v>
      </c>
      <c r="V20" s="151">
        <v>7.0</v>
      </c>
      <c r="W20" s="151">
        <v>5265000.0</v>
      </c>
      <c r="X20" s="151">
        <v>5265000.0</v>
      </c>
      <c r="Y20" s="151">
        <v>161149.0</v>
      </c>
      <c r="Z20" s="151" t="s">
        <v>171</v>
      </c>
      <c r="AA20" s="151" t="s">
        <v>171</v>
      </c>
      <c r="AB20" s="151" t="s">
        <v>172</v>
      </c>
      <c r="AC20" s="151" t="s">
        <v>172</v>
      </c>
      <c r="AD20" s="149" t="s">
        <v>97</v>
      </c>
      <c r="AE20" s="149" t="s">
        <v>97</v>
      </c>
      <c r="AF20" s="149" t="s">
        <v>97</v>
      </c>
      <c r="AG20" s="150">
        <v>6.0</v>
      </c>
    </row>
    <row r="21" ht="15.75" hidden="1" customHeight="1">
      <c r="A21" s="151">
        <v>13.0</v>
      </c>
      <c r="B21" s="149" t="s">
        <v>173</v>
      </c>
      <c r="C21" s="149" t="s">
        <v>159</v>
      </c>
      <c r="D21" s="149" t="s">
        <v>111</v>
      </c>
      <c r="E21" s="151">
        <v>2.5666719442E10</v>
      </c>
      <c r="F21" s="149" t="s">
        <v>134</v>
      </c>
      <c r="G21" s="149" t="s">
        <v>112</v>
      </c>
      <c r="H21" s="149" t="s">
        <v>135</v>
      </c>
      <c r="I21" s="149" t="s">
        <v>136</v>
      </c>
      <c r="J21" s="155">
        <v>45821.0</v>
      </c>
      <c r="K21" s="149" t="s">
        <v>100</v>
      </c>
      <c r="L21" s="151">
        <v>276.0</v>
      </c>
      <c r="M21" s="151">
        <v>3.0</v>
      </c>
      <c r="N21" s="151" t="s">
        <v>174</v>
      </c>
      <c r="O21" s="151">
        <v>0.0</v>
      </c>
      <c r="P21" s="151">
        <v>0.0</v>
      </c>
      <c r="Q21" s="151" t="s">
        <v>143</v>
      </c>
      <c r="R21" s="151" t="s">
        <v>143</v>
      </c>
      <c r="S21" s="151">
        <v>0.0</v>
      </c>
      <c r="T21" s="151">
        <v>0.0</v>
      </c>
      <c r="U21" s="151">
        <v>0.0</v>
      </c>
      <c r="V21" s="151">
        <v>0.0</v>
      </c>
      <c r="W21" s="151">
        <v>0.0</v>
      </c>
      <c r="X21" s="151">
        <v>0.0</v>
      </c>
      <c r="Y21" s="151">
        <v>15000.0</v>
      </c>
      <c r="Z21" s="151">
        <v>0.0</v>
      </c>
      <c r="AA21" s="151">
        <v>0.0</v>
      </c>
      <c r="AB21" s="151" t="s">
        <v>143</v>
      </c>
      <c r="AC21" s="151" t="s">
        <v>143</v>
      </c>
      <c r="AD21" s="149" t="s">
        <v>97</v>
      </c>
      <c r="AE21" s="149" t="s">
        <v>97</v>
      </c>
      <c r="AF21" s="149" t="s">
        <v>97</v>
      </c>
      <c r="AG21" s="150">
        <v>6.0</v>
      </c>
    </row>
    <row r="22" ht="15.75" hidden="1" customHeight="1">
      <c r="A22" s="151">
        <v>14.0</v>
      </c>
      <c r="B22" s="149" t="s">
        <v>175</v>
      </c>
      <c r="C22" s="149" t="s">
        <v>159</v>
      </c>
      <c r="D22" s="149" t="s">
        <v>111</v>
      </c>
      <c r="E22" s="151">
        <v>2.486748184E10</v>
      </c>
      <c r="F22" s="149" t="s">
        <v>97</v>
      </c>
      <c r="G22" s="149" t="s">
        <v>121</v>
      </c>
      <c r="H22" s="149" t="s">
        <v>176</v>
      </c>
      <c r="I22" s="149" t="s">
        <v>114</v>
      </c>
      <c r="J22" s="152">
        <v>45812.0</v>
      </c>
      <c r="K22" s="149" t="s">
        <v>100</v>
      </c>
      <c r="L22" s="151">
        <v>46.0</v>
      </c>
      <c r="M22" s="151">
        <v>0.0</v>
      </c>
      <c r="N22" s="151" t="s">
        <v>143</v>
      </c>
      <c r="O22" s="151">
        <v>0.0</v>
      </c>
      <c r="P22" s="151">
        <v>0.0</v>
      </c>
      <c r="Q22" s="151" t="s">
        <v>143</v>
      </c>
      <c r="R22" s="151" t="s">
        <v>143</v>
      </c>
      <c r="S22" s="151">
        <v>0.0</v>
      </c>
      <c r="T22" s="151">
        <v>0.0</v>
      </c>
      <c r="U22" s="151">
        <v>0.0</v>
      </c>
      <c r="V22" s="151">
        <v>0.0</v>
      </c>
      <c r="W22" s="151">
        <v>0.0</v>
      </c>
      <c r="X22" s="151">
        <v>0.0</v>
      </c>
      <c r="Y22" s="151">
        <v>0.0</v>
      </c>
      <c r="Z22" s="151">
        <v>0.0</v>
      </c>
      <c r="AA22" s="151">
        <v>0.0</v>
      </c>
      <c r="AB22" s="151" t="s">
        <v>143</v>
      </c>
      <c r="AC22" s="151" t="s">
        <v>143</v>
      </c>
      <c r="AD22" s="149" t="s">
        <v>97</v>
      </c>
      <c r="AE22" s="149" t="s">
        <v>97</v>
      </c>
      <c r="AF22" s="149" t="s">
        <v>97</v>
      </c>
      <c r="AG22" s="150">
        <v>6.0</v>
      </c>
    </row>
    <row r="23" ht="15.75" hidden="1" customHeight="1">
      <c r="A23" s="151">
        <v>15.0</v>
      </c>
      <c r="B23" s="149" t="s">
        <v>177</v>
      </c>
      <c r="C23" s="149" t="s">
        <v>159</v>
      </c>
      <c r="D23" s="149" t="s">
        <v>111</v>
      </c>
      <c r="E23" s="151">
        <v>2.4867724627E10</v>
      </c>
      <c r="F23" s="149" t="s">
        <v>134</v>
      </c>
      <c r="G23" s="149" t="s">
        <v>112</v>
      </c>
      <c r="H23" s="149" t="s">
        <v>135</v>
      </c>
      <c r="I23" s="149" t="s">
        <v>136</v>
      </c>
      <c r="J23" s="152">
        <v>45785.0</v>
      </c>
      <c r="K23" s="149" t="s">
        <v>100</v>
      </c>
      <c r="L23" s="151">
        <v>10.0</v>
      </c>
      <c r="M23" s="151">
        <v>1.0</v>
      </c>
      <c r="N23" s="151" t="s">
        <v>178</v>
      </c>
      <c r="O23" s="151">
        <v>0.0</v>
      </c>
      <c r="P23" s="151">
        <v>0.0</v>
      </c>
      <c r="Q23" s="151" t="s">
        <v>143</v>
      </c>
      <c r="R23" s="151" t="s">
        <v>143</v>
      </c>
      <c r="S23" s="151">
        <v>0.0</v>
      </c>
      <c r="T23" s="151">
        <v>0.0</v>
      </c>
      <c r="U23" s="151">
        <v>0.0</v>
      </c>
      <c r="V23" s="151">
        <v>0.0</v>
      </c>
      <c r="W23" s="151">
        <v>0.0</v>
      </c>
      <c r="X23" s="151">
        <v>0.0</v>
      </c>
      <c r="Y23" s="151">
        <v>19623.0</v>
      </c>
      <c r="Z23" s="151">
        <v>0.0</v>
      </c>
      <c r="AA23" s="151">
        <v>0.0</v>
      </c>
      <c r="AB23" s="151" t="s">
        <v>143</v>
      </c>
      <c r="AC23" s="151" t="s">
        <v>143</v>
      </c>
      <c r="AD23" s="149" t="s">
        <v>97</v>
      </c>
      <c r="AE23" s="149" t="s">
        <v>97</v>
      </c>
      <c r="AF23" s="149" t="s">
        <v>97</v>
      </c>
      <c r="AG23" s="150">
        <v>6.0</v>
      </c>
    </row>
    <row r="24" ht="15.75" hidden="1" customHeight="1">
      <c r="A24" s="151">
        <v>16.0</v>
      </c>
      <c r="B24" s="149" t="s">
        <v>179</v>
      </c>
      <c r="C24" s="149" t="s">
        <v>159</v>
      </c>
      <c r="D24" s="149" t="s">
        <v>111</v>
      </c>
      <c r="E24" s="151">
        <v>5.158911395E9</v>
      </c>
      <c r="F24" s="149" t="s">
        <v>134</v>
      </c>
      <c r="G24" s="149" t="s">
        <v>112</v>
      </c>
      <c r="H24" s="149" t="s">
        <v>135</v>
      </c>
      <c r="I24" s="149" t="s">
        <v>136</v>
      </c>
      <c r="J24" s="152">
        <v>45785.0</v>
      </c>
      <c r="K24" s="149" t="s">
        <v>100</v>
      </c>
      <c r="L24" s="151">
        <v>8.0</v>
      </c>
      <c r="M24" s="151">
        <v>0.0</v>
      </c>
      <c r="N24" s="151" t="s">
        <v>143</v>
      </c>
      <c r="O24" s="151">
        <v>0.0</v>
      </c>
      <c r="P24" s="151">
        <v>0.0</v>
      </c>
      <c r="Q24" s="151" t="s">
        <v>143</v>
      </c>
      <c r="R24" s="151" t="s">
        <v>143</v>
      </c>
      <c r="S24" s="151">
        <v>0.0</v>
      </c>
      <c r="T24" s="151">
        <v>0.0</v>
      </c>
      <c r="U24" s="151">
        <v>0.0</v>
      </c>
      <c r="V24" s="151">
        <v>0.0</v>
      </c>
      <c r="W24" s="151">
        <v>0.0</v>
      </c>
      <c r="X24" s="151">
        <v>0.0</v>
      </c>
      <c r="Y24" s="151">
        <v>0.0</v>
      </c>
      <c r="Z24" s="151">
        <v>0.0</v>
      </c>
      <c r="AA24" s="151">
        <v>0.0</v>
      </c>
      <c r="AB24" s="151" t="s">
        <v>143</v>
      </c>
      <c r="AC24" s="151" t="s">
        <v>143</v>
      </c>
      <c r="AD24" s="149" t="s">
        <v>97</v>
      </c>
      <c r="AE24" s="149" t="s">
        <v>97</v>
      </c>
      <c r="AF24" s="149" t="s">
        <v>97</v>
      </c>
      <c r="AG24" s="150">
        <v>6.0</v>
      </c>
    </row>
    <row r="25" ht="15.75" hidden="1" customHeight="1">
      <c r="A25" s="151">
        <v>17.0</v>
      </c>
      <c r="B25" s="149" t="s">
        <v>180</v>
      </c>
      <c r="C25" s="149" t="s">
        <v>159</v>
      </c>
      <c r="D25" s="149" t="s">
        <v>111</v>
      </c>
      <c r="E25" s="151">
        <v>3.1275154E9</v>
      </c>
      <c r="F25" s="149" t="s">
        <v>97</v>
      </c>
      <c r="G25" s="149" t="s">
        <v>112</v>
      </c>
      <c r="H25" s="149" t="s">
        <v>176</v>
      </c>
      <c r="I25" s="149" t="s">
        <v>114</v>
      </c>
      <c r="J25" s="155">
        <v>45729.0</v>
      </c>
      <c r="K25" s="149" t="s">
        <v>100</v>
      </c>
      <c r="L25" s="151">
        <v>5.0</v>
      </c>
      <c r="M25" s="151">
        <v>0.0</v>
      </c>
      <c r="N25" s="151" t="s">
        <v>143</v>
      </c>
      <c r="O25" s="151">
        <v>0.0</v>
      </c>
      <c r="P25" s="151">
        <v>0.0</v>
      </c>
      <c r="Q25" s="151" t="s">
        <v>143</v>
      </c>
      <c r="R25" s="151" t="s">
        <v>143</v>
      </c>
      <c r="S25" s="151">
        <v>0.0</v>
      </c>
      <c r="T25" s="151">
        <v>0.0</v>
      </c>
      <c r="U25" s="151">
        <v>0.0</v>
      </c>
      <c r="V25" s="151">
        <v>0.0</v>
      </c>
      <c r="W25" s="151">
        <v>0.0</v>
      </c>
      <c r="X25" s="151">
        <v>0.0</v>
      </c>
      <c r="Y25" s="151">
        <v>0.0</v>
      </c>
      <c r="Z25" s="151">
        <v>0.0</v>
      </c>
      <c r="AA25" s="151">
        <v>0.0</v>
      </c>
      <c r="AB25" s="151" t="s">
        <v>143</v>
      </c>
      <c r="AC25" s="151" t="s">
        <v>143</v>
      </c>
      <c r="AD25" s="149" t="s">
        <v>97</v>
      </c>
      <c r="AE25" s="149" t="s">
        <v>97</v>
      </c>
      <c r="AF25" s="149" t="s">
        <v>97</v>
      </c>
      <c r="AG25" s="150">
        <v>6.0</v>
      </c>
    </row>
    <row r="26" ht="15.75" hidden="1" customHeight="1">
      <c r="A26" s="151">
        <v>18.0</v>
      </c>
      <c r="B26" s="149" t="s">
        <v>181</v>
      </c>
      <c r="C26" s="149" t="s">
        <v>159</v>
      </c>
      <c r="D26" s="149" t="s">
        <v>111</v>
      </c>
      <c r="E26" s="151">
        <v>5.519393895E9</v>
      </c>
      <c r="F26" s="149" t="s">
        <v>134</v>
      </c>
      <c r="G26" s="149" t="s">
        <v>121</v>
      </c>
      <c r="H26" s="149" t="s">
        <v>135</v>
      </c>
      <c r="I26" s="149" t="s">
        <v>136</v>
      </c>
      <c r="J26" s="152">
        <v>45785.0</v>
      </c>
      <c r="K26" s="149" t="s">
        <v>100</v>
      </c>
      <c r="L26" s="151">
        <v>1.0</v>
      </c>
      <c r="M26" s="151">
        <v>0.0</v>
      </c>
      <c r="N26" s="151" t="s">
        <v>143</v>
      </c>
      <c r="O26" s="151">
        <v>0.0</v>
      </c>
      <c r="P26" s="151">
        <v>0.0</v>
      </c>
      <c r="Q26" s="151" t="s">
        <v>143</v>
      </c>
      <c r="R26" s="151" t="s">
        <v>143</v>
      </c>
      <c r="S26" s="151">
        <v>0.0</v>
      </c>
      <c r="T26" s="151">
        <v>0.0</v>
      </c>
      <c r="U26" s="151">
        <v>0.0</v>
      </c>
      <c r="V26" s="151">
        <v>0.0</v>
      </c>
      <c r="W26" s="151">
        <v>0.0</v>
      </c>
      <c r="X26" s="151">
        <v>0.0</v>
      </c>
      <c r="Y26" s="151">
        <v>0.0</v>
      </c>
      <c r="Z26" s="151">
        <v>0.0</v>
      </c>
      <c r="AA26" s="151">
        <v>0.0</v>
      </c>
      <c r="AB26" s="151" t="s">
        <v>143</v>
      </c>
      <c r="AC26" s="151" t="s">
        <v>143</v>
      </c>
      <c r="AD26" s="149" t="s">
        <v>97</v>
      </c>
      <c r="AE26" s="149" t="s">
        <v>97</v>
      </c>
      <c r="AF26" s="149" t="s">
        <v>97</v>
      </c>
      <c r="AG26" s="150">
        <v>6.0</v>
      </c>
    </row>
    <row r="27" ht="15.75" hidden="1" customHeight="1">
      <c r="AG27" s="156"/>
    </row>
    <row r="28" ht="15.75" hidden="1" customHeight="1">
      <c r="AG28" s="156"/>
    </row>
    <row r="29" ht="16.5" hidden="1" customHeight="1">
      <c r="A29" s="149"/>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c r="AA29" s="149"/>
      <c r="AB29" s="149"/>
      <c r="AC29" s="149"/>
      <c r="AD29" s="149"/>
      <c r="AE29" s="149"/>
      <c r="AF29" s="149"/>
      <c r="AG29" s="150"/>
    </row>
    <row r="30" ht="16.5" hidden="1" customHeight="1">
      <c r="A30" s="149"/>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AC30" s="149"/>
      <c r="AD30" s="149"/>
      <c r="AE30" s="149"/>
      <c r="AF30" s="149"/>
      <c r="AG30" s="150"/>
    </row>
    <row r="31" ht="16.5" hidden="1" customHeight="1">
      <c r="A31" s="149"/>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C31" s="149"/>
      <c r="AD31" s="149"/>
      <c r="AE31" s="149"/>
      <c r="AF31" s="149"/>
      <c r="AG31" s="150"/>
    </row>
    <row r="32" ht="16.5" hidden="1" customHeight="1">
      <c r="A32" s="149" t="s">
        <v>53</v>
      </c>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C32" s="149"/>
      <c r="AD32" s="149"/>
      <c r="AE32" s="149"/>
      <c r="AF32" s="149"/>
      <c r="AG32" s="150"/>
    </row>
    <row r="33" ht="15.75" hidden="1" customHeight="1">
      <c r="A33" s="149" t="s">
        <v>54</v>
      </c>
      <c r="B33" s="149" t="s">
        <v>55</v>
      </c>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50"/>
    </row>
    <row r="34" ht="15.75" hidden="1" customHeight="1">
      <c r="A34" s="149" t="s">
        <v>56</v>
      </c>
      <c r="B34" s="149" t="s">
        <v>57</v>
      </c>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c r="AB34" s="149"/>
      <c r="AC34" s="149"/>
      <c r="AD34" s="149"/>
      <c r="AE34" s="149"/>
      <c r="AF34" s="149"/>
      <c r="AG34" s="150"/>
    </row>
    <row r="35" ht="15.75" hidden="1" customHeight="1">
      <c r="A35" s="149" t="s">
        <v>58</v>
      </c>
      <c r="B35" s="151">
        <v>2.27240948E8</v>
      </c>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150"/>
    </row>
    <row r="36" ht="15.75" hidden="1" customHeight="1">
      <c r="A36" s="149" t="s">
        <v>59</v>
      </c>
      <c r="B36" s="157">
        <v>45869.37430555555</v>
      </c>
      <c r="C36" s="157"/>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50"/>
    </row>
    <row r="37" ht="15.75" hidden="1" customHeight="1">
      <c r="A37" s="149" t="s">
        <v>60</v>
      </c>
      <c r="B37" s="149" t="s">
        <v>182</v>
      </c>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50"/>
    </row>
    <row r="38" ht="15.75" hidden="1" customHeight="1">
      <c r="A38" s="149"/>
      <c r="B38" s="149"/>
      <c r="C38" s="149"/>
      <c r="D38" s="149"/>
      <c r="E38" s="149"/>
      <c r="F38" s="149"/>
      <c r="G38" s="149"/>
      <c r="H38" s="149"/>
      <c r="I38" s="149"/>
      <c r="J38" s="149"/>
      <c r="K38" s="149"/>
      <c r="L38" s="149"/>
      <c r="M38" s="149"/>
      <c r="N38" s="149"/>
      <c r="O38" s="149"/>
      <c r="P38" s="149"/>
      <c r="Q38" s="149"/>
      <c r="R38" s="149"/>
      <c r="S38" s="149"/>
      <c r="T38" s="149"/>
      <c r="U38" s="149"/>
      <c r="V38" s="149"/>
      <c r="W38" s="153">
        <f>SUM(W40:W51)</f>
        <v>24481980</v>
      </c>
      <c r="X38" s="149"/>
      <c r="Y38" s="153">
        <f>SUM(Y40:Y51)</f>
        <v>5821526</v>
      </c>
      <c r="Z38" s="149"/>
      <c r="AA38" s="149"/>
      <c r="AB38" s="149"/>
      <c r="AC38" s="149"/>
      <c r="AD38" s="149"/>
      <c r="AE38" s="149"/>
      <c r="AF38" s="149"/>
      <c r="AG38" s="150"/>
    </row>
    <row r="39" ht="15.75" hidden="1" customHeight="1">
      <c r="A39" s="158" t="s">
        <v>62</v>
      </c>
      <c r="B39" s="158" t="s">
        <v>63</v>
      </c>
      <c r="C39" s="158" t="s">
        <v>64</v>
      </c>
      <c r="D39" s="158" t="s">
        <v>65</v>
      </c>
      <c r="E39" s="158" t="s">
        <v>66</v>
      </c>
      <c r="F39" s="158" t="s">
        <v>67</v>
      </c>
      <c r="G39" s="158" t="s">
        <v>68</v>
      </c>
      <c r="H39" s="158" t="s">
        <v>69</v>
      </c>
      <c r="I39" s="158" t="s">
        <v>70</v>
      </c>
      <c r="J39" s="158" t="s">
        <v>71</v>
      </c>
      <c r="K39" s="158" t="s">
        <v>72</v>
      </c>
      <c r="L39" s="158" t="s">
        <v>73</v>
      </c>
      <c r="M39" s="158" t="s">
        <v>74</v>
      </c>
      <c r="N39" s="158" t="s">
        <v>75</v>
      </c>
      <c r="O39" s="158" t="s">
        <v>76</v>
      </c>
      <c r="P39" s="158" t="s">
        <v>77</v>
      </c>
      <c r="Q39" s="158" t="s">
        <v>78</v>
      </c>
      <c r="R39" s="158" t="s">
        <v>79</v>
      </c>
      <c r="S39" s="158" t="s">
        <v>80</v>
      </c>
      <c r="T39" s="158" t="s">
        <v>81</v>
      </c>
      <c r="U39" s="158" t="s">
        <v>82</v>
      </c>
      <c r="V39" s="158" t="s">
        <v>83</v>
      </c>
      <c r="W39" s="158" t="s">
        <v>84</v>
      </c>
      <c r="X39" s="158" t="s">
        <v>85</v>
      </c>
      <c r="Y39" s="158" t="s">
        <v>86</v>
      </c>
      <c r="Z39" s="158" t="s">
        <v>20</v>
      </c>
      <c r="AA39" s="158" t="s">
        <v>87</v>
      </c>
      <c r="AB39" s="158" t="s">
        <v>88</v>
      </c>
      <c r="AC39" s="158" t="s">
        <v>89</v>
      </c>
      <c r="AD39" s="158" t="s">
        <v>90</v>
      </c>
      <c r="AE39" s="158" t="s">
        <v>91</v>
      </c>
      <c r="AF39" s="158" t="s">
        <v>92</v>
      </c>
      <c r="AG39" s="154" t="s">
        <v>93</v>
      </c>
    </row>
    <row r="40" ht="16.5" hidden="1" customHeight="1">
      <c r="A40" s="151">
        <v>1.0</v>
      </c>
      <c r="B40" s="149" t="s">
        <v>94</v>
      </c>
      <c r="C40" s="149" t="s">
        <v>95</v>
      </c>
      <c r="D40" s="149" t="s">
        <v>96</v>
      </c>
      <c r="E40" s="149" t="s">
        <v>97</v>
      </c>
      <c r="F40" s="149" t="s">
        <v>97</v>
      </c>
      <c r="G40" s="149" t="s">
        <v>98</v>
      </c>
      <c r="H40" s="149" t="s">
        <v>99</v>
      </c>
      <c r="I40" s="149" t="s">
        <v>97</v>
      </c>
      <c r="J40" s="152">
        <v>45784.0</v>
      </c>
      <c r="K40" s="149" t="s">
        <v>100</v>
      </c>
      <c r="L40" s="151">
        <v>7366.0</v>
      </c>
      <c r="M40" s="151">
        <v>1250.0</v>
      </c>
      <c r="N40" s="151" t="s">
        <v>183</v>
      </c>
      <c r="O40" s="151">
        <v>9.0</v>
      </c>
      <c r="P40" s="151">
        <v>9.0</v>
      </c>
      <c r="Q40" s="151" t="s">
        <v>184</v>
      </c>
      <c r="R40" s="151" t="s">
        <v>184</v>
      </c>
      <c r="S40" s="151" t="s">
        <v>185</v>
      </c>
      <c r="T40" s="151" t="s">
        <v>185</v>
      </c>
      <c r="U40" s="151">
        <v>10.0</v>
      </c>
      <c r="V40" s="151">
        <v>10.0</v>
      </c>
      <c r="W40" s="151">
        <v>5927080.0</v>
      </c>
      <c r="X40" s="151">
        <v>5927080.0</v>
      </c>
      <c r="Y40" s="151">
        <v>1062433.0</v>
      </c>
      <c r="Z40" s="151" t="s">
        <v>186</v>
      </c>
      <c r="AA40" s="151" t="s">
        <v>186</v>
      </c>
      <c r="AB40" s="151" t="s">
        <v>187</v>
      </c>
      <c r="AC40" s="151" t="s">
        <v>187</v>
      </c>
      <c r="AD40" s="151">
        <v>22518.0</v>
      </c>
      <c r="AE40" s="151">
        <v>141.0</v>
      </c>
      <c r="AF40" s="151" t="s">
        <v>188</v>
      </c>
      <c r="AG40" s="150">
        <v>7.0</v>
      </c>
    </row>
    <row r="41" ht="16.5" hidden="1" customHeight="1">
      <c r="A41" s="151">
        <v>2.0</v>
      </c>
      <c r="B41" s="149" t="s">
        <v>127</v>
      </c>
      <c r="C41" s="149" t="s">
        <v>95</v>
      </c>
      <c r="D41" s="149" t="s">
        <v>111</v>
      </c>
      <c r="E41" s="151">
        <v>2.5666719442E10</v>
      </c>
      <c r="F41" s="149" t="s">
        <v>97</v>
      </c>
      <c r="G41" s="149" t="s">
        <v>112</v>
      </c>
      <c r="H41" s="149" t="s">
        <v>113</v>
      </c>
      <c r="I41" s="149" t="s">
        <v>114</v>
      </c>
      <c r="J41" s="157">
        <v>45833.0</v>
      </c>
      <c r="K41" s="149" t="s">
        <v>100</v>
      </c>
      <c r="L41" s="151">
        <v>27652.0</v>
      </c>
      <c r="M41" s="151">
        <v>273.0</v>
      </c>
      <c r="N41" s="151" t="s">
        <v>189</v>
      </c>
      <c r="O41" s="151">
        <v>8.0</v>
      </c>
      <c r="P41" s="151">
        <v>7.0</v>
      </c>
      <c r="Q41" s="151" t="s">
        <v>190</v>
      </c>
      <c r="R41" s="151" t="s">
        <v>191</v>
      </c>
      <c r="S41" s="151" t="s">
        <v>192</v>
      </c>
      <c r="T41" s="151" t="s">
        <v>193</v>
      </c>
      <c r="U41" s="151">
        <v>10.0</v>
      </c>
      <c r="V41" s="151">
        <v>9.0</v>
      </c>
      <c r="W41" s="151">
        <v>8911000.0</v>
      </c>
      <c r="X41" s="151">
        <v>8055000.0</v>
      </c>
      <c r="Y41" s="151">
        <v>2097693.0</v>
      </c>
      <c r="Z41" s="151" t="s">
        <v>194</v>
      </c>
      <c r="AA41" s="151" t="s">
        <v>195</v>
      </c>
      <c r="AB41" s="151" t="s">
        <v>196</v>
      </c>
      <c r="AC41" s="151" t="s">
        <v>197</v>
      </c>
      <c r="AD41" s="149" t="s">
        <v>97</v>
      </c>
      <c r="AE41" s="149" t="s">
        <v>97</v>
      </c>
      <c r="AF41" s="149" t="s">
        <v>97</v>
      </c>
      <c r="AG41" s="150">
        <v>7.0</v>
      </c>
    </row>
    <row r="42" ht="16.5" hidden="1" customHeight="1">
      <c r="A42" s="151">
        <v>3.0</v>
      </c>
      <c r="B42" s="149" t="s">
        <v>110</v>
      </c>
      <c r="C42" s="149" t="s">
        <v>95</v>
      </c>
      <c r="D42" s="149" t="s">
        <v>111</v>
      </c>
      <c r="E42" s="151">
        <v>8.782633181E9</v>
      </c>
      <c r="F42" s="149" t="s">
        <v>97</v>
      </c>
      <c r="G42" s="149" t="s">
        <v>112</v>
      </c>
      <c r="H42" s="149" t="s">
        <v>113</v>
      </c>
      <c r="I42" s="149" t="s">
        <v>114</v>
      </c>
      <c r="J42" s="152">
        <v>45660.0</v>
      </c>
      <c r="K42" s="149" t="s">
        <v>100</v>
      </c>
      <c r="L42" s="151">
        <v>9775.0</v>
      </c>
      <c r="M42" s="151">
        <v>51.0</v>
      </c>
      <c r="N42" s="151" t="s">
        <v>198</v>
      </c>
      <c r="O42" s="151">
        <v>1.0</v>
      </c>
      <c r="P42" s="151">
        <v>1.0</v>
      </c>
      <c r="Q42" s="151" t="s">
        <v>199</v>
      </c>
      <c r="R42" s="151" t="s">
        <v>199</v>
      </c>
      <c r="S42" s="151">
        <v>209051.0</v>
      </c>
      <c r="T42" s="151">
        <v>209051.0</v>
      </c>
      <c r="U42" s="151">
        <v>1.0</v>
      </c>
      <c r="V42" s="151">
        <v>1.0</v>
      </c>
      <c r="W42" s="151">
        <v>1485000.0</v>
      </c>
      <c r="X42" s="151">
        <v>1485000.0</v>
      </c>
      <c r="Y42" s="151">
        <v>209051.0</v>
      </c>
      <c r="Z42" s="159">
        <v>45664.0</v>
      </c>
      <c r="AA42" s="159">
        <v>45664.0</v>
      </c>
      <c r="AB42" s="151" t="s">
        <v>200</v>
      </c>
      <c r="AC42" s="151" t="s">
        <v>200</v>
      </c>
      <c r="AD42" s="149" t="s">
        <v>97</v>
      </c>
      <c r="AE42" s="149" t="s">
        <v>97</v>
      </c>
      <c r="AF42" s="149" t="s">
        <v>97</v>
      </c>
      <c r="AG42" s="150">
        <v>7.0</v>
      </c>
    </row>
    <row r="43" ht="16.5" hidden="1" customHeight="1">
      <c r="A43" s="151">
        <v>4.0</v>
      </c>
      <c r="B43" s="149" t="s">
        <v>201</v>
      </c>
      <c r="C43" s="149" t="s">
        <v>95</v>
      </c>
      <c r="D43" s="149" t="s">
        <v>111</v>
      </c>
      <c r="E43" s="151">
        <v>5.519393895E9</v>
      </c>
      <c r="F43" s="149" t="s">
        <v>97</v>
      </c>
      <c r="G43" s="149" t="s">
        <v>112</v>
      </c>
      <c r="H43" s="149" t="s">
        <v>113</v>
      </c>
      <c r="I43" s="149" t="s">
        <v>114</v>
      </c>
      <c r="J43" s="152">
        <v>45849.0</v>
      </c>
      <c r="K43" s="149" t="s">
        <v>100</v>
      </c>
      <c r="L43" s="151">
        <v>9274.0</v>
      </c>
      <c r="M43" s="151">
        <v>131.0</v>
      </c>
      <c r="N43" s="151" t="s">
        <v>202</v>
      </c>
      <c r="O43" s="151">
        <v>3.0</v>
      </c>
      <c r="P43" s="151">
        <v>3.0</v>
      </c>
      <c r="Q43" s="151" t="s">
        <v>203</v>
      </c>
      <c r="R43" s="151" t="s">
        <v>203</v>
      </c>
      <c r="S43" s="151" t="s">
        <v>204</v>
      </c>
      <c r="T43" s="151" t="s">
        <v>204</v>
      </c>
      <c r="U43" s="151">
        <v>3.0</v>
      </c>
      <c r="V43" s="151">
        <v>3.0</v>
      </c>
      <c r="W43" s="151">
        <v>1693900.0</v>
      </c>
      <c r="X43" s="151">
        <v>1693900.0</v>
      </c>
      <c r="Y43" s="151">
        <v>815937.0</v>
      </c>
      <c r="Z43" s="160">
        <v>45871.0</v>
      </c>
      <c r="AA43" s="160">
        <v>45871.0</v>
      </c>
      <c r="AB43" s="151" t="s">
        <v>205</v>
      </c>
      <c r="AC43" s="151" t="s">
        <v>205</v>
      </c>
      <c r="AD43" s="149" t="s">
        <v>97</v>
      </c>
      <c r="AE43" s="149" t="s">
        <v>97</v>
      </c>
      <c r="AF43" s="149" t="s">
        <v>97</v>
      </c>
      <c r="AG43" s="150">
        <v>7.0</v>
      </c>
    </row>
    <row r="44" ht="16.5" hidden="1" customHeight="1">
      <c r="A44" s="151">
        <v>5.0</v>
      </c>
      <c r="B44" s="149" t="s">
        <v>141</v>
      </c>
      <c r="C44" s="149" t="s">
        <v>95</v>
      </c>
      <c r="D44" s="149" t="s">
        <v>111</v>
      </c>
      <c r="E44" s="151">
        <v>2.2657955668E10</v>
      </c>
      <c r="F44" s="149" t="s">
        <v>97</v>
      </c>
      <c r="G44" s="149" t="s">
        <v>112</v>
      </c>
      <c r="H44" s="149" t="s">
        <v>113</v>
      </c>
      <c r="I44" s="149" t="s">
        <v>114</v>
      </c>
      <c r="J44" s="152">
        <v>45660.0</v>
      </c>
      <c r="K44" s="149" t="s">
        <v>100</v>
      </c>
      <c r="L44" s="151">
        <v>7631.0</v>
      </c>
      <c r="M44" s="151">
        <v>68.0</v>
      </c>
      <c r="N44" s="151" t="s">
        <v>206</v>
      </c>
      <c r="O44" s="151">
        <v>3.0</v>
      </c>
      <c r="P44" s="151">
        <v>2.0</v>
      </c>
      <c r="Q44" s="151" t="s">
        <v>207</v>
      </c>
      <c r="R44" s="151" t="s">
        <v>208</v>
      </c>
      <c r="S44" s="151" t="s">
        <v>209</v>
      </c>
      <c r="T44" s="151" t="s">
        <v>210</v>
      </c>
      <c r="U44" s="151">
        <v>4.0</v>
      </c>
      <c r="V44" s="151">
        <v>2.0</v>
      </c>
      <c r="W44" s="151">
        <v>1904000.0</v>
      </c>
      <c r="X44" s="151">
        <v>1272000.0</v>
      </c>
      <c r="Y44" s="151">
        <v>446877.0</v>
      </c>
      <c r="Z44" s="151" t="s">
        <v>211</v>
      </c>
      <c r="AA44" s="151" t="s">
        <v>212</v>
      </c>
      <c r="AB44" s="151" t="s">
        <v>213</v>
      </c>
      <c r="AC44" s="151" t="s">
        <v>214</v>
      </c>
      <c r="AD44" s="149" t="s">
        <v>97</v>
      </c>
      <c r="AE44" s="149" t="s">
        <v>97</v>
      </c>
      <c r="AF44" s="149" t="s">
        <v>97</v>
      </c>
      <c r="AG44" s="150">
        <v>7.0</v>
      </c>
    </row>
    <row r="45" ht="16.5" hidden="1" customHeight="1">
      <c r="A45" s="151">
        <v>6.0</v>
      </c>
      <c r="B45" s="149" t="s">
        <v>154</v>
      </c>
      <c r="C45" s="149" t="s">
        <v>95</v>
      </c>
      <c r="D45" s="149" t="s">
        <v>111</v>
      </c>
      <c r="E45" s="151">
        <v>5.158911395E9</v>
      </c>
      <c r="F45" s="149" t="s">
        <v>97</v>
      </c>
      <c r="G45" s="149" t="s">
        <v>121</v>
      </c>
      <c r="H45" s="149" t="s">
        <v>113</v>
      </c>
      <c r="I45" s="149" t="s">
        <v>114</v>
      </c>
      <c r="J45" s="157">
        <v>45831.0</v>
      </c>
      <c r="K45" s="149" t="s">
        <v>100</v>
      </c>
      <c r="L45" s="151">
        <v>4167.0</v>
      </c>
      <c r="M45" s="151">
        <v>92.0</v>
      </c>
      <c r="N45" s="151" t="s">
        <v>215</v>
      </c>
      <c r="O45" s="151">
        <v>8.0</v>
      </c>
      <c r="P45" s="151">
        <v>8.0</v>
      </c>
      <c r="Q45" s="151" t="s">
        <v>216</v>
      </c>
      <c r="R45" s="151" t="s">
        <v>216</v>
      </c>
      <c r="S45" s="151" t="s">
        <v>217</v>
      </c>
      <c r="T45" s="151" t="s">
        <v>217</v>
      </c>
      <c r="U45" s="151">
        <v>17.0</v>
      </c>
      <c r="V45" s="151">
        <v>17.0</v>
      </c>
      <c r="W45" s="151">
        <v>1020000.0</v>
      </c>
      <c r="X45" s="151">
        <v>1020000.0</v>
      </c>
      <c r="Y45" s="151">
        <v>315805.0</v>
      </c>
      <c r="Z45" s="151" t="s">
        <v>218</v>
      </c>
      <c r="AA45" s="151" t="s">
        <v>218</v>
      </c>
      <c r="AB45" s="151" t="s">
        <v>219</v>
      </c>
      <c r="AC45" s="151" t="s">
        <v>219</v>
      </c>
      <c r="AD45" s="149" t="s">
        <v>97</v>
      </c>
      <c r="AE45" s="149" t="s">
        <v>97</v>
      </c>
      <c r="AF45" s="149" t="s">
        <v>97</v>
      </c>
      <c r="AG45" s="150">
        <v>7.0</v>
      </c>
    </row>
    <row r="46" ht="16.5" hidden="1" customHeight="1">
      <c r="A46" s="151">
        <v>7.0</v>
      </c>
      <c r="B46" s="149" t="s">
        <v>220</v>
      </c>
      <c r="C46" s="149" t="s">
        <v>95</v>
      </c>
      <c r="D46" s="149" t="s">
        <v>111</v>
      </c>
      <c r="E46" s="151">
        <v>2.486748184E10</v>
      </c>
      <c r="F46" s="149" t="s">
        <v>97</v>
      </c>
      <c r="G46" s="149" t="s">
        <v>112</v>
      </c>
      <c r="H46" s="149" t="s">
        <v>113</v>
      </c>
      <c r="I46" s="149" t="s">
        <v>114</v>
      </c>
      <c r="J46" s="152">
        <v>45849.0</v>
      </c>
      <c r="K46" s="149" t="s">
        <v>100</v>
      </c>
      <c r="L46" s="151">
        <v>3354.0</v>
      </c>
      <c r="M46" s="151">
        <v>40.0</v>
      </c>
      <c r="N46" s="151" t="s">
        <v>221</v>
      </c>
      <c r="O46" s="151">
        <v>2.0</v>
      </c>
      <c r="P46" s="151">
        <v>1.0</v>
      </c>
      <c r="Q46" s="151" t="s">
        <v>222</v>
      </c>
      <c r="R46" s="151" t="s">
        <v>223</v>
      </c>
      <c r="S46" s="151" t="s">
        <v>224</v>
      </c>
      <c r="T46" s="151" t="s">
        <v>225</v>
      </c>
      <c r="U46" s="151">
        <v>2.0</v>
      </c>
      <c r="V46" s="151">
        <v>1.0</v>
      </c>
      <c r="W46" s="151">
        <v>1231000.0</v>
      </c>
      <c r="X46" s="151">
        <v>286000.0</v>
      </c>
      <c r="Y46" s="151">
        <v>139471.0</v>
      </c>
      <c r="Z46" s="151" t="s">
        <v>226</v>
      </c>
      <c r="AA46" s="160">
        <v>45779.0</v>
      </c>
      <c r="AB46" s="151" t="s">
        <v>227</v>
      </c>
      <c r="AC46" s="151" t="s">
        <v>228</v>
      </c>
      <c r="AD46" s="149" t="s">
        <v>97</v>
      </c>
      <c r="AE46" s="149" t="s">
        <v>97</v>
      </c>
      <c r="AF46" s="149" t="s">
        <v>97</v>
      </c>
      <c r="AG46" s="150">
        <v>7.0</v>
      </c>
    </row>
    <row r="47" ht="16.5" hidden="1" customHeight="1">
      <c r="A47" s="151">
        <v>8.0</v>
      </c>
      <c r="B47" s="149" t="s">
        <v>120</v>
      </c>
      <c r="C47" s="149" t="s">
        <v>95</v>
      </c>
      <c r="D47" s="149" t="s">
        <v>111</v>
      </c>
      <c r="E47" s="151">
        <v>5.219966803E9</v>
      </c>
      <c r="F47" s="149" t="s">
        <v>97</v>
      </c>
      <c r="G47" s="149" t="s">
        <v>121</v>
      </c>
      <c r="H47" s="149" t="s">
        <v>113</v>
      </c>
      <c r="I47" s="149" t="s">
        <v>114</v>
      </c>
      <c r="J47" s="152">
        <v>45660.0</v>
      </c>
      <c r="K47" s="149" t="s">
        <v>100</v>
      </c>
      <c r="L47" s="151">
        <v>1176.0</v>
      </c>
      <c r="M47" s="151">
        <v>12.0</v>
      </c>
      <c r="N47" s="151" t="s">
        <v>229</v>
      </c>
      <c r="O47" s="151">
        <v>0.0</v>
      </c>
      <c r="P47" s="151">
        <v>0.0</v>
      </c>
      <c r="Q47" s="151" t="s">
        <v>143</v>
      </c>
      <c r="R47" s="151" t="s">
        <v>143</v>
      </c>
      <c r="S47" s="151">
        <v>0.0</v>
      </c>
      <c r="T47" s="151">
        <v>0.0</v>
      </c>
      <c r="U47" s="151">
        <v>0.0</v>
      </c>
      <c r="V47" s="151">
        <v>0.0</v>
      </c>
      <c r="W47" s="151">
        <v>0.0</v>
      </c>
      <c r="X47" s="151">
        <v>0.0</v>
      </c>
      <c r="Y47" s="151">
        <v>4592.0</v>
      </c>
      <c r="Z47" s="151">
        <v>0.0</v>
      </c>
      <c r="AA47" s="151">
        <v>0.0</v>
      </c>
      <c r="AB47" s="151" t="s">
        <v>143</v>
      </c>
      <c r="AC47" s="151" t="s">
        <v>143</v>
      </c>
      <c r="AD47" s="149" t="s">
        <v>97</v>
      </c>
      <c r="AE47" s="149" t="s">
        <v>97</v>
      </c>
      <c r="AF47" s="149" t="s">
        <v>97</v>
      </c>
      <c r="AG47" s="150">
        <v>7.0</v>
      </c>
    </row>
    <row r="48" ht="16.5" hidden="1" customHeight="1">
      <c r="A48" s="151">
        <v>9.0</v>
      </c>
      <c r="B48" s="149" t="s">
        <v>133</v>
      </c>
      <c r="C48" s="149" t="s">
        <v>159</v>
      </c>
      <c r="D48" s="149" t="s">
        <v>111</v>
      </c>
      <c r="E48" s="151">
        <v>2.486748184E10</v>
      </c>
      <c r="F48" s="149" t="s">
        <v>134</v>
      </c>
      <c r="G48" s="149" t="s">
        <v>112</v>
      </c>
      <c r="H48" s="149" t="s">
        <v>135</v>
      </c>
      <c r="I48" s="149" t="s">
        <v>136</v>
      </c>
      <c r="J48" s="152">
        <v>45785.0</v>
      </c>
      <c r="K48" s="149" t="s">
        <v>100</v>
      </c>
      <c r="L48" s="151">
        <v>3021.0</v>
      </c>
      <c r="M48" s="151">
        <v>50.0</v>
      </c>
      <c r="N48" s="151" t="s">
        <v>230</v>
      </c>
      <c r="O48" s="151">
        <v>5.0</v>
      </c>
      <c r="P48" s="151">
        <v>5.0</v>
      </c>
      <c r="Q48" s="151" t="s">
        <v>178</v>
      </c>
      <c r="R48" s="151" t="s">
        <v>178</v>
      </c>
      <c r="S48" s="151" t="s">
        <v>231</v>
      </c>
      <c r="T48" s="151" t="s">
        <v>231</v>
      </c>
      <c r="U48" s="151">
        <v>6.0</v>
      </c>
      <c r="V48" s="151">
        <v>6.0</v>
      </c>
      <c r="W48" s="151">
        <v>2310000.0</v>
      </c>
      <c r="X48" s="151">
        <v>2310000.0</v>
      </c>
      <c r="Y48" s="151">
        <v>596603.0</v>
      </c>
      <c r="Z48" s="151" t="s">
        <v>232</v>
      </c>
      <c r="AA48" s="151" t="s">
        <v>232</v>
      </c>
      <c r="AB48" s="151" t="s">
        <v>233</v>
      </c>
      <c r="AC48" s="151" t="s">
        <v>233</v>
      </c>
      <c r="AD48" s="149" t="s">
        <v>97</v>
      </c>
      <c r="AE48" s="149" t="s">
        <v>97</v>
      </c>
      <c r="AF48" s="149" t="s">
        <v>97</v>
      </c>
      <c r="AG48" s="150">
        <v>7.0</v>
      </c>
    </row>
    <row r="49" ht="15.75" hidden="1" customHeight="1">
      <c r="A49" s="151">
        <v>10.0</v>
      </c>
      <c r="B49" s="149" t="s">
        <v>156</v>
      </c>
      <c r="C49" s="149" t="s">
        <v>159</v>
      </c>
      <c r="D49" s="149" t="s">
        <v>111</v>
      </c>
      <c r="E49" s="151">
        <v>5.519393895E9</v>
      </c>
      <c r="F49" s="149" t="s">
        <v>134</v>
      </c>
      <c r="G49" s="149" t="s">
        <v>121</v>
      </c>
      <c r="H49" s="149" t="s">
        <v>135</v>
      </c>
      <c r="I49" s="149" t="s">
        <v>136</v>
      </c>
      <c r="J49" s="155">
        <v>45821.0</v>
      </c>
      <c r="K49" s="149" t="s">
        <v>100</v>
      </c>
      <c r="L49" s="151">
        <v>673.0</v>
      </c>
      <c r="M49" s="151">
        <v>15.0</v>
      </c>
      <c r="N49" s="151" t="s">
        <v>234</v>
      </c>
      <c r="O49" s="151">
        <v>0.0</v>
      </c>
      <c r="P49" s="151">
        <v>0.0</v>
      </c>
      <c r="Q49" s="151" t="s">
        <v>143</v>
      </c>
      <c r="R49" s="151" t="s">
        <v>143</v>
      </c>
      <c r="S49" s="151">
        <v>0.0</v>
      </c>
      <c r="T49" s="151">
        <v>0.0</v>
      </c>
      <c r="U49" s="151">
        <v>0.0</v>
      </c>
      <c r="V49" s="151">
        <v>0.0</v>
      </c>
      <c r="W49" s="151">
        <v>0.0</v>
      </c>
      <c r="X49" s="151">
        <v>0.0</v>
      </c>
      <c r="Y49" s="151">
        <v>69820.0</v>
      </c>
      <c r="Z49" s="151">
        <v>0.0</v>
      </c>
      <c r="AA49" s="151">
        <v>0.0</v>
      </c>
      <c r="AB49" s="151" t="s">
        <v>143</v>
      </c>
      <c r="AC49" s="151" t="s">
        <v>143</v>
      </c>
      <c r="AD49" s="149" t="s">
        <v>97</v>
      </c>
      <c r="AE49" s="149" t="s">
        <v>97</v>
      </c>
      <c r="AF49" s="149" t="s">
        <v>97</v>
      </c>
      <c r="AG49" s="150">
        <v>7.0</v>
      </c>
    </row>
    <row r="50" ht="15.75" hidden="1" customHeight="1">
      <c r="A50" s="151">
        <v>11.0</v>
      </c>
      <c r="B50" s="149" t="s">
        <v>144</v>
      </c>
      <c r="C50" s="149" t="s">
        <v>159</v>
      </c>
      <c r="D50" s="149" t="s">
        <v>111</v>
      </c>
      <c r="E50" s="151">
        <v>5.519393895E9</v>
      </c>
      <c r="F50" s="149" t="s">
        <v>134</v>
      </c>
      <c r="G50" s="149" t="s">
        <v>112</v>
      </c>
      <c r="H50" s="149" t="s">
        <v>135</v>
      </c>
      <c r="I50" s="149" t="s">
        <v>136</v>
      </c>
      <c r="J50" s="157">
        <v>45821.0</v>
      </c>
      <c r="K50" s="149" t="s">
        <v>100</v>
      </c>
      <c r="L50" s="151">
        <v>467.0</v>
      </c>
      <c r="M50" s="151">
        <v>13.0</v>
      </c>
      <c r="N50" s="151" t="s">
        <v>163</v>
      </c>
      <c r="O50" s="151">
        <v>0.0</v>
      </c>
      <c r="P50" s="151">
        <v>0.0</v>
      </c>
      <c r="Q50" s="151" t="s">
        <v>143</v>
      </c>
      <c r="R50" s="151" t="s">
        <v>143</v>
      </c>
      <c r="S50" s="151">
        <v>0.0</v>
      </c>
      <c r="T50" s="151">
        <v>0.0</v>
      </c>
      <c r="U50" s="151">
        <v>0.0</v>
      </c>
      <c r="V50" s="151">
        <v>0.0</v>
      </c>
      <c r="W50" s="151">
        <v>0.0</v>
      </c>
      <c r="X50" s="151">
        <v>0.0</v>
      </c>
      <c r="Y50" s="151">
        <v>63244.0</v>
      </c>
      <c r="Z50" s="151">
        <v>0.0</v>
      </c>
      <c r="AA50" s="151">
        <v>0.0</v>
      </c>
      <c r="AB50" s="151" t="s">
        <v>143</v>
      </c>
      <c r="AC50" s="151" t="s">
        <v>143</v>
      </c>
      <c r="AD50" s="149" t="s">
        <v>97</v>
      </c>
      <c r="AE50" s="149" t="s">
        <v>97</v>
      </c>
      <c r="AF50" s="149" t="s">
        <v>97</v>
      </c>
      <c r="AG50" s="150">
        <v>7.0</v>
      </c>
    </row>
    <row r="51" ht="15.75" hidden="1" customHeight="1">
      <c r="A51" s="151"/>
      <c r="B51" s="149"/>
      <c r="C51" s="149"/>
      <c r="D51" s="149"/>
      <c r="E51" s="151"/>
      <c r="F51" s="149"/>
      <c r="G51" s="149"/>
      <c r="H51" s="149"/>
      <c r="I51" s="149"/>
      <c r="J51" s="157"/>
      <c r="K51" s="149"/>
      <c r="L51" s="151"/>
      <c r="M51" s="151"/>
      <c r="N51" s="151"/>
      <c r="O51" s="151"/>
      <c r="P51" s="151"/>
      <c r="Q51" s="151"/>
      <c r="R51" s="151"/>
      <c r="S51" s="151"/>
      <c r="T51" s="151"/>
      <c r="U51" s="151"/>
      <c r="V51" s="151"/>
      <c r="W51" s="151"/>
      <c r="X51" s="151"/>
      <c r="Y51" s="151"/>
      <c r="Z51" s="151"/>
      <c r="AA51" s="151"/>
      <c r="AB51" s="151"/>
      <c r="AC51" s="151"/>
      <c r="AD51" s="149"/>
      <c r="AE51" s="149"/>
      <c r="AF51" s="149"/>
      <c r="AG51" s="150"/>
    </row>
    <row r="52" ht="15.75" hidden="1" customHeight="1"/>
    <row r="53" ht="15.75" hidden="1" customHeight="1"/>
    <row r="54" ht="15.75" hidden="1" customHeight="1">
      <c r="AG54" s="156"/>
    </row>
    <row r="55" ht="15.75" hidden="1" customHeight="1">
      <c r="AG55" s="156"/>
    </row>
    <row r="56" ht="15.75" hidden="1" customHeight="1">
      <c r="A56" s="149" t="s">
        <v>53</v>
      </c>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50"/>
    </row>
    <row r="57" ht="15.75" hidden="1" customHeight="1">
      <c r="A57" s="149" t="s">
        <v>54</v>
      </c>
      <c r="B57" s="149" t="s">
        <v>55</v>
      </c>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150"/>
    </row>
    <row r="58" ht="15.75" hidden="1" customHeight="1">
      <c r="A58" s="149" t="s">
        <v>56</v>
      </c>
      <c r="B58" s="149" t="s">
        <v>57</v>
      </c>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49"/>
      <c r="AC58" s="149"/>
      <c r="AD58" s="149"/>
      <c r="AE58" s="149"/>
      <c r="AF58" s="149"/>
      <c r="AG58" s="150"/>
    </row>
    <row r="59" ht="15.75" hidden="1" customHeight="1">
      <c r="A59" s="149" t="s">
        <v>58</v>
      </c>
      <c r="B59" s="151">
        <v>2.27240948E8</v>
      </c>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c r="AE59" s="149"/>
      <c r="AF59" s="149"/>
      <c r="AG59" s="150"/>
    </row>
    <row r="60" ht="15.75" hidden="1" customHeight="1">
      <c r="A60" s="149" t="s">
        <v>59</v>
      </c>
      <c r="B60" s="152">
        <v>45903.35763888889</v>
      </c>
      <c r="C60" s="157"/>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150"/>
    </row>
    <row r="61" ht="15.75" hidden="1" customHeight="1">
      <c r="A61" s="149" t="s">
        <v>60</v>
      </c>
      <c r="B61" s="149" t="s">
        <v>235</v>
      </c>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c r="AE61" s="149"/>
      <c r="AF61" s="149"/>
      <c r="AG61" s="150"/>
    </row>
    <row r="62" ht="15.75" hidden="1" customHeight="1">
      <c r="A62" s="149"/>
      <c r="B62" s="149"/>
      <c r="C62" s="149"/>
      <c r="D62" s="149"/>
      <c r="E62" s="149"/>
      <c r="F62" s="149"/>
      <c r="G62" s="149"/>
      <c r="H62" s="149"/>
      <c r="I62" s="149"/>
      <c r="J62" s="149"/>
      <c r="K62" s="149"/>
      <c r="L62" s="149"/>
      <c r="M62" s="149"/>
      <c r="N62" s="149"/>
      <c r="O62" s="149"/>
      <c r="P62" s="149"/>
      <c r="Q62" s="149"/>
      <c r="R62" s="149"/>
      <c r="S62" s="149"/>
      <c r="T62" s="149"/>
      <c r="U62" s="149"/>
      <c r="V62" s="149"/>
      <c r="W62" s="153">
        <f>SUM(W64:W76)</f>
        <v>24639954</v>
      </c>
      <c r="X62" s="153"/>
      <c r="Y62" s="153">
        <f>SUM(Y64:Y76)</f>
        <v>3368692</v>
      </c>
      <c r="Z62" s="149"/>
      <c r="AA62" s="149"/>
      <c r="AB62" s="149"/>
      <c r="AC62" s="149"/>
      <c r="AD62" s="149"/>
      <c r="AE62" s="149"/>
      <c r="AF62" s="149"/>
      <c r="AG62" s="150"/>
    </row>
    <row r="63" ht="15.75" hidden="1" customHeight="1">
      <c r="A63" s="149" t="s">
        <v>62</v>
      </c>
      <c r="B63" s="149" t="s">
        <v>63</v>
      </c>
      <c r="C63" s="149" t="s">
        <v>64</v>
      </c>
      <c r="D63" s="149" t="s">
        <v>65</v>
      </c>
      <c r="E63" s="149" t="s">
        <v>66</v>
      </c>
      <c r="F63" s="149" t="s">
        <v>67</v>
      </c>
      <c r="G63" s="149" t="s">
        <v>68</v>
      </c>
      <c r="H63" s="149" t="s">
        <v>69</v>
      </c>
      <c r="I63" s="149" t="s">
        <v>70</v>
      </c>
      <c r="J63" s="149" t="s">
        <v>71</v>
      </c>
      <c r="K63" s="149" t="s">
        <v>72</v>
      </c>
      <c r="L63" s="149" t="s">
        <v>73</v>
      </c>
      <c r="M63" s="149" t="s">
        <v>74</v>
      </c>
      <c r="N63" s="149" t="s">
        <v>75</v>
      </c>
      <c r="O63" s="149" t="s">
        <v>76</v>
      </c>
      <c r="P63" s="149" t="s">
        <v>77</v>
      </c>
      <c r="Q63" s="149" t="s">
        <v>78</v>
      </c>
      <c r="R63" s="149" t="s">
        <v>79</v>
      </c>
      <c r="S63" s="149" t="s">
        <v>80</v>
      </c>
      <c r="T63" s="149" t="s">
        <v>81</v>
      </c>
      <c r="U63" s="149" t="s">
        <v>82</v>
      </c>
      <c r="V63" s="149" t="s">
        <v>83</v>
      </c>
      <c r="W63" s="149" t="s">
        <v>84</v>
      </c>
      <c r="X63" s="149" t="s">
        <v>85</v>
      </c>
      <c r="Y63" s="149" t="s">
        <v>86</v>
      </c>
      <c r="Z63" s="149" t="s">
        <v>20</v>
      </c>
      <c r="AA63" s="149" t="s">
        <v>87</v>
      </c>
      <c r="AB63" s="149" t="s">
        <v>88</v>
      </c>
      <c r="AC63" s="149" t="s">
        <v>89</v>
      </c>
      <c r="AD63" s="149" t="s">
        <v>90</v>
      </c>
      <c r="AE63" s="149" t="s">
        <v>91</v>
      </c>
      <c r="AF63" s="149" t="s">
        <v>92</v>
      </c>
      <c r="AG63" s="154" t="s">
        <v>93</v>
      </c>
    </row>
    <row r="64" ht="15.75" hidden="1" customHeight="1">
      <c r="A64" s="151">
        <v>1.0</v>
      </c>
      <c r="B64" s="149" t="s">
        <v>94</v>
      </c>
      <c r="C64" s="149" t="s">
        <v>95</v>
      </c>
      <c r="D64" s="149" t="s">
        <v>96</v>
      </c>
      <c r="E64" s="149" t="s">
        <v>97</v>
      </c>
      <c r="F64" s="149" t="s">
        <v>97</v>
      </c>
      <c r="G64" s="149" t="s">
        <v>98</v>
      </c>
      <c r="H64" s="149" t="s">
        <v>99</v>
      </c>
      <c r="I64" s="149" t="s">
        <v>97</v>
      </c>
      <c r="J64" s="152">
        <v>45784.0</v>
      </c>
      <c r="K64" s="149" t="s">
        <v>100</v>
      </c>
      <c r="L64" s="151">
        <v>5530.0</v>
      </c>
      <c r="M64" s="151">
        <v>1426.0</v>
      </c>
      <c r="N64" s="151" t="s">
        <v>236</v>
      </c>
      <c r="O64" s="151">
        <v>4.0</v>
      </c>
      <c r="P64" s="151">
        <v>3.0</v>
      </c>
      <c r="Q64" s="151" t="s">
        <v>237</v>
      </c>
      <c r="R64" s="151" t="s">
        <v>238</v>
      </c>
      <c r="S64" s="151" t="s">
        <v>239</v>
      </c>
      <c r="T64" s="151" t="s">
        <v>240</v>
      </c>
      <c r="U64" s="151">
        <v>4.0</v>
      </c>
      <c r="V64" s="151">
        <v>3.0</v>
      </c>
      <c r="W64" s="151">
        <v>2343000.0</v>
      </c>
      <c r="X64" s="151">
        <v>1944000.0</v>
      </c>
      <c r="Y64" s="151">
        <v>339718.0</v>
      </c>
      <c r="Z64" s="159">
        <v>45906.0</v>
      </c>
      <c r="AA64" s="151" t="s">
        <v>241</v>
      </c>
      <c r="AB64" s="151" t="s">
        <v>242</v>
      </c>
      <c r="AC64" s="151" t="s">
        <v>243</v>
      </c>
      <c r="AD64" s="151">
        <v>15758.0</v>
      </c>
      <c r="AE64" s="151">
        <v>17.0</v>
      </c>
      <c r="AF64" s="151" t="s">
        <v>244</v>
      </c>
      <c r="AG64" s="150">
        <v>8.0</v>
      </c>
    </row>
    <row r="65" ht="15.75" hidden="1" customHeight="1">
      <c r="A65" s="151">
        <v>2.0</v>
      </c>
      <c r="B65" s="149" t="s">
        <v>110</v>
      </c>
      <c r="C65" s="149" t="s">
        <v>95</v>
      </c>
      <c r="D65" s="149" t="s">
        <v>111</v>
      </c>
      <c r="E65" s="151">
        <v>8.782633181E9</v>
      </c>
      <c r="F65" s="149" t="s">
        <v>97</v>
      </c>
      <c r="G65" s="149" t="s">
        <v>112</v>
      </c>
      <c r="H65" s="149" t="s">
        <v>113</v>
      </c>
      <c r="I65" s="149" t="s">
        <v>114</v>
      </c>
      <c r="J65" s="152">
        <v>45660.0</v>
      </c>
      <c r="K65" s="149" t="s">
        <v>100</v>
      </c>
      <c r="L65" s="151">
        <v>14778.0</v>
      </c>
      <c r="M65" s="151">
        <v>151.0</v>
      </c>
      <c r="N65" s="151" t="s">
        <v>229</v>
      </c>
      <c r="O65" s="151">
        <v>6.0</v>
      </c>
      <c r="P65" s="151">
        <v>6.0</v>
      </c>
      <c r="Q65" s="151" t="s">
        <v>245</v>
      </c>
      <c r="R65" s="151" t="s">
        <v>245</v>
      </c>
      <c r="S65" s="151" t="s">
        <v>246</v>
      </c>
      <c r="T65" s="151" t="s">
        <v>246</v>
      </c>
      <c r="U65" s="151">
        <v>8.0</v>
      </c>
      <c r="V65" s="151">
        <v>8.0</v>
      </c>
      <c r="W65" s="151">
        <v>1.1583E7</v>
      </c>
      <c r="X65" s="151">
        <v>1.1583E7</v>
      </c>
      <c r="Y65" s="151">
        <v>1083713.0</v>
      </c>
      <c r="Z65" s="151" t="s">
        <v>247</v>
      </c>
      <c r="AA65" s="151" t="s">
        <v>247</v>
      </c>
      <c r="AB65" s="151" t="s">
        <v>248</v>
      </c>
      <c r="AC65" s="151" t="s">
        <v>248</v>
      </c>
      <c r="AD65" s="149" t="s">
        <v>97</v>
      </c>
      <c r="AE65" s="149" t="s">
        <v>97</v>
      </c>
      <c r="AF65" s="149" t="s">
        <v>97</v>
      </c>
      <c r="AG65" s="150">
        <v>8.0</v>
      </c>
    </row>
    <row r="66" ht="15.75" hidden="1" customHeight="1">
      <c r="A66" s="151">
        <v>3.0</v>
      </c>
      <c r="B66" s="149" t="s">
        <v>249</v>
      </c>
      <c r="C66" s="149" t="s">
        <v>95</v>
      </c>
      <c r="D66" s="149" t="s">
        <v>111</v>
      </c>
      <c r="E66" s="151">
        <v>2.5666719442E10</v>
      </c>
      <c r="F66" s="149" t="s">
        <v>97</v>
      </c>
      <c r="G66" s="149" t="s">
        <v>121</v>
      </c>
      <c r="H66" s="149" t="s">
        <v>113</v>
      </c>
      <c r="I66" s="149" t="s">
        <v>114</v>
      </c>
      <c r="J66" s="155">
        <v>45891.0</v>
      </c>
      <c r="K66" s="155">
        <v>45930.99998842592</v>
      </c>
      <c r="L66" s="151">
        <v>5708.0</v>
      </c>
      <c r="M66" s="151">
        <v>95.0</v>
      </c>
      <c r="N66" s="151" t="s">
        <v>230</v>
      </c>
      <c r="O66" s="151">
        <v>1.0</v>
      </c>
      <c r="P66" s="151">
        <v>1.0</v>
      </c>
      <c r="Q66" s="151" t="s">
        <v>250</v>
      </c>
      <c r="R66" s="151" t="s">
        <v>250</v>
      </c>
      <c r="S66" s="151">
        <v>387058.0</v>
      </c>
      <c r="T66" s="151">
        <v>387058.0</v>
      </c>
      <c r="U66" s="151">
        <v>1.0</v>
      </c>
      <c r="V66" s="151">
        <v>1.0</v>
      </c>
      <c r="W66" s="151">
        <v>945000.0</v>
      </c>
      <c r="X66" s="151">
        <v>945000.0</v>
      </c>
      <c r="Y66" s="151">
        <v>387058.0</v>
      </c>
      <c r="Z66" s="151" t="s">
        <v>251</v>
      </c>
      <c r="AA66" s="151" t="s">
        <v>251</v>
      </c>
      <c r="AB66" s="151" t="s">
        <v>252</v>
      </c>
      <c r="AC66" s="151" t="s">
        <v>252</v>
      </c>
      <c r="AD66" s="149" t="s">
        <v>97</v>
      </c>
      <c r="AE66" s="149" t="s">
        <v>97</v>
      </c>
      <c r="AF66" s="149" t="s">
        <v>97</v>
      </c>
      <c r="AG66" s="150">
        <v>8.0</v>
      </c>
    </row>
    <row r="67" ht="15.75" hidden="1" customHeight="1">
      <c r="A67" s="151">
        <v>4.0</v>
      </c>
      <c r="B67" s="149" t="s">
        <v>253</v>
      </c>
      <c r="C67" s="149" t="s">
        <v>95</v>
      </c>
      <c r="D67" s="149" t="s">
        <v>111</v>
      </c>
      <c r="E67" s="151">
        <v>3.934257539E9</v>
      </c>
      <c r="F67" s="149" t="s">
        <v>97</v>
      </c>
      <c r="G67" s="149" t="s">
        <v>121</v>
      </c>
      <c r="H67" s="149" t="s">
        <v>113</v>
      </c>
      <c r="I67" s="149" t="s">
        <v>114</v>
      </c>
      <c r="J67" s="155">
        <v>45891.0</v>
      </c>
      <c r="K67" s="155">
        <v>45930.99998842592</v>
      </c>
      <c r="L67" s="151">
        <v>4995.0</v>
      </c>
      <c r="M67" s="151">
        <v>77.0</v>
      </c>
      <c r="N67" s="151" t="s">
        <v>254</v>
      </c>
      <c r="O67" s="151">
        <v>1.0</v>
      </c>
      <c r="P67" s="151">
        <v>1.0</v>
      </c>
      <c r="Q67" s="151" t="s">
        <v>255</v>
      </c>
      <c r="R67" s="151" t="s">
        <v>255</v>
      </c>
      <c r="S67" s="151" t="s">
        <v>256</v>
      </c>
      <c r="T67" s="151" t="s">
        <v>256</v>
      </c>
      <c r="U67" s="151">
        <v>1.0</v>
      </c>
      <c r="V67" s="151">
        <v>1.0</v>
      </c>
      <c r="W67" s="151">
        <v>790000.0</v>
      </c>
      <c r="X67" s="151">
        <v>790000.0</v>
      </c>
      <c r="Y67" s="151">
        <v>331588.0</v>
      </c>
      <c r="Z67" s="151" t="s">
        <v>257</v>
      </c>
      <c r="AA67" s="151" t="s">
        <v>257</v>
      </c>
      <c r="AB67" s="151" t="s">
        <v>258</v>
      </c>
      <c r="AC67" s="151" t="s">
        <v>258</v>
      </c>
      <c r="AD67" s="149" t="s">
        <v>97</v>
      </c>
      <c r="AE67" s="149" t="s">
        <v>97</v>
      </c>
      <c r="AF67" s="149" t="s">
        <v>97</v>
      </c>
      <c r="AG67" s="150">
        <v>8.0</v>
      </c>
    </row>
    <row r="68" ht="15.75" hidden="1" customHeight="1">
      <c r="A68" s="151">
        <v>5.0</v>
      </c>
      <c r="B68" s="149" t="s">
        <v>259</v>
      </c>
      <c r="C68" s="149" t="s">
        <v>95</v>
      </c>
      <c r="D68" s="149" t="s">
        <v>111</v>
      </c>
      <c r="E68" s="151">
        <v>6.917016018E9</v>
      </c>
      <c r="F68" s="149" t="s">
        <v>97</v>
      </c>
      <c r="G68" s="149" t="s">
        <v>112</v>
      </c>
      <c r="H68" s="149" t="s">
        <v>113</v>
      </c>
      <c r="I68" s="149" t="s">
        <v>114</v>
      </c>
      <c r="J68" s="155">
        <v>45891.0</v>
      </c>
      <c r="K68" s="149" t="s">
        <v>100</v>
      </c>
      <c r="L68" s="151">
        <v>2540.0</v>
      </c>
      <c r="M68" s="151">
        <v>41.0</v>
      </c>
      <c r="N68" s="151" t="s">
        <v>260</v>
      </c>
      <c r="O68" s="151">
        <v>2.0</v>
      </c>
      <c r="P68" s="151">
        <v>2.0</v>
      </c>
      <c r="Q68" s="151" t="s">
        <v>261</v>
      </c>
      <c r="R68" s="151" t="s">
        <v>261</v>
      </c>
      <c r="S68" s="151" t="s">
        <v>262</v>
      </c>
      <c r="T68" s="151" t="s">
        <v>262</v>
      </c>
      <c r="U68" s="151">
        <v>2.0</v>
      </c>
      <c r="V68" s="151">
        <v>2.0</v>
      </c>
      <c r="W68" s="151">
        <v>533954.0</v>
      </c>
      <c r="X68" s="151">
        <v>533954.0</v>
      </c>
      <c r="Y68" s="151">
        <v>92550.0</v>
      </c>
      <c r="Z68" s="151" t="s">
        <v>263</v>
      </c>
      <c r="AA68" s="151" t="s">
        <v>263</v>
      </c>
      <c r="AB68" s="151" t="s">
        <v>264</v>
      </c>
      <c r="AC68" s="151" t="s">
        <v>264</v>
      </c>
      <c r="AD68" s="149" t="s">
        <v>97</v>
      </c>
      <c r="AE68" s="149" t="s">
        <v>97</v>
      </c>
      <c r="AF68" s="149" t="s">
        <v>97</v>
      </c>
      <c r="AG68" s="150">
        <v>8.0</v>
      </c>
    </row>
    <row r="69" ht="15.75" hidden="1" customHeight="1">
      <c r="A69" s="151">
        <v>6.0</v>
      </c>
      <c r="B69" s="149" t="s">
        <v>154</v>
      </c>
      <c r="C69" s="149" t="s">
        <v>95</v>
      </c>
      <c r="D69" s="149" t="s">
        <v>111</v>
      </c>
      <c r="E69" s="151">
        <v>5.158911395E9</v>
      </c>
      <c r="F69" s="149" t="s">
        <v>97</v>
      </c>
      <c r="G69" s="149" t="s">
        <v>121</v>
      </c>
      <c r="H69" s="149" t="s">
        <v>113</v>
      </c>
      <c r="I69" s="149" t="s">
        <v>114</v>
      </c>
      <c r="J69" s="155">
        <v>45831.0</v>
      </c>
      <c r="K69" s="149" t="s">
        <v>100</v>
      </c>
      <c r="L69" s="151">
        <v>2270.0</v>
      </c>
      <c r="M69" s="151">
        <v>39.0</v>
      </c>
      <c r="N69" s="151" t="s">
        <v>265</v>
      </c>
      <c r="O69" s="151">
        <v>2.0</v>
      </c>
      <c r="P69" s="151">
        <v>2.0</v>
      </c>
      <c r="Q69" s="151" t="s">
        <v>266</v>
      </c>
      <c r="R69" s="151" t="s">
        <v>266</v>
      </c>
      <c r="S69" s="151" t="s">
        <v>267</v>
      </c>
      <c r="T69" s="151" t="s">
        <v>267</v>
      </c>
      <c r="U69" s="151">
        <v>7.0</v>
      </c>
      <c r="V69" s="151">
        <v>7.0</v>
      </c>
      <c r="W69" s="151">
        <v>420000.0</v>
      </c>
      <c r="X69" s="151">
        <v>420000.0</v>
      </c>
      <c r="Y69" s="151">
        <v>137089.0</v>
      </c>
      <c r="Z69" s="160">
        <v>45811.0</v>
      </c>
      <c r="AA69" s="160">
        <v>45811.0</v>
      </c>
      <c r="AB69" s="151" t="s">
        <v>268</v>
      </c>
      <c r="AC69" s="151" t="s">
        <v>268</v>
      </c>
      <c r="AD69" s="149" t="s">
        <v>97</v>
      </c>
      <c r="AE69" s="149" t="s">
        <v>97</v>
      </c>
      <c r="AF69" s="149" t="s">
        <v>97</v>
      </c>
      <c r="AG69" s="150">
        <v>8.0</v>
      </c>
    </row>
    <row r="70" ht="15.75" hidden="1" customHeight="1">
      <c r="A70" s="151">
        <v>7.0</v>
      </c>
      <c r="B70" s="149" t="s">
        <v>269</v>
      </c>
      <c r="C70" s="149" t="s">
        <v>95</v>
      </c>
      <c r="D70" s="149" t="s">
        <v>111</v>
      </c>
      <c r="E70" s="151">
        <v>3.862340378E9</v>
      </c>
      <c r="F70" s="149" t="s">
        <v>97</v>
      </c>
      <c r="G70" s="149" t="s">
        <v>112</v>
      </c>
      <c r="H70" s="149" t="s">
        <v>176</v>
      </c>
      <c r="I70" s="149" t="s">
        <v>114</v>
      </c>
      <c r="J70" s="157">
        <v>45729.0</v>
      </c>
      <c r="K70" s="149" t="s">
        <v>100</v>
      </c>
      <c r="L70" s="151">
        <v>2256.0</v>
      </c>
      <c r="M70" s="151">
        <v>58.0</v>
      </c>
      <c r="N70" s="151" t="s">
        <v>270</v>
      </c>
      <c r="O70" s="151">
        <v>1.0</v>
      </c>
      <c r="P70" s="151">
        <v>1.0</v>
      </c>
      <c r="Q70" s="151" t="s">
        <v>265</v>
      </c>
      <c r="R70" s="151" t="s">
        <v>265</v>
      </c>
      <c r="S70" s="151" t="s">
        <v>271</v>
      </c>
      <c r="T70" s="151" t="s">
        <v>271</v>
      </c>
      <c r="U70" s="151">
        <v>1.0</v>
      </c>
      <c r="V70" s="151">
        <v>1.0</v>
      </c>
      <c r="W70" s="151">
        <v>880000.0</v>
      </c>
      <c r="X70" s="151">
        <v>880000.0</v>
      </c>
      <c r="Y70" s="151">
        <v>265541.0</v>
      </c>
      <c r="Z70" s="151" t="s">
        <v>272</v>
      </c>
      <c r="AA70" s="151" t="s">
        <v>272</v>
      </c>
      <c r="AB70" s="151" t="s">
        <v>273</v>
      </c>
      <c r="AC70" s="151" t="s">
        <v>273</v>
      </c>
      <c r="AD70" s="149" t="s">
        <v>97</v>
      </c>
      <c r="AE70" s="149" t="s">
        <v>97</v>
      </c>
      <c r="AF70" s="149" t="s">
        <v>97</v>
      </c>
      <c r="AG70" s="150">
        <v>8.0</v>
      </c>
    </row>
    <row r="71" ht="15.75" hidden="1" customHeight="1">
      <c r="A71" s="151">
        <v>8.0</v>
      </c>
      <c r="B71" s="149" t="s">
        <v>120</v>
      </c>
      <c r="C71" s="149" t="s">
        <v>95</v>
      </c>
      <c r="D71" s="149" t="s">
        <v>111</v>
      </c>
      <c r="E71" s="151">
        <v>5.219966803E9</v>
      </c>
      <c r="F71" s="149" t="s">
        <v>97</v>
      </c>
      <c r="G71" s="149" t="s">
        <v>121</v>
      </c>
      <c r="H71" s="149" t="s">
        <v>113</v>
      </c>
      <c r="I71" s="149" t="s">
        <v>114</v>
      </c>
      <c r="J71" s="161">
        <v>45660.0</v>
      </c>
      <c r="K71" s="149" t="s">
        <v>100</v>
      </c>
      <c r="L71" s="151">
        <v>1986.0</v>
      </c>
      <c r="M71" s="151">
        <v>33.0</v>
      </c>
      <c r="N71" s="151" t="s">
        <v>230</v>
      </c>
      <c r="O71" s="151">
        <v>1.0</v>
      </c>
      <c r="P71" s="151">
        <v>1.0</v>
      </c>
      <c r="Q71" s="151" t="s">
        <v>274</v>
      </c>
      <c r="R71" s="151" t="s">
        <v>274</v>
      </c>
      <c r="S71" s="151" t="s">
        <v>275</v>
      </c>
      <c r="T71" s="151" t="s">
        <v>275</v>
      </c>
      <c r="U71" s="151">
        <v>1.0</v>
      </c>
      <c r="V71" s="151">
        <v>1.0</v>
      </c>
      <c r="W71" s="151">
        <v>850000.0</v>
      </c>
      <c r="X71" s="151">
        <v>850000.0</v>
      </c>
      <c r="Y71" s="151">
        <v>87225.0</v>
      </c>
      <c r="Z71" s="151" t="s">
        <v>276</v>
      </c>
      <c r="AA71" s="151" t="s">
        <v>276</v>
      </c>
      <c r="AB71" s="151" t="s">
        <v>277</v>
      </c>
      <c r="AC71" s="151" t="s">
        <v>277</v>
      </c>
      <c r="AD71" s="149" t="s">
        <v>97</v>
      </c>
      <c r="AE71" s="149" t="s">
        <v>97</v>
      </c>
      <c r="AF71" s="149" t="s">
        <v>97</v>
      </c>
      <c r="AG71" s="150">
        <v>8.0</v>
      </c>
    </row>
    <row r="72" ht="15.75" hidden="1" customHeight="1">
      <c r="A72" s="151">
        <v>9.0</v>
      </c>
      <c r="B72" s="149" t="s">
        <v>201</v>
      </c>
      <c r="C72" s="149" t="s">
        <v>159</v>
      </c>
      <c r="D72" s="149" t="s">
        <v>111</v>
      </c>
      <c r="E72" s="151">
        <v>5.519393895E9</v>
      </c>
      <c r="F72" s="149" t="s">
        <v>97</v>
      </c>
      <c r="G72" s="149" t="s">
        <v>112</v>
      </c>
      <c r="H72" s="149" t="s">
        <v>113</v>
      </c>
      <c r="I72" s="149" t="s">
        <v>114</v>
      </c>
      <c r="J72" s="152">
        <v>45849.0</v>
      </c>
      <c r="K72" s="149" t="s">
        <v>100</v>
      </c>
      <c r="L72" s="151">
        <v>4701.0</v>
      </c>
      <c r="M72" s="151">
        <v>58.0</v>
      </c>
      <c r="N72" s="151" t="s">
        <v>116</v>
      </c>
      <c r="O72" s="151">
        <v>5.0</v>
      </c>
      <c r="P72" s="151">
        <v>5.0</v>
      </c>
      <c r="Q72" s="151" t="s">
        <v>278</v>
      </c>
      <c r="R72" s="151" t="s">
        <v>278</v>
      </c>
      <c r="S72" s="151" t="s">
        <v>279</v>
      </c>
      <c r="T72" s="151" t="s">
        <v>279</v>
      </c>
      <c r="U72" s="151">
        <v>5.0</v>
      </c>
      <c r="V72" s="151">
        <v>5.0</v>
      </c>
      <c r="W72" s="151">
        <v>3865000.0</v>
      </c>
      <c r="X72" s="151">
        <v>3865000.0</v>
      </c>
      <c r="Y72" s="151">
        <v>316066.0</v>
      </c>
      <c r="Z72" s="151" t="s">
        <v>280</v>
      </c>
      <c r="AA72" s="151" t="s">
        <v>280</v>
      </c>
      <c r="AB72" s="151" t="s">
        <v>281</v>
      </c>
      <c r="AC72" s="151" t="s">
        <v>281</v>
      </c>
      <c r="AD72" s="149" t="s">
        <v>97</v>
      </c>
      <c r="AE72" s="149" t="s">
        <v>97</v>
      </c>
      <c r="AF72" s="149" t="s">
        <v>97</v>
      </c>
      <c r="AG72" s="150">
        <v>8.0</v>
      </c>
    </row>
    <row r="73" ht="15.75" hidden="1" customHeight="1">
      <c r="A73" s="151">
        <v>10.0</v>
      </c>
      <c r="B73" s="149" t="s">
        <v>127</v>
      </c>
      <c r="C73" s="149" t="s">
        <v>159</v>
      </c>
      <c r="D73" s="149" t="s">
        <v>111</v>
      </c>
      <c r="E73" s="151">
        <v>2.5666719442E10</v>
      </c>
      <c r="F73" s="149" t="s">
        <v>97</v>
      </c>
      <c r="G73" s="149" t="s">
        <v>112</v>
      </c>
      <c r="H73" s="149" t="s">
        <v>113</v>
      </c>
      <c r="I73" s="149" t="s">
        <v>114</v>
      </c>
      <c r="J73" s="155">
        <v>45833.0</v>
      </c>
      <c r="K73" s="149" t="s">
        <v>100</v>
      </c>
      <c r="L73" s="151">
        <v>3176.0</v>
      </c>
      <c r="M73" s="151">
        <v>44.0</v>
      </c>
      <c r="N73" s="151" t="s">
        <v>282</v>
      </c>
      <c r="O73" s="151">
        <v>4.0</v>
      </c>
      <c r="P73" s="151">
        <v>4.0</v>
      </c>
      <c r="Q73" s="151" t="s">
        <v>283</v>
      </c>
      <c r="R73" s="151" t="s">
        <v>283</v>
      </c>
      <c r="S73" s="151" t="s">
        <v>284</v>
      </c>
      <c r="T73" s="151" t="s">
        <v>284</v>
      </c>
      <c r="U73" s="151">
        <v>4.0</v>
      </c>
      <c r="V73" s="151">
        <v>4.0</v>
      </c>
      <c r="W73" s="151">
        <v>2430000.0</v>
      </c>
      <c r="X73" s="151">
        <v>2430000.0</v>
      </c>
      <c r="Y73" s="151">
        <v>262360.0</v>
      </c>
      <c r="Z73" s="151" t="s">
        <v>285</v>
      </c>
      <c r="AA73" s="151" t="s">
        <v>285</v>
      </c>
      <c r="AB73" s="151" t="s">
        <v>286</v>
      </c>
      <c r="AC73" s="151" t="s">
        <v>286</v>
      </c>
      <c r="AD73" s="149" t="s">
        <v>97</v>
      </c>
      <c r="AE73" s="149" t="s">
        <v>97</v>
      </c>
      <c r="AF73" s="149" t="s">
        <v>97</v>
      </c>
      <c r="AG73" s="150">
        <v>8.0</v>
      </c>
    </row>
    <row r="74" ht="15.75" hidden="1" customHeight="1">
      <c r="A74" s="151">
        <v>11.0</v>
      </c>
      <c r="B74" s="149" t="s">
        <v>220</v>
      </c>
      <c r="C74" s="149" t="s">
        <v>159</v>
      </c>
      <c r="D74" s="149" t="s">
        <v>111</v>
      </c>
      <c r="E74" s="151">
        <v>2.486748184E10</v>
      </c>
      <c r="F74" s="149" t="s">
        <v>97</v>
      </c>
      <c r="G74" s="149" t="s">
        <v>112</v>
      </c>
      <c r="H74" s="149" t="s">
        <v>113</v>
      </c>
      <c r="I74" s="149" t="s">
        <v>114</v>
      </c>
      <c r="J74" s="152">
        <v>45849.0</v>
      </c>
      <c r="K74" s="149" t="s">
        <v>100</v>
      </c>
      <c r="L74" s="151">
        <v>251.0</v>
      </c>
      <c r="M74" s="151">
        <v>2.0</v>
      </c>
      <c r="N74" s="151" t="s">
        <v>287</v>
      </c>
      <c r="O74" s="151">
        <v>0.0</v>
      </c>
      <c r="P74" s="151">
        <v>0.0</v>
      </c>
      <c r="Q74" s="151" t="s">
        <v>143</v>
      </c>
      <c r="R74" s="151" t="s">
        <v>143</v>
      </c>
      <c r="S74" s="151">
        <v>0.0</v>
      </c>
      <c r="T74" s="151">
        <v>0.0</v>
      </c>
      <c r="U74" s="151">
        <v>0.0</v>
      </c>
      <c r="V74" s="151">
        <v>0.0</v>
      </c>
      <c r="W74" s="151">
        <v>0.0</v>
      </c>
      <c r="X74" s="151">
        <v>0.0</v>
      </c>
      <c r="Y74" s="151">
        <v>315.0</v>
      </c>
      <c r="Z74" s="151">
        <v>0.0</v>
      </c>
      <c r="AA74" s="151">
        <v>0.0</v>
      </c>
      <c r="AB74" s="151" t="s">
        <v>143</v>
      </c>
      <c r="AC74" s="151" t="s">
        <v>143</v>
      </c>
      <c r="AD74" s="149" t="s">
        <v>97</v>
      </c>
      <c r="AE74" s="149" t="s">
        <v>97</v>
      </c>
      <c r="AF74" s="149" t="s">
        <v>97</v>
      </c>
      <c r="AG74" s="150">
        <v>8.0</v>
      </c>
    </row>
    <row r="75" ht="15.75" hidden="1" customHeight="1">
      <c r="A75" s="151">
        <v>12.0</v>
      </c>
      <c r="B75" s="149" t="s">
        <v>141</v>
      </c>
      <c r="C75" s="149" t="s">
        <v>288</v>
      </c>
      <c r="D75" s="149" t="s">
        <v>111</v>
      </c>
      <c r="E75" s="151">
        <v>2.2657955668E10</v>
      </c>
      <c r="F75" s="149" t="s">
        <v>97</v>
      </c>
      <c r="G75" s="149" t="s">
        <v>112</v>
      </c>
      <c r="H75" s="149" t="s">
        <v>113</v>
      </c>
      <c r="I75" s="149" t="s">
        <v>114</v>
      </c>
      <c r="J75" s="152">
        <v>45660.0</v>
      </c>
      <c r="K75" s="155">
        <v>45900.99998842592</v>
      </c>
      <c r="L75" s="151">
        <v>2162.0</v>
      </c>
      <c r="M75" s="151">
        <v>14.0</v>
      </c>
      <c r="N75" s="151" t="s">
        <v>102</v>
      </c>
      <c r="O75" s="151">
        <v>0.0</v>
      </c>
      <c r="P75" s="151">
        <v>0.0</v>
      </c>
      <c r="Q75" s="151" t="s">
        <v>143</v>
      </c>
      <c r="R75" s="151" t="s">
        <v>143</v>
      </c>
      <c r="S75" s="151">
        <v>0.0</v>
      </c>
      <c r="T75" s="151">
        <v>0.0</v>
      </c>
      <c r="U75" s="151">
        <v>0.0</v>
      </c>
      <c r="V75" s="151">
        <v>0.0</v>
      </c>
      <c r="W75" s="151">
        <v>0.0</v>
      </c>
      <c r="X75" s="151">
        <v>0.0</v>
      </c>
      <c r="Y75" s="151">
        <v>65469.0</v>
      </c>
      <c r="Z75" s="151">
        <v>0.0</v>
      </c>
      <c r="AA75" s="151">
        <v>0.0</v>
      </c>
      <c r="AB75" s="151" t="s">
        <v>143</v>
      </c>
      <c r="AC75" s="151" t="s">
        <v>143</v>
      </c>
      <c r="AD75" s="149" t="s">
        <v>97</v>
      </c>
      <c r="AE75" s="149" t="s">
        <v>97</v>
      </c>
      <c r="AF75" s="149" t="s">
        <v>97</v>
      </c>
      <c r="AG75" s="150">
        <v>8.0</v>
      </c>
    </row>
    <row r="76" ht="15.75" hidden="1" customHeight="1">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150"/>
    </row>
    <row r="77" ht="15.75" hidden="1" customHeight="1">
      <c r="AG77" s="156"/>
    </row>
    <row r="78" ht="15.75" hidden="1" customHeight="1">
      <c r="A78" s="149" t="s">
        <v>289</v>
      </c>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56"/>
    </row>
    <row r="79" ht="15.75" hidden="1" customHeight="1">
      <c r="A79" s="149" t="s">
        <v>54</v>
      </c>
      <c r="B79" s="149" t="s">
        <v>55</v>
      </c>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56"/>
    </row>
    <row r="80" ht="15.75" hidden="1" customHeight="1">
      <c r="A80" s="149" t="s">
        <v>56</v>
      </c>
      <c r="B80" s="149" t="s">
        <v>57</v>
      </c>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56"/>
    </row>
    <row r="81" ht="15.75" hidden="1" customHeight="1">
      <c r="A81" s="149" t="s">
        <v>58</v>
      </c>
      <c r="B81" s="151">
        <v>2.27240948E8</v>
      </c>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56"/>
    </row>
    <row r="82" ht="15.75" hidden="1" customHeight="1">
      <c r="A82" s="149" t="s">
        <v>59</v>
      </c>
      <c r="B82" s="162">
        <v>45931.620833333334</v>
      </c>
      <c r="C82" s="163"/>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c r="AB82" s="149"/>
      <c r="AC82" s="149"/>
      <c r="AD82" s="149"/>
      <c r="AE82" s="149"/>
      <c r="AF82" s="149"/>
      <c r="AG82" s="149"/>
    </row>
    <row r="83" ht="15.75" hidden="1" customHeight="1">
      <c r="A83" s="149" t="s">
        <v>60</v>
      </c>
      <c r="B83" s="149" t="s">
        <v>290</v>
      </c>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c r="AC83" s="149"/>
      <c r="AD83" s="149"/>
      <c r="AE83" s="149"/>
      <c r="AF83" s="149"/>
      <c r="AG83" s="149"/>
    </row>
    <row r="84" ht="15.75" hidden="1" customHeight="1">
      <c r="A84" s="149"/>
      <c r="B84" s="149"/>
      <c r="C84" s="149"/>
      <c r="D84" s="149"/>
      <c r="E84" s="149"/>
      <c r="F84" s="149"/>
      <c r="G84" s="149"/>
      <c r="H84" s="149"/>
      <c r="I84" s="149"/>
      <c r="J84" s="149"/>
      <c r="K84" s="149"/>
      <c r="L84" s="149"/>
      <c r="M84" s="149"/>
      <c r="N84" s="149"/>
      <c r="O84" s="149"/>
      <c r="P84" s="149"/>
      <c r="Q84" s="149"/>
      <c r="R84" s="149"/>
      <c r="S84" s="149"/>
      <c r="T84" s="149"/>
      <c r="U84" s="149"/>
      <c r="V84" s="149"/>
      <c r="W84" s="153">
        <f>SUM(W86:W98)</f>
        <v>61383194</v>
      </c>
      <c r="X84" s="153"/>
      <c r="Y84" s="153">
        <f>SUM(Y86:Y98)</f>
        <v>10589865</v>
      </c>
      <c r="Z84" s="149"/>
      <c r="AA84" s="149"/>
      <c r="AB84" s="149"/>
      <c r="AC84" s="149"/>
      <c r="AD84" s="149"/>
      <c r="AE84" s="149"/>
      <c r="AF84" s="149"/>
      <c r="AG84" s="149"/>
    </row>
    <row r="85" ht="15.75" hidden="1" customHeight="1">
      <c r="A85" s="149" t="s">
        <v>62</v>
      </c>
      <c r="B85" s="149" t="s">
        <v>291</v>
      </c>
      <c r="C85" s="149" t="s">
        <v>64</v>
      </c>
      <c r="D85" s="149" t="s">
        <v>292</v>
      </c>
      <c r="E85" s="149" t="s">
        <v>66</v>
      </c>
      <c r="F85" s="149" t="s">
        <v>67</v>
      </c>
      <c r="G85" s="149" t="s">
        <v>293</v>
      </c>
      <c r="H85" s="149" t="s">
        <v>69</v>
      </c>
      <c r="I85" s="149" t="s">
        <v>70</v>
      </c>
      <c r="J85" s="149" t="s">
        <v>71</v>
      </c>
      <c r="K85" s="149" t="s">
        <v>72</v>
      </c>
      <c r="L85" s="149" t="s">
        <v>73</v>
      </c>
      <c r="M85" s="149" t="s">
        <v>74</v>
      </c>
      <c r="N85" s="149" t="s">
        <v>75</v>
      </c>
      <c r="O85" s="149" t="s">
        <v>76</v>
      </c>
      <c r="P85" s="149" t="s">
        <v>77</v>
      </c>
      <c r="Q85" s="149" t="s">
        <v>78</v>
      </c>
      <c r="R85" s="149" t="s">
        <v>79</v>
      </c>
      <c r="S85" s="149" t="s">
        <v>80</v>
      </c>
      <c r="T85" s="149" t="s">
        <v>81</v>
      </c>
      <c r="U85" s="149" t="s">
        <v>82</v>
      </c>
      <c r="V85" s="149" t="s">
        <v>83</v>
      </c>
      <c r="W85" s="149" t="s">
        <v>84</v>
      </c>
      <c r="X85" s="149" t="s">
        <v>85</v>
      </c>
      <c r="Y85" s="149" t="s">
        <v>86</v>
      </c>
      <c r="Z85" s="149" t="s">
        <v>20</v>
      </c>
      <c r="AA85" s="149" t="s">
        <v>87</v>
      </c>
      <c r="AB85" s="149" t="s">
        <v>88</v>
      </c>
      <c r="AC85" s="149" t="s">
        <v>89</v>
      </c>
      <c r="AD85" s="149" t="s">
        <v>90</v>
      </c>
      <c r="AE85" s="149" t="s">
        <v>91</v>
      </c>
      <c r="AF85" s="149" t="s">
        <v>92</v>
      </c>
      <c r="AG85" s="149"/>
    </row>
    <row r="86" ht="15.75" hidden="1" customHeight="1">
      <c r="A86" s="151">
        <v>1.0</v>
      </c>
      <c r="B86" s="149" t="s">
        <v>94</v>
      </c>
      <c r="C86" s="149" t="s">
        <v>95</v>
      </c>
      <c r="D86" s="149" t="s">
        <v>294</v>
      </c>
      <c r="E86" s="149" t="s">
        <v>97</v>
      </c>
      <c r="F86" s="149" t="s">
        <v>97</v>
      </c>
      <c r="G86" s="149" t="s">
        <v>98</v>
      </c>
      <c r="H86" s="149" t="s">
        <v>99</v>
      </c>
      <c r="I86" s="149" t="s">
        <v>97</v>
      </c>
      <c r="J86" s="164" t="s">
        <v>295</v>
      </c>
      <c r="K86" s="149" t="s">
        <v>100</v>
      </c>
      <c r="L86" s="151">
        <v>8698.0</v>
      </c>
      <c r="M86" s="151">
        <v>1219.0</v>
      </c>
      <c r="N86" s="151" t="s">
        <v>296</v>
      </c>
      <c r="O86" s="151">
        <v>5.0</v>
      </c>
      <c r="P86" s="151">
        <v>5.0</v>
      </c>
      <c r="Q86" s="151" t="s">
        <v>297</v>
      </c>
      <c r="R86" s="151" t="s">
        <v>297</v>
      </c>
      <c r="S86" s="151" t="s">
        <v>298</v>
      </c>
      <c r="T86" s="151" t="s">
        <v>298</v>
      </c>
      <c r="U86" s="151">
        <v>5.0</v>
      </c>
      <c r="V86" s="151">
        <v>5.0</v>
      </c>
      <c r="W86" s="151">
        <v>2457000.0</v>
      </c>
      <c r="X86" s="151">
        <v>2457000.0</v>
      </c>
      <c r="Y86" s="151">
        <v>1161117.0</v>
      </c>
      <c r="Z86" s="159">
        <v>45993.0</v>
      </c>
      <c r="AA86" s="159">
        <v>45993.0</v>
      </c>
      <c r="AB86" s="151" t="s">
        <v>299</v>
      </c>
      <c r="AC86" s="151" t="s">
        <v>299</v>
      </c>
      <c r="AD86" s="151">
        <v>25919.0</v>
      </c>
      <c r="AE86" s="151">
        <v>36.0</v>
      </c>
      <c r="AF86" s="151" t="s">
        <v>300</v>
      </c>
      <c r="AG86" s="150">
        <v>9.0</v>
      </c>
    </row>
    <row r="87" ht="15.75" hidden="1" customHeight="1">
      <c r="A87" s="151">
        <v>2.0</v>
      </c>
      <c r="B87" s="149" t="s">
        <v>110</v>
      </c>
      <c r="C87" s="149" t="s">
        <v>95</v>
      </c>
      <c r="D87" s="149" t="s">
        <v>301</v>
      </c>
      <c r="E87" s="151" t="s">
        <v>302</v>
      </c>
      <c r="F87" s="149" t="s">
        <v>97</v>
      </c>
      <c r="G87" s="149" t="s">
        <v>112</v>
      </c>
      <c r="H87" s="149" t="s">
        <v>113</v>
      </c>
      <c r="I87" s="149" t="s">
        <v>114</v>
      </c>
      <c r="J87" s="164" t="s">
        <v>295</v>
      </c>
      <c r="K87" s="149" t="s">
        <v>100</v>
      </c>
      <c r="L87" s="151">
        <v>43640.0</v>
      </c>
      <c r="M87" s="151">
        <v>389.0</v>
      </c>
      <c r="N87" s="151" t="s">
        <v>206</v>
      </c>
      <c r="O87" s="151">
        <v>21.0</v>
      </c>
      <c r="P87" s="151">
        <v>17.0</v>
      </c>
      <c r="Q87" s="151" t="s">
        <v>303</v>
      </c>
      <c r="R87" s="151" t="s">
        <v>304</v>
      </c>
      <c r="S87" s="151" t="s">
        <v>305</v>
      </c>
      <c r="T87" s="151" t="s">
        <v>306</v>
      </c>
      <c r="U87" s="151">
        <v>26.0</v>
      </c>
      <c r="V87" s="151">
        <v>22.0</v>
      </c>
      <c r="W87" s="151">
        <v>2.69802E7</v>
      </c>
      <c r="X87" s="151">
        <v>2.4057E7</v>
      </c>
      <c r="Y87" s="151">
        <v>2688614.0</v>
      </c>
      <c r="Z87" s="160">
        <v>45726.0</v>
      </c>
      <c r="AA87" s="151" t="s">
        <v>307</v>
      </c>
      <c r="AB87" s="151" t="s">
        <v>308</v>
      </c>
      <c r="AC87" s="151" t="s">
        <v>309</v>
      </c>
      <c r="AD87" s="149" t="s">
        <v>97</v>
      </c>
      <c r="AE87" s="149" t="s">
        <v>97</v>
      </c>
      <c r="AF87" s="149" t="s">
        <v>97</v>
      </c>
      <c r="AG87" s="150">
        <v>9.0</v>
      </c>
    </row>
    <row r="88" ht="15.75" hidden="1" customHeight="1">
      <c r="A88" s="151">
        <v>3.0</v>
      </c>
      <c r="B88" s="149" t="s">
        <v>269</v>
      </c>
      <c r="C88" s="149" t="s">
        <v>95</v>
      </c>
      <c r="D88" s="149" t="s">
        <v>301</v>
      </c>
      <c r="E88" s="151" t="s">
        <v>310</v>
      </c>
      <c r="F88" s="149" t="s">
        <v>97</v>
      </c>
      <c r="G88" s="149" t="s">
        <v>121</v>
      </c>
      <c r="H88" s="149" t="s">
        <v>176</v>
      </c>
      <c r="I88" s="149" t="s">
        <v>114</v>
      </c>
      <c r="J88" s="164" t="s">
        <v>295</v>
      </c>
      <c r="K88" s="149" t="s">
        <v>100</v>
      </c>
      <c r="L88" s="151">
        <v>27840.0</v>
      </c>
      <c r="M88" s="151">
        <v>478.0</v>
      </c>
      <c r="N88" s="151" t="s">
        <v>265</v>
      </c>
      <c r="O88" s="151">
        <v>8.0</v>
      </c>
      <c r="P88" s="151">
        <v>8.0</v>
      </c>
      <c r="Q88" s="151" t="s">
        <v>311</v>
      </c>
      <c r="R88" s="151" t="s">
        <v>311</v>
      </c>
      <c r="S88" s="151">
        <v>232112.0</v>
      </c>
      <c r="T88" s="151">
        <v>232112.0</v>
      </c>
      <c r="U88" s="151">
        <v>8.0</v>
      </c>
      <c r="V88" s="151">
        <v>8.0</v>
      </c>
      <c r="W88" s="151">
        <v>6159999.0</v>
      </c>
      <c r="X88" s="151">
        <v>6159999.0</v>
      </c>
      <c r="Y88" s="151">
        <v>1856896.0</v>
      </c>
      <c r="Z88" s="151" t="s">
        <v>312</v>
      </c>
      <c r="AA88" s="151" t="s">
        <v>312</v>
      </c>
      <c r="AB88" s="151" t="s">
        <v>313</v>
      </c>
      <c r="AC88" s="151" t="s">
        <v>313</v>
      </c>
      <c r="AD88" s="149" t="s">
        <v>97</v>
      </c>
      <c r="AE88" s="149" t="s">
        <v>97</v>
      </c>
      <c r="AF88" s="149" t="s">
        <v>97</v>
      </c>
      <c r="AG88" s="150">
        <v>9.0</v>
      </c>
    </row>
    <row r="89" ht="15.75" hidden="1" customHeight="1">
      <c r="A89" s="151">
        <v>4.0</v>
      </c>
      <c r="B89" s="149" t="s">
        <v>259</v>
      </c>
      <c r="C89" s="149" t="s">
        <v>95</v>
      </c>
      <c r="D89" s="149" t="s">
        <v>301</v>
      </c>
      <c r="E89" s="151" t="s">
        <v>314</v>
      </c>
      <c r="F89" s="149" t="s">
        <v>97</v>
      </c>
      <c r="G89" s="149" t="s">
        <v>112</v>
      </c>
      <c r="H89" s="149" t="s">
        <v>113</v>
      </c>
      <c r="I89" s="149" t="s">
        <v>114</v>
      </c>
      <c r="J89" s="164" t="s">
        <v>295</v>
      </c>
      <c r="K89" s="149" t="s">
        <v>100</v>
      </c>
      <c r="L89" s="151">
        <v>12458.0</v>
      </c>
      <c r="M89" s="151">
        <v>247.0</v>
      </c>
      <c r="N89" s="151" t="s">
        <v>315</v>
      </c>
      <c r="O89" s="151">
        <v>14.0</v>
      </c>
      <c r="P89" s="151">
        <v>13.0</v>
      </c>
      <c r="Q89" s="151" t="s">
        <v>316</v>
      </c>
      <c r="R89" s="151" t="s">
        <v>147</v>
      </c>
      <c r="S89" s="151" t="s">
        <v>317</v>
      </c>
      <c r="T89" s="151" t="s">
        <v>318</v>
      </c>
      <c r="U89" s="151">
        <v>15.0</v>
      </c>
      <c r="V89" s="151">
        <v>14.0</v>
      </c>
      <c r="W89" s="151">
        <v>5729050.0</v>
      </c>
      <c r="X89" s="151">
        <v>4784050.0</v>
      </c>
      <c r="Y89" s="151">
        <v>819816.0</v>
      </c>
      <c r="Z89" s="151" t="s">
        <v>319</v>
      </c>
      <c r="AA89" s="151" t="s">
        <v>320</v>
      </c>
      <c r="AB89" s="151" t="s">
        <v>321</v>
      </c>
      <c r="AC89" s="151" t="s">
        <v>322</v>
      </c>
      <c r="AD89" s="149" t="s">
        <v>97</v>
      </c>
      <c r="AE89" s="149" t="s">
        <v>97</v>
      </c>
      <c r="AF89" s="149" t="s">
        <v>97</v>
      </c>
      <c r="AG89" s="150">
        <v>9.0</v>
      </c>
    </row>
    <row r="90" ht="15.75" hidden="1" customHeight="1">
      <c r="A90" s="151">
        <v>5.0</v>
      </c>
      <c r="B90" s="149" t="s">
        <v>323</v>
      </c>
      <c r="C90" s="149" t="s">
        <v>95</v>
      </c>
      <c r="D90" s="149" t="s">
        <v>301</v>
      </c>
      <c r="E90" s="151" t="s">
        <v>324</v>
      </c>
      <c r="F90" s="149" t="s">
        <v>97</v>
      </c>
      <c r="G90" s="149" t="s">
        <v>121</v>
      </c>
      <c r="H90" s="149" t="s">
        <v>113</v>
      </c>
      <c r="I90" s="149" t="s">
        <v>114</v>
      </c>
      <c r="J90" s="164" t="s">
        <v>295</v>
      </c>
      <c r="K90" s="149" t="s">
        <v>100</v>
      </c>
      <c r="L90" s="151">
        <v>366.0</v>
      </c>
      <c r="M90" s="151">
        <v>15.0</v>
      </c>
      <c r="N90" s="151" t="s">
        <v>325</v>
      </c>
      <c r="O90" s="151">
        <v>0.0</v>
      </c>
      <c r="P90" s="151">
        <v>0.0</v>
      </c>
      <c r="Q90" s="151" t="s">
        <v>143</v>
      </c>
      <c r="R90" s="151" t="s">
        <v>143</v>
      </c>
      <c r="S90" s="151">
        <v>0.0</v>
      </c>
      <c r="T90" s="151">
        <v>0.0</v>
      </c>
      <c r="U90" s="151">
        <v>0.0</v>
      </c>
      <c r="V90" s="151">
        <v>0.0</v>
      </c>
      <c r="W90" s="151">
        <v>0.0</v>
      </c>
      <c r="X90" s="151">
        <v>0.0</v>
      </c>
      <c r="Y90" s="151">
        <v>58783.0</v>
      </c>
      <c r="Z90" s="151">
        <v>0.0</v>
      </c>
      <c r="AA90" s="151">
        <v>0.0</v>
      </c>
      <c r="AB90" s="151" t="s">
        <v>143</v>
      </c>
      <c r="AC90" s="151" t="s">
        <v>143</v>
      </c>
      <c r="AD90" s="149" t="s">
        <v>97</v>
      </c>
      <c r="AE90" s="149" t="s">
        <v>97</v>
      </c>
      <c r="AF90" s="149" t="s">
        <v>97</v>
      </c>
      <c r="AG90" s="150">
        <v>9.0</v>
      </c>
    </row>
    <row r="91" ht="15.75" hidden="1" customHeight="1">
      <c r="A91" s="151">
        <v>6.0</v>
      </c>
      <c r="B91" s="149" t="s">
        <v>120</v>
      </c>
      <c r="C91" s="149" t="s">
        <v>159</v>
      </c>
      <c r="D91" s="149" t="s">
        <v>301</v>
      </c>
      <c r="E91" s="151" t="s">
        <v>326</v>
      </c>
      <c r="F91" s="149" t="s">
        <v>97</v>
      </c>
      <c r="G91" s="149" t="s">
        <v>121</v>
      </c>
      <c r="H91" s="149" t="s">
        <v>113</v>
      </c>
      <c r="I91" s="149" t="s">
        <v>114</v>
      </c>
      <c r="J91" s="164" t="s">
        <v>295</v>
      </c>
      <c r="K91" s="149" t="s">
        <v>100</v>
      </c>
      <c r="L91" s="151">
        <v>5612.0</v>
      </c>
      <c r="M91" s="151">
        <v>91.0</v>
      </c>
      <c r="N91" s="151" t="s">
        <v>327</v>
      </c>
      <c r="O91" s="151">
        <v>1.0</v>
      </c>
      <c r="P91" s="151">
        <v>1.0</v>
      </c>
      <c r="Q91" s="151" t="s">
        <v>328</v>
      </c>
      <c r="R91" s="151" t="s">
        <v>328</v>
      </c>
      <c r="S91" s="151" t="s">
        <v>329</v>
      </c>
      <c r="T91" s="151" t="s">
        <v>329</v>
      </c>
      <c r="U91" s="151">
        <v>1.0</v>
      </c>
      <c r="V91" s="151">
        <v>1.0</v>
      </c>
      <c r="W91" s="151">
        <v>996000.0</v>
      </c>
      <c r="X91" s="151">
        <v>996000.0</v>
      </c>
      <c r="Y91" s="151">
        <v>439017.0</v>
      </c>
      <c r="Z91" s="151" t="s">
        <v>330</v>
      </c>
      <c r="AA91" s="151" t="s">
        <v>330</v>
      </c>
      <c r="AB91" s="151" t="s">
        <v>331</v>
      </c>
      <c r="AC91" s="151" t="s">
        <v>331</v>
      </c>
      <c r="AD91" s="149" t="s">
        <v>97</v>
      </c>
      <c r="AE91" s="149" t="s">
        <v>97</v>
      </c>
      <c r="AF91" s="149" t="s">
        <v>97</v>
      </c>
      <c r="AG91" s="150">
        <v>9.0</v>
      </c>
    </row>
    <row r="92" ht="15.75" hidden="1" customHeight="1">
      <c r="A92" s="151">
        <v>7.0</v>
      </c>
      <c r="B92" s="149" t="s">
        <v>154</v>
      </c>
      <c r="C92" s="149" t="s">
        <v>159</v>
      </c>
      <c r="D92" s="149" t="s">
        <v>301</v>
      </c>
      <c r="E92" s="151" t="s">
        <v>324</v>
      </c>
      <c r="F92" s="149" t="s">
        <v>97</v>
      </c>
      <c r="G92" s="149" t="s">
        <v>121</v>
      </c>
      <c r="H92" s="149" t="s">
        <v>113</v>
      </c>
      <c r="I92" s="149" t="s">
        <v>114</v>
      </c>
      <c r="J92" s="164" t="s">
        <v>295</v>
      </c>
      <c r="K92" s="149" t="s">
        <v>100</v>
      </c>
      <c r="L92" s="151">
        <v>2194.0</v>
      </c>
      <c r="M92" s="151">
        <v>53.0</v>
      </c>
      <c r="N92" s="151" t="s">
        <v>332</v>
      </c>
      <c r="O92" s="151">
        <v>3.0</v>
      </c>
      <c r="P92" s="151">
        <v>3.0</v>
      </c>
      <c r="Q92" s="151" t="s">
        <v>333</v>
      </c>
      <c r="R92" s="151" t="s">
        <v>333</v>
      </c>
      <c r="S92" s="151" t="s">
        <v>334</v>
      </c>
      <c r="T92" s="151" t="s">
        <v>334</v>
      </c>
      <c r="U92" s="151">
        <v>8.0</v>
      </c>
      <c r="V92" s="151">
        <v>8.0</v>
      </c>
      <c r="W92" s="151">
        <v>475000.0</v>
      </c>
      <c r="X92" s="151">
        <v>475000.0</v>
      </c>
      <c r="Y92" s="151">
        <v>151224.0</v>
      </c>
      <c r="Z92" s="151" t="s">
        <v>335</v>
      </c>
      <c r="AA92" s="151" t="s">
        <v>335</v>
      </c>
      <c r="AB92" s="151" t="s">
        <v>336</v>
      </c>
      <c r="AC92" s="151" t="s">
        <v>336</v>
      </c>
      <c r="AD92" s="149" t="s">
        <v>97</v>
      </c>
      <c r="AE92" s="149" t="s">
        <v>97</v>
      </c>
      <c r="AF92" s="149" t="s">
        <v>97</v>
      </c>
      <c r="AG92" s="150">
        <v>9.0</v>
      </c>
    </row>
    <row r="93" ht="15.75" hidden="1" customHeight="1">
      <c r="A93" s="151">
        <v>8.0</v>
      </c>
      <c r="B93" s="149" t="s">
        <v>337</v>
      </c>
      <c r="C93" s="149" t="s">
        <v>159</v>
      </c>
      <c r="D93" s="149" t="s">
        <v>301</v>
      </c>
      <c r="E93" s="151" t="s">
        <v>338</v>
      </c>
      <c r="F93" s="149" t="s">
        <v>97</v>
      </c>
      <c r="G93" s="149" t="s">
        <v>112</v>
      </c>
      <c r="H93" s="149" t="s">
        <v>176</v>
      </c>
      <c r="I93" s="149" t="s">
        <v>114</v>
      </c>
      <c r="J93" s="164" t="s">
        <v>295</v>
      </c>
      <c r="K93" s="149" t="s">
        <v>100</v>
      </c>
      <c r="L93" s="151">
        <v>1020.0</v>
      </c>
      <c r="M93" s="151">
        <v>22.0</v>
      </c>
      <c r="N93" s="151" t="s">
        <v>339</v>
      </c>
      <c r="O93" s="151">
        <v>1.0</v>
      </c>
      <c r="P93" s="151">
        <v>1.0</v>
      </c>
      <c r="Q93" s="151" t="s">
        <v>340</v>
      </c>
      <c r="R93" s="151" t="s">
        <v>340</v>
      </c>
      <c r="S93" s="151" t="s">
        <v>341</v>
      </c>
      <c r="T93" s="151" t="s">
        <v>341</v>
      </c>
      <c r="U93" s="151">
        <v>1.0</v>
      </c>
      <c r="V93" s="151">
        <v>1.0</v>
      </c>
      <c r="W93" s="151">
        <v>579000.0</v>
      </c>
      <c r="X93" s="151">
        <v>579000.0</v>
      </c>
      <c r="Y93" s="151">
        <v>47439.0</v>
      </c>
      <c r="Z93" s="151" t="s">
        <v>342</v>
      </c>
      <c r="AA93" s="151" t="s">
        <v>342</v>
      </c>
      <c r="AB93" s="151" t="s">
        <v>343</v>
      </c>
      <c r="AC93" s="151" t="s">
        <v>343</v>
      </c>
      <c r="AD93" s="149" t="s">
        <v>97</v>
      </c>
      <c r="AE93" s="149" t="s">
        <v>97</v>
      </c>
      <c r="AF93" s="149" t="s">
        <v>97</v>
      </c>
      <c r="AG93" s="150">
        <v>9.0</v>
      </c>
    </row>
    <row r="94" ht="15.75" hidden="1" customHeight="1">
      <c r="A94" s="151">
        <v>9.0</v>
      </c>
      <c r="B94" s="149" t="s">
        <v>249</v>
      </c>
      <c r="C94" s="149" t="s">
        <v>288</v>
      </c>
      <c r="D94" s="149" t="s">
        <v>301</v>
      </c>
      <c r="E94" s="151" t="s">
        <v>338</v>
      </c>
      <c r="F94" s="149" t="s">
        <v>97</v>
      </c>
      <c r="G94" s="149" t="s">
        <v>121</v>
      </c>
      <c r="H94" s="149" t="s">
        <v>113</v>
      </c>
      <c r="I94" s="149" t="s">
        <v>114</v>
      </c>
      <c r="J94" s="164" t="s">
        <v>295</v>
      </c>
      <c r="K94" s="164" t="s">
        <v>295</v>
      </c>
      <c r="L94" s="151">
        <v>20677.0</v>
      </c>
      <c r="M94" s="151">
        <v>300.0</v>
      </c>
      <c r="N94" s="151" t="s">
        <v>344</v>
      </c>
      <c r="O94" s="151">
        <v>12.0</v>
      </c>
      <c r="P94" s="151">
        <v>12.0</v>
      </c>
      <c r="Q94" s="151" t="s">
        <v>138</v>
      </c>
      <c r="R94" s="151" t="s">
        <v>138</v>
      </c>
      <c r="S94" s="151" t="s">
        <v>345</v>
      </c>
      <c r="T94" s="151" t="s">
        <v>345</v>
      </c>
      <c r="U94" s="151">
        <v>13.0</v>
      </c>
      <c r="V94" s="151">
        <v>13.0</v>
      </c>
      <c r="W94" s="151">
        <v>1.1457179E7</v>
      </c>
      <c r="X94" s="151">
        <v>1.1457179E7</v>
      </c>
      <c r="Y94" s="151">
        <v>2142453.0</v>
      </c>
      <c r="Z94" s="151" t="s">
        <v>346</v>
      </c>
      <c r="AA94" s="151" t="s">
        <v>346</v>
      </c>
      <c r="AB94" s="151" t="s">
        <v>347</v>
      </c>
      <c r="AC94" s="151" t="s">
        <v>347</v>
      </c>
      <c r="AD94" s="149" t="s">
        <v>97</v>
      </c>
      <c r="AE94" s="149" t="s">
        <v>97</v>
      </c>
      <c r="AF94" s="149" t="s">
        <v>97</v>
      </c>
      <c r="AG94" s="150">
        <v>9.0</v>
      </c>
    </row>
    <row r="95" ht="15.75" hidden="1" customHeight="1">
      <c r="A95" s="151">
        <v>10.0</v>
      </c>
      <c r="B95" s="149" t="s">
        <v>253</v>
      </c>
      <c r="C95" s="149" t="s">
        <v>288</v>
      </c>
      <c r="D95" s="149" t="s">
        <v>301</v>
      </c>
      <c r="E95" s="151" t="s">
        <v>348</v>
      </c>
      <c r="F95" s="149" t="s">
        <v>97</v>
      </c>
      <c r="G95" s="149" t="s">
        <v>121</v>
      </c>
      <c r="H95" s="149" t="s">
        <v>113</v>
      </c>
      <c r="I95" s="149" t="s">
        <v>114</v>
      </c>
      <c r="J95" s="164" t="s">
        <v>295</v>
      </c>
      <c r="K95" s="164" t="s">
        <v>295</v>
      </c>
      <c r="L95" s="151">
        <v>15355.0</v>
      </c>
      <c r="M95" s="151">
        <v>187.0</v>
      </c>
      <c r="N95" s="151" t="s">
        <v>349</v>
      </c>
      <c r="O95" s="151">
        <v>6.0</v>
      </c>
      <c r="P95" s="151">
        <v>3.0</v>
      </c>
      <c r="Q95" s="151" t="s">
        <v>350</v>
      </c>
      <c r="R95" s="151" t="s">
        <v>351</v>
      </c>
      <c r="S95" s="151" t="s">
        <v>352</v>
      </c>
      <c r="T95" s="151" t="s">
        <v>353</v>
      </c>
      <c r="U95" s="151">
        <v>6.0</v>
      </c>
      <c r="V95" s="151">
        <v>3.0</v>
      </c>
      <c r="W95" s="151">
        <v>3910766.0</v>
      </c>
      <c r="X95" s="151">
        <v>2425766.0</v>
      </c>
      <c r="Y95" s="151">
        <v>871189.0</v>
      </c>
      <c r="Z95" s="151" t="s">
        <v>354</v>
      </c>
      <c r="AA95" s="151" t="s">
        <v>355</v>
      </c>
      <c r="AB95" s="151" t="s">
        <v>356</v>
      </c>
      <c r="AC95" s="151" t="s">
        <v>357</v>
      </c>
      <c r="AD95" s="149" t="s">
        <v>97</v>
      </c>
      <c r="AE95" s="149" t="s">
        <v>97</v>
      </c>
      <c r="AF95" s="149" t="s">
        <v>97</v>
      </c>
      <c r="AG95" s="150">
        <v>9.0</v>
      </c>
    </row>
    <row r="96" ht="15.75" hidden="1" customHeight="1">
      <c r="A96" s="151">
        <v>11.0</v>
      </c>
      <c r="B96" s="149" t="s">
        <v>358</v>
      </c>
      <c r="C96" s="149" t="s">
        <v>288</v>
      </c>
      <c r="D96" s="149" t="s">
        <v>301</v>
      </c>
      <c r="E96" s="151" t="s">
        <v>338</v>
      </c>
      <c r="F96" s="149" t="s">
        <v>359</v>
      </c>
      <c r="G96" s="149" t="s">
        <v>121</v>
      </c>
      <c r="H96" s="149" t="s">
        <v>135</v>
      </c>
      <c r="I96" s="149" t="s">
        <v>114</v>
      </c>
      <c r="J96" s="164" t="s">
        <v>295</v>
      </c>
      <c r="K96" s="164" t="s">
        <v>295</v>
      </c>
      <c r="L96" s="151">
        <v>5517.0</v>
      </c>
      <c r="M96" s="151">
        <v>45.0</v>
      </c>
      <c r="N96" s="151" t="s">
        <v>360</v>
      </c>
      <c r="O96" s="151">
        <v>0.0</v>
      </c>
      <c r="P96" s="151">
        <v>0.0</v>
      </c>
      <c r="Q96" s="151" t="s">
        <v>143</v>
      </c>
      <c r="R96" s="151" t="s">
        <v>143</v>
      </c>
      <c r="S96" s="151">
        <v>0.0</v>
      </c>
      <c r="T96" s="151">
        <v>0.0</v>
      </c>
      <c r="U96" s="151">
        <v>0.0</v>
      </c>
      <c r="V96" s="151">
        <v>0.0</v>
      </c>
      <c r="W96" s="151">
        <v>0.0</v>
      </c>
      <c r="X96" s="151">
        <v>0.0</v>
      </c>
      <c r="Y96" s="151">
        <v>65481.0</v>
      </c>
      <c r="Z96" s="151">
        <v>0.0</v>
      </c>
      <c r="AA96" s="151">
        <v>0.0</v>
      </c>
      <c r="AB96" s="151" t="s">
        <v>143</v>
      </c>
      <c r="AC96" s="151" t="s">
        <v>143</v>
      </c>
      <c r="AD96" s="149" t="s">
        <v>97</v>
      </c>
      <c r="AE96" s="149" t="s">
        <v>97</v>
      </c>
      <c r="AF96" s="149" t="s">
        <v>97</v>
      </c>
      <c r="AG96" s="150">
        <v>9.0</v>
      </c>
    </row>
    <row r="97" ht="15.75" hidden="1" customHeight="1">
      <c r="A97" s="151">
        <v>12.0</v>
      </c>
      <c r="B97" s="149" t="s">
        <v>361</v>
      </c>
      <c r="C97" s="149" t="s">
        <v>288</v>
      </c>
      <c r="D97" s="149" t="s">
        <v>301</v>
      </c>
      <c r="E97" s="151" t="s">
        <v>362</v>
      </c>
      <c r="F97" s="149" t="s">
        <v>97</v>
      </c>
      <c r="G97" s="149" t="s">
        <v>121</v>
      </c>
      <c r="H97" s="149" t="s">
        <v>113</v>
      </c>
      <c r="I97" s="149" t="s">
        <v>114</v>
      </c>
      <c r="J97" s="164" t="s">
        <v>295</v>
      </c>
      <c r="K97" s="164" t="s">
        <v>295</v>
      </c>
      <c r="L97" s="151">
        <v>675.0</v>
      </c>
      <c r="M97" s="151">
        <v>10.0</v>
      </c>
      <c r="N97" s="151" t="s">
        <v>363</v>
      </c>
      <c r="O97" s="151">
        <v>0.0</v>
      </c>
      <c r="P97" s="151">
        <v>0.0</v>
      </c>
      <c r="Q97" s="151" t="s">
        <v>143</v>
      </c>
      <c r="R97" s="151" t="s">
        <v>143</v>
      </c>
      <c r="S97" s="151">
        <v>0.0</v>
      </c>
      <c r="T97" s="151">
        <v>0.0</v>
      </c>
      <c r="U97" s="151">
        <v>0.0</v>
      </c>
      <c r="V97" s="151">
        <v>0.0</v>
      </c>
      <c r="W97" s="151">
        <v>0.0</v>
      </c>
      <c r="X97" s="151">
        <v>0.0</v>
      </c>
      <c r="Y97" s="151">
        <v>19238.0</v>
      </c>
      <c r="Z97" s="151">
        <v>0.0</v>
      </c>
      <c r="AA97" s="151">
        <v>0.0</v>
      </c>
      <c r="AB97" s="151" t="s">
        <v>143</v>
      </c>
      <c r="AC97" s="151" t="s">
        <v>143</v>
      </c>
      <c r="AD97" s="149" t="s">
        <v>97</v>
      </c>
      <c r="AE97" s="149" t="s">
        <v>97</v>
      </c>
      <c r="AF97" s="149" t="s">
        <v>97</v>
      </c>
      <c r="AG97" s="150">
        <v>9.0</v>
      </c>
    </row>
    <row r="98" ht="15.75" hidden="1" customHeight="1">
      <c r="A98" s="151">
        <v>13.0</v>
      </c>
      <c r="B98" s="149" t="s">
        <v>364</v>
      </c>
      <c r="C98" s="149" t="s">
        <v>95</v>
      </c>
      <c r="D98" s="149" t="s">
        <v>294</v>
      </c>
      <c r="E98" s="149" t="s">
        <v>97</v>
      </c>
      <c r="F98" s="149" t="s">
        <v>97</v>
      </c>
      <c r="G98" s="149" t="s">
        <v>365</v>
      </c>
      <c r="H98" s="149" t="s">
        <v>135</v>
      </c>
      <c r="I98" s="149" t="s">
        <v>97</v>
      </c>
      <c r="J98" s="164" t="s">
        <v>295</v>
      </c>
      <c r="K98" s="164" t="s">
        <v>295</v>
      </c>
      <c r="L98" s="151">
        <v>1257.0</v>
      </c>
      <c r="M98" s="151">
        <v>122.0</v>
      </c>
      <c r="N98" s="151" t="s">
        <v>366</v>
      </c>
      <c r="O98" s="151">
        <v>3.0</v>
      </c>
      <c r="P98" s="151">
        <v>3.0</v>
      </c>
      <c r="Q98" s="151" t="s">
        <v>367</v>
      </c>
      <c r="R98" s="151" t="s">
        <v>367</v>
      </c>
      <c r="S98" s="151" t="s">
        <v>368</v>
      </c>
      <c r="T98" s="151" t="s">
        <v>368</v>
      </c>
      <c r="U98" s="151">
        <v>3.0</v>
      </c>
      <c r="V98" s="151">
        <v>3.0</v>
      </c>
      <c r="W98" s="151">
        <v>2639000.0</v>
      </c>
      <c r="X98" s="151">
        <v>2639000.0</v>
      </c>
      <c r="Y98" s="151">
        <v>268598.0</v>
      </c>
      <c r="Z98" s="151" t="s">
        <v>369</v>
      </c>
      <c r="AA98" s="151" t="s">
        <v>369</v>
      </c>
      <c r="AB98" s="151" t="s">
        <v>370</v>
      </c>
      <c r="AC98" s="151" t="s">
        <v>370</v>
      </c>
      <c r="AD98" s="151">
        <v>7453.0</v>
      </c>
      <c r="AE98" s="151">
        <v>6.0</v>
      </c>
      <c r="AF98" s="151" t="s">
        <v>371</v>
      </c>
      <c r="AG98" s="150">
        <v>9.0</v>
      </c>
    </row>
    <row r="99" ht="15.75" hidden="1" customHeight="1">
      <c r="AG99" s="156"/>
    </row>
    <row r="100" ht="15.75" customHeight="1">
      <c r="AG100" s="156"/>
    </row>
    <row r="101" ht="15.75" customHeight="1">
      <c r="A101" s="149" t="s">
        <v>289</v>
      </c>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c r="AB101" s="149"/>
      <c r="AC101" s="149"/>
      <c r="AD101" s="149"/>
      <c r="AE101" s="149"/>
      <c r="AF101" s="149"/>
      <c r="AG101" s="156"/>
    </row>
    <row r="102" ht="15.75" customHeight="1">
      <c r="A102" s="149" t="s">
        <v>54</v>
      </c>
      <c r="B102" s="149" t="s">
        <v>55</v>
      </c>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c r="AB102" s="149"/>
      <c r="AC102" s="149"/>
      <c r="AD102" s="149"/>
      <c r="AE102" s="149"/>
      <c r="AF102" s="149"/>
      <c r="AG102" s="156"/>
    </row>
    <row r="103" ht="15.75" customHeight="1">
      <c r="A103" s="149" t="s">
        <v>56</v>
      </c>
      <c r="B103" s="149" t="s">
        <v>57</v>
      </c>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c r="AC103" s="149"/>
      <c r="AD103" s="149"/>
      <c r="AE103" s="149"/>
      <c r="AF103" s="149"/>
      <c r="AG103" s="156"/>
    </row>
    <row r="104" ht="15.75" customHeight="1">
      <c r="A104" s="149" t="s">
        <v>58</v>
      </c>
      <c r="B104" s="151">
        <v>2.27240948E8</v>
      </c>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c r="AB104" s="149"/>
      <c r="AC104" s="149"/>
      <c r="AD104" s="149"/>
      <c r="AE104" s="149"/>
      <c r="AF104" s="149"/>
      <c r="AG104" s="156"/>
    </row>
    <row r="105" ht="15.75" customHeight="1">
      <c r="A105" s="149" t="s">
        <v>59</v>
      </c>
      <c r="B105" s="157">
        <v>45960.72361111111</v>
      </c>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c r="AC105" s="149"/>
      <c r="AD105" s="149"/>
      <c r="AE105" s="149"/>
      <c r="AF105" s="149"/>
      <c r="AG105" s="156"/>
    </row>
    <row r="106" ht="15.75" customHeight="1">
      <c r="A106" s="149" t="s">
        <v>60</v>
      </c>
      <c r="B106" s="149" t="s">
        <v>372</v>
      </c>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c r="AB106" s="149"/>
      <c r="AC106" s="149"/>
      <c r="AD106" s="149"/>
      <c r="AE106" s="149"/>
      <c r="AF106" s="149"/>
      <c r="AG106" s="156"/>
    </row>
    <row r="107" ht="15.75" customHeight="1">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53">
        <f>SUM(W109:W125)</f>
        <v>39569564</v>
      </c>
      <c r="X107" s="153"/>
      <c r="Y107" s="153">
        <f>SUM(Y109:Y125)</f>
        <v>4947883</v>
      </c>
      <c r="Z107" s="149"/>
      <c r="AA107" s="149"/>
      <c r="AB107" s="149"/>
      <c r="AC107" s="149"/>
      <c r="AD107" s="149"/>
      <c r="AE107" s="149"/>
      <c r="AF107" s="149"/>
      <c r="AG107" s="156"/>
    </row>
    <row r="108" ht="15.75" customHeight="1">
      <c r="A108" s="149" t="s">
        <v>62</v>
      </c>
      <c r="B108" s="149" t="s">
        <v>291</v>
      </c>
      <c r="C108" s="149" t="s">
        <v>64</v>
      </c>
      <c r="D108" s="149" t="s">
        <v>292</v>
      </c>
      <c r="E108" s="149" t="s">
        <v>66</v>
      </c>
      <c r="F108" s="149" t="s">
        <v>67</v>
      </c>
      <c r="G108" s="149" t="s">
        <v>293</v>
      </c>
      <c r="H108" s="149" t="s">
        <v>69</v>
      </c>
      <c r="I108" s="149" t="s">
        <v>70</v>
      </c>
      <c r="J108" s="149" t="s">
        <v>71</v>
      </c>
      <c r="K108" s="149" t="s">
        <v>72</v>
      </c>
      <c r="L108" s="149" t="s">
        <v>73</v>
      </c>
      <c r="M108" s="149" t="s">
        <v>74</v>
      </c>
      <c r="N108" s="149" t="s">
        <v>75</v>
      </c>
      <c r="O108" s="149" t="s">
        <v>76</v>
      </c>
      <c r="P108" s="149" t="s">
        <v>77</v>
      </c>
      <c r="Q108" s="149" t="s">
        <v>78</v>
      </c>
      <c r="R108" s="149" t="s">
        <v>79</v>
      </c>
      <c r="S108" s="149" t="s">
        <v>80</v>
      </c>
      <c r="T108" s="149" t="s">
        <v>81</v>
      </c>
      <c r="U108" s="149" t="s">
        <v>82</v>
      </c>
      <c r="V108" s="149" t="s">
        <v>83</v>
      </c>
      <c r="W108" s="149" t="s">
        <v>84</v>
      </c>
      <c r="X108" s="149" t="s">
        <v>85</v>
      </c>
      <c r="Y108" s="149" t="s">
        <v>86</v>
      </c>
      <c r="Z108" s="149" t="s">
        <v>20</v>
      </c>
      <c r="AA108" s="149" t="s">
        <v>87</v>
      </c>
      <c r="AB108" s="149" t="s">
        <v>88</v>
      </c>
      <c r="AC108" s="149" t="s">
        <v>89</v>
      </c>
      <c r="AD108" s="149" t="s">
        <v>90</v>
      </c>
      <c r="AE108" s="149" t="s">
        <v>91</v>
      </c>
      <c r="AF108" s="149" t="s">
        <v>92</v>
      </c>
      <c r="AG108" s="156"/>
    </row>
    <row r="109" ht="15.75" customHeight="1">
      <c r="A109" s="151">
        <v>1.0</v>
      </c>
      <c r="B109" s="149" t="s">
        <v>94</v>
      </c>
      <c r="C109" s="149" t="s">
        <v>95</v>
      </c>
      <c r="D109" s="149" t="s">
        <v>294</v>
      </c>
      <c r="E109" s="149" t="s">
        <v>97</v>
      </c>
      <c r="F109" s="149" t="s">
        <v>97</v>
      </c>
      <c r="G109" s="149" t="s">
        <v>98</v>
      </c>
      <c r="H109" s="149" t="s">
        <v>99</v>
      </c>
      <c r="I109" s="149" t="s">
        <v>97</v>
      </c>
      <c r="J109" s="152">
        <v>45784.0</v>
      </c>
      <c r="K109" s="149" t="s">
        <v>100</v>
      </c>
      <c r="L109" s="151">
        <v>15256.0</v>
      </c>
      <c r="M109" s="151">
        <v>3013.0</v>
      </c>
      <c r="N109" s="151" t="s">
        <v>373</v>
      </c>
      <c r="O109" s="151">
        <v>20.0</v>
      </c>
      <c r="P109" s="151">
        <v>20.0</v>
      </c>
      <c r="Q109" s="151" t="s">
        <v>109</v>
      </c>
      <c r="R109" s="151" t="s">
        <v>109</v>
      </c>
      <c r="S109" s="151" t="s">
        <v>374</v>
      </c>
      <c r="T109" s="151" t="s">
        <v>374</v>
      </c>
      <c r="U109" s="151">
        <v>24.0</v>
      </c>
      <c r="V109" s="151">
        <v>24.0</v>
      </c>
      <c r="W109" s="151">
        <v>3498282.0</v>
      </c>
      <c r="X109" s="151">
        <v>3498282.0</v>
      </c>
      <c r="Y109" s="151">
        <v>1105699.0</v>
      </c>
      <c r="Z109" s="151" t="s">
        <v>375</v>
      </c>
      <c r="AA109" s="151" t="s">
        <v>375</v>
      </c>
      <c r="AB109" s="151" t="s">
        <v>376</v>
      </c>
      <c r="AC109" s="151" t="s">
        <v>376</v>
      </c>
      <c r="AD109" s="151">
        <v>47938.0</v>
      </c>
      <c r="AE109" s="151">
        <v>12.0</v>
      </c>
      <c r="AF109" s="151" t="s">
        <v>377</v>
      </c>
      <c r="AG109" s="156">
        <v>10.0</v>
      </c>
    </row>
    <row r="110" ht="15.75" customHeight="1">
      <c r="A110" s="151">
        <v>2.0</v>
      </c>
      <c r="B110" s="149" t="s">
        <v>110</v>
      </c>
      <c r="C110" s="149" t="s">
        <v>95</v>
      </c>
      <c r="D110" s="149" t="s">
        <v>301</v>
      </c>
      <c r="E110" s="151">
        <v>8.782633181E9</v>
      </c>
      <c r="F110" s="149" t="s">
        <v>97</v>
      </c>
      <c r="G110" s="149" t="s">
        <v>97</v>
      </c>
      <c r="H110" s="149" t="s">
        <v>113</v>
      </c>
      <c r="I110" s="149" t="s">
        <v>114</v>
      </c>
      <c r="J110" s="152">
        <v>45660.0</v>
      </c>
      <c r="K110" s="149" t="s">
        <v>100</v>
      </c>
      <c r="L110" s="151">
        <v>37033.0</v>
      </c>
      <c r="M110" s="151">
        <v>364.0</v>
      </c>
      <c r="N110" s="151" t="s">
        <v>378</v>
      </c>
      <c r="O110" s="151">
        <v>18.0</v>
      </c>
      <c r="P110" s="151">
        <v>11.0</v>
      </c>
      <c r="Q110" s="151" t="s">
        <v>379</v>
      </c>
      <c r="R110" s="151" t="s">
        <v>380</v>
      </c>
      <c r="S110" s="151" t="s">
        <v>381</v>
      </c>
      <c r="T110" s="151" t="s">
        <v>382</v>
      </c>
      <c r="U110" s="151">
        <v>19.0</v>
      </c>
      <c r="V110" s="151">
        <v>11.0</v>
      </c>
      <c r="W110" s="151">
        <v>1.3200396E7</v>
      </c>
      <c r="X110" s="151">
        <v>1.2474E7</v>
      </c>
      <c r="Y110" s="151">
        <v>1812777.0</v>
      </c>
      <c r="Z110" s="151" t="s">
        <v>383</v>
      </c>
      <c r="AA110" s="151" t="s">
        <v>384</v>
      </c>
      <c r="AB110" s="151" t="s">
        <v>385</v>
      </c>
      <c r="AC110" s="151" t="s">
        <v>386</v>
      </c>
      <c r="AD110" s="149" t="s">
        <v>97</v>
      </c>
      <c r="AE110" s="149" t="s">
        <v>97</v>
      </c>
      <c r="AF110" s="149" t="s">
        <v>97</v>
      </c>
      <c r="AG110" s="156">
        <v>10.0</v>
      </c>
    </row>
    <row r="111" ht="15.75" customHeight="1">
      <c r="A111" s="151">
        <v>3.0</v>
      </c>
      <c r="B111" s="149" t="s">
        <v>337</v>
      </c>
      <c r="C111" s="149" t="s">
        <v>95</v>
      </c>
      <c r="D111" s="149" t="s">
        <v>301</v>
      </c>
      <c r="E111" s="151">
        <v>2.5666719442E10</v>
      </c>
      <c r="F111" s="149" t="s">
        <v>97</v>
      </c>
      <c r="G111" s="149" t="s">
        <v>97</v>
      </c>
      <c r="H111" s="149" t="s">
        <v>176</v>
      </c>
      <c r="I111" s="149" t="s">
        <v>114</v>
      </c>
      <c r="J111" s="155">
        <v>45923.0</v>
      </c>
      <c r="K111" s="149" t="s">
        <v>100</v>
      </c>
      <c r="L111" s="151">
        <v>13626.0</v>
      </c>
      <c r="M111" s="151">
        <v>243.0</v>
      </c>
      <c r="N111" s="151" t="s">
        <v>387</v>
      </c>
      <c r="O111" s="151">
        <v>13.0</v>
      </c>
      <c r="P111" s="151">
        <v>11.0</v>
      </c>
      <c r="Q111" s="151" t="s">
        <v>388</v>
      </c>
      <c r="R111" s="151" t="s">
        <v>389</v>
      </c>
      <c r="S111" s="151" t="s">
        <v>390</v>
      </c>
      <c r="T111" s="151" t="s">
        <v>391</v>
      </c>
      <c r="U111" s="151">
        <v>14.0</v>
      </c>
      <c r="V111" s="151">
        <v>12.0</v>
      </c>
      <c r="W111" s="151">
        <v>1.0775699E7</v>
      </c>
      <c r="X111" s="151">
        <v>9550699.0</v>
      </c>
      <c r="Y111" s="151">
        <v>552484.0</v>
      </c>
      <c r="Z111" s="159">
        <v>45796.0</v>
      </c>
      <c r="AA111" s="151" t="s">
        <v>392</v>
      </c>
      <c r="AB111" s="151" t="s">
        <v>266</v>
      </c>
      <c r="AC111" s="151" t="s">
        <v>393</v>
      </c>
      <c r="AD111" s="149" t="s">
        <v>97</v>
      </c>
      <c r="AE111" s="149" t="s">
        <v>97</v>
      </c>
      <c r="AF111" s="149" t="s">
        <v>97</v>
      </c>
      <c r="AG111" s="156">
        <v>10.0</v>
      </c>
    </row>
    <row r="112" ht="15.75" customHeight="1">
      <c r="A112" s="151">
        <v>4.0</v>
      </c>
      <c r="B112" s="149" t="s">
        <v>253</v>
      </c>
      <c r="C112" s="149" t="s">
        <v>95</v>
      </c>
      <c r="D112" s="149" t="s">
        <v>301</v>
      </c>
      <c r="E112" s="151">
        <v>3.934257539E9</v>
      </c>
      <c r="F112" s="149" t="s">
        <v>97</v>
      </c>
      <c r="G112" s="149" t="s">
        <v>97</v>
      </c>
      <c r="H112" s="149" t="s">
        <v>113</v>
      </c>
      <c r="I112" s="149" t="s">
        <v>114</v>
      </c>
      <c r="J112" s="155">
        <v>45954.0</v>
      </c>
      <c r="K112" s="165">
        <v>46022.99998842592</v>
      </c>
      <c r="L112" s="151">
        <v>9675.0</v>
      </c>
      <c r="M112" s="151">
        <v>95.0</v>
      </c>
      <c r="N112" s="151" t="s">
        <v>378</v>
      </c>
      <c r="O112" s="151">
        <v>4.0</v>
      </c>
      <c r="P112" s="151">
        <v>2.0</v>
      </c>
      <c r="Q112" s="151" t="s">
        <v>394</v>
      </c>
      <c r="R112" s="151" t="s">
        <v>395</v>
      </c>
      <c r="S112" s="151" t="s">
        <v>396</v>
      </c>
      <c r="T112" s="151" t="s">
        <v>397</v>
      </c>
      <c r="U112" s="151">
        <v>4.0</v>
      </c>
      <c r="V112" s="151">
        <v>2.0</v>
      </c>
      <c r="W112" s="151">
        <v>3215000.0</v>
      </c>
      <c r="X112" s="151">
        <v>1818000.0</v>
      </c>
      <c r="Y112" s="151">
        <v>468873.0</v>
      </c>
      <c r="Z112" s="151" t="s">
        <v>398</v>
      </c>
      <c r="AA112" s="151" t="s">
        <v>399</v>
      </c>
      <c r="AB112" s="151" t="s">
        <v>400</v>
      </c>
      <c r="AC112" s="151" t="s">
        <v>236</v>
      </c>
      <c r="AD112" s="149" t="s">
        <v>97</v>
      </c>
      <c r="AE112" s="149" t="s">
        <v>97</v>
      </c>
      <c r="AF112" s="149" t="s">
        <v>97</v>
      </c>
      <c r="AG112" s="156">
        <v>10.0</v>
      </c>
    </row>
    <row r="113" ht="15.75" customHeight="1">
      <c r="A113" s="151">
        <v>5.0</v>
      </c>
      <c r="B113" s="149" t="s">
        <v>259</v>
      </c>
      <c r="C113" s="149" t="s">
        <v>95</v>
      </c>
      <c r="D113" s="149" t="s">
        <v>301</v>
      </c>
      <c r="E113" s="151">
        <v>6.917016018E9</v>
      </c>
      <c r="F113" s="149" t="s">
        <v>97</v>
      </c>
      <c r="G113" s="149" t="s">
        <v>97</v>
      </c>
      <c r="H113" s="149" t="s">
        <v>113</v>
      </c>
      <c r="I113" s="149" t="s">
        <v>114</v>
      </c>
      <c r="J113" s="155">
        <v>45891.0</v>
      </c>
      <c r="K113" s="149" t="s">
        <v>100</v>
      </c>
      <c r="L113" s="151">
        <v>7554.0</v>
      </c>
      <c r="M113" s="151">
        <v>142.0</v>
      </c>
      <c r="N113" s="151" t="s">
        <v>401</v>
      </c>
      <c r="O113" s="151">
        <v>4.0</v>
      </c>
      <c r="P113" s="151">
        <v>4.0</v>
      </c>
      <c r="Q113" s="151" t="s">
        <v>402</v>
      </c>
      <c r="R113" s="151" t="s">
        <v>402</v>
      </c>
      <c r="S113" s="151" t="s">
        <v>403</v>
      </c>
      <c r="T113" s="151" t="s">
        <v>403</v>
      </c>
      <c r="U113" s="151">
        <v>6.0</v>
      </c>
      <c r="V113" s="151">
        <v>6.0</v>
      </c>
      <c r="W113" s="151">
        <v>2195009.0</v>
      </c>
      <c r="X113" s="151">
        <v>2195009.0</v>
      </c>
      <c r="Y113" s="151">
        <v>456917.0</v>
      </c>
      <c r="Z113" s="159">
        <v>45873.0</v>
      </c>
      <c r="AA113" s="159">
        <v>45873.0</v>
      </c>
      <c r="AB113" s="151" t="s">
        <v>404</v>
      </c>
      <c r="AC113" s="151" t="s">
        <v>404</v>
      </c>
      <c r="AD113" s="149" t="s">
        <v>97</v>
      </c>
      <c r="AE113" s="149" t="s">
        <v>97</v>
      </c>
      <c r="AF113" s="149" t="s">
        <v>97</v>
      </c>
      <c r="AG113" s="156">
        <v>10.0</v>
      </c>
    </row>
    <row r="114" ht="15.75" customHeight="1">
      <c r="A114" s="151">
        <v>6.0</v>
      </c>
      <c r="B114" s="149" t="s">
        <v>180</v>
      </c>
      <c r="C114" s="149" t="s">
        <v>95</v>
      </c>
      <c r="D114" s="149" t="s">
        <v>301</v>
      </c>
      <c r="E114" s="151">
        <v>3.1275154E9</v>
      </c>
      <c r="F114" s="149" t="s">
        <v>97</v>
      </c>
      <c r="G114" s="149" t="s">
        <v>97</v>
      </c>
      <c r="H114" s="149" t="s">
        <v>176</v>
      </c>
      <c r="I114" s="149" t="s">
        <v>114</v>
      </c>
      <c r="J114" s="155">
        <v>45729.0</v>
      </c>
      <c r="K114" s="149" t="s">
        <v>100</v>
      </c>
      <c r="L114" s="151">
        <v>2455.0</v>
      </c>
      <c r="M114" s="151">
        <v>43.0</v>
      </c>
      <c r="N114" s="151" t="s">
        <v>405</v>
      </c>
      <c r="O114" s="151">
        <v>4.0</v>
      </c>
      <c r="P114" s="151">
        <v>3.0</v>
      </c>
      <c r="Q114" s="151" t="s">
        <v>129</v>
      </c>
      <c r="R114" s="151" t="s">
        <v>406</v>
      </c>
      <c r="S114" s="151" t="s">
        <v>407</v>
      </c>
      <c r="T114" s="151" t="s">
        <v>408</v>
      </c>
      <c r="U114" s="151">
        <v>4.0</v>
      </c>
      <c r="V114" s="151">
        <v>3.0</v>
      </c>
      <c r="W114" s="151">
        <v>3156000.0</v>
      </c>
      <c r="X114" s="151">
        <v>2211000.0</v>
      </c>
      <c r="Y114" s="151">
        <v>83540.0</v>
      </c>
      <c r="Z114" s="151" t="s">
        <v>409</v>
      </c>
      <c r="AA114" s="151" t="s">
        <v>410</v>
      </c>
      <c r="AB114" s="151" t="s">
        <v>411</v>
      </c>
      <c r="AC114" s="151" t="s">
        <v>412</v>
      </c>
      <c r="AD114" s="149" t="s">
        <v>97</v>
      </c>
      <c r="AE114" s="149" t="s">
        <v>97</v>
      </c>
      <c r="AF114" s="149" t="s">
        <v>97</v>
      </c>
      <c r="AG114" s="156">
        <v>10.0</v>
      </c>
    </row>
    <row r="115" ht="15.75" customHeight="1">
      <c r="A115" s="151">
        <v>7.0</v>
      </c>
      <c r="B115" s="149" t="s">
        <v>413</v>
      </c>
      <c r="C115" s="149" t="s">
        <v>95</v>
      </c>
      <c r="D115" s="149" t="s">
        <v>301</v>
      </c>
      <c r="E115" s="151">
        <v>2.2657955668E10</v>
      </c>
      <c r="F115" s="149" t="s">
        <v>97</v>
      </c>
      <c r="G115" s="149" t="s">
        <v>97</v>
      </c>
      <c r="H115" s="149" t="s">
        <v>113</v>
      </c>
      <c r="I115" s="149" t="s">
        <v>114</v>
      </c>
      <c r="J115" s="155">
        <v>45945.0</v>
      </c>
      <c r="K115" s="149" t="s">
        <v>100</v>
      </c>
      <c r="L115" s="151">
        <v>1902.0</v>
      </c>
      <c r="M115" s="151">
        <v>31.0</v>
      </c>
      <c r="N115" s="151" t="s">
        <v>414</v>
      </c>
      <c r="O115" s="151">
        <v>0.0</v>
      </c>
      <c r="P115" s="151">
        <v>0.0</v>
      </c>
      <c r="Q115" s="151" t="s">
        <v>143</v>
      </c>
      <c r="R115" s="151" t="s">
        <v>143</v>
      </c>
      <c r="S115" s="151">
        <v>0.0</v>
      </c>
      <c r="T115" s="151">
        <v>0.0</v>
      </c>
      <c r="U115" s="151">
        <v>0.0</v>
      </c>
      <c r="V115" s="151">
        <v>0.0</v>
      </c>
      <c r="W115" s="151">
        <v>0.0</v>
      </c>
      <c r="X115" s="151">
        <v>0.0</v>
      </c>
      <c r="Y115" s="151">
        <v>36969.0</v>
      </c>
      <c r="Z115" s="151">
        <v>0.0</v>
      </c>
      <c r="AA115" s="151">
        <v>0.0</v>
      </c>
      <c r="AB115" s="151" t="s">
        <v>143</v>
      </c>
      <c r="AC115" s="151" t="s">
        <v>143</v>
      </c>
      <c r="AD115" s="149" t="s">
        <v>97</v>
      </c>
      <c r="AE115" s="149" t="s">
        <v>97</v>
      </c>
      <c r="AF115" s="149" t="s">
        <v>97</v>
      </c>
      <c r="AG115" s="156">
        <v>10.0</v>
      </c>
    </row>
    <row r="116" ht="15.75" customHeight="1">
      <c r="A116" s="151">
        <v>8.0</v>
      </c>
      <c r="B116" s="149" t="s">
        <v>415</v>
      </c>
      <c r="C116" s="149" t="s">
        <v>95</v>
      </c>
      <c r="D116" s="149" t="s">
        <v>301</v>
      </c>
      <c r="E116" s="151">
        <v>2.1287412861E10</v>
      </c>
      <c r="F116" s="149" t="s">
        <v>97</v>
      </c>
      <c r="G116" s="149" t="s">
        <v>97</v>
      </c>
      <c r="H116" s="149" t="s">
        <v>176</v>
      </c>
      <c r="I116" s="149" t="s">
        <v>114</v>
      </c>
      <c r="J116" s="161">
        <v>45784.0</v>
      </c>
      <c r="K116" s="149" t="s">
        <v>100</v>
      </c>
      <c r="L116" s="151">
        <v>1512.0</v>
      </c>
      <c r="M116" s="151">
        <v>11.0</v>
      </c>
      <c r="N116" s="151" t="s">
        <v>416</v>
      </c>
      <c r="O116" s="151">
        <v>0.0</v>
      </c>
      <c r="P116" s="151">
        <v>0.0</v>
      </c>
      <c r="Q116" s="151" t="s">
        <v>143</v>
      </c>
      <c r="R116" s="151" t="s">
        <v>143</v>
      </c>
      <c r="S116" s="151">
        <v>0.0</v>
      </c>
      <c r="T116" s="151">
        <v>0.0</v>
      </c>
      <c r="U116" s="151">
        <v>0.0</v>
      </c>
      <c r="V116" s="151">
        <v>0.0</v>
      </c>
      <c r="W116" s="151">
        <v>0.0</v>
      </c>
      <c r="X116" s="151">
        <v>0.0</v>
      </c>
      <c r="Y116" s="151">
        <v>9279.0</v>
      </c>
      <c r="Z116" s="151">
        <v>0.0</v>
      </c>
      <c r="AA116" s="151">
        <v>0.0</v>
      </c>
      <c r="AB116" s="151" t="s">
        <v>143</v>
      </c>
      <c r="AC116" s="151" t="s">
        <v>143</v>
      </c>
      <c r="AD116" s="149" t="s">
        <v>97</v>
      </c>
      <c r="AE116" s="149" t="s">
        <v>97</v>
      </c>
      <c r="AF116" s="149" t="s">
        <v>97</v>
      </c>
      <c r="AG116" s="156">
        <v>10.0</v>
      </c>
    </row>
    <row r="117" ht="15.75" customHeight="1">
      <c r="A117" s="151">
        <v>9.0</v>
      </c>
      <c r="B117" s="149" t="s">
        <v>417</v>
      </c>
      <c r="C117" s="149" t="s">
        <v>159</v>
      </c>
      <c r="D117" s="149" t="s">
        <v>301</v>
      </c>
      <c r="E117" s="151">
        <v>3.934257539E9</v>
      </c>
      <c r="F117" s="149" t="s">
        <v>97</v>
      </c>
      <c r="G117" s="149" t="s">
        <v>97</v>
      </c>
      <c r="H117" s="149" t="s">
        <v>113</v>
      </c>
      <c r="I117" s="149" t="s">
        <v>114</v>
      </c>
      <c r="J117" s="157">
        <v>45945.0</v>
      </c>
      <c r="K117" s="149" t="s">
        <v>100</v>
      </c>
      <c r="L117" s="151">
        <v>3238.0</v>
      </c>
      <c r="M117" s="151">
        <v>46.0</v>
      </c>
      <c r="N117" s="151" t="s">
        <v>418</v>
      </c>
      <c r="O117" s="151">
        <v>1.0</v>
      </c>
      <c r="P117" s="151">
        <v>1.0</v>
      </c>
      <c r="Q117" s="151" t="s">
        <v>168</v>
      </c>
      <c r="R117" s="151" t="s">
        <v>168</v>
      </c>
      <c r="S117" s="151" t="s">
        <v>419</v>
      </c>
      <c r="T117" s="151" t="s">
        <v>419</v>
      </c>
      <c r="U117" s="151">
        <v>1.0</v>
      </c>
      <c r="V117" s="151">
        <v>1.0</v>
      </c>
      <c r="W117" s="151">
        <v>806428.0</v>
      </c>
      <c r="X117" s="151">
        <v>806428.0</v>
      </c>
      <c r="Y117" s="151">
        <v>112938.0</v>
      </c>
      <c r="Z117" s="151" t="s">
        <v>420</v>
      </c>
      <c r="AA117" s="151" t="s">
        <v>420</v>
      </c>
      <c r="AB117" s="151" t="s">
        <v>421</v>
      </c>
      <c r="AC117" s="151" t="s">
        <v>421</v>
      </c>
      <c r="AD117" s="149" t="s">
        <v>97</v>
      </c>
      <c r="AE117" s="149" t="s">
        <v>97</v>
      </c>
      <c r="AF117" s="149" t="s">
        <v>97</v>
      </c>
      <c r="AG117" s="156">
        <v>10.0</v>
      </c>
    </row>
    <row r="118" ht="15.75" customHeight="1">
      <c r="A118" s="151">
        <v>10.0</v>
      </c>
      <c r="B118" s="149" t="s">
        <v>269</v>
      </c>
      <c r="C118" s="149" t="s">
        <v>159</v>
      </c>
      <c r="D118" s="149" t="s">
        <v>301</v>
      </c>
      <c r="E118" s="151">
        <v>3.862340378E9</v>
      </c>
      <c r="F118" s="149" t="s">
        <v>97</v>
      </c>
      <c r="G118" s="149" t="s">
        <v>97</v>
      </c>
      <c r="H118" s="149" t="s">
        <v>176</v>
      </c>
      <c r="I118" s="149" t="s">
        <v>114</v>
      </c>
      <c r="J118" s="157">
        <v>45729.0</v>
      </c>
      <c r="K118" s="149" t="s">
        <v>100</v>
      </c>
      <c r="L118" s="151">
        <v>2872.0</v>
      </c>
      <c r="M118" s="151">
        <v>58.0</v>
      </c>
      <c r="N118" s="151" t="s">
        <v>422</v>
      </c>
      <c r="O118" s="151">
        <v>1.0</v>
      </c>
      <c r="P118" s="151">
        <v>1.0</v>
      </c>
      <c r="Q118" s="151" t="s">
        <v>265</v>
      </c>
      <c r="R118" s="151" t="s">
        <v>265</v>
      </c>
      <c r="S118" s="151" t="s">
        <v>423</v>
      </c>
      <c r="T118" s="151" t="s">
        <v>423</v>
      </c>
      <c r="U118" s="151">
        <v>1.0</v>
      </c>
      <c r="V118" s="151">
        <v>1.0</v>
      </c>
      <c r="W118" s="151">
        <v>880000.0</v>
      </c>
      <c r="X118" s="151">
        <v>880000.0</v>
      </c>
      <c r="Y118" s="151">
        <v>279234.0</v>
      </c>
      <c r="Z118" s="151" t="s">
        <v>424</v>
      </c>
      <c r="AA118" s="151" t="s">
        <v>424</v>
      </c>
      <c r="AB118" s="151" t="s">
        <v>425</v>
      </c>
      <c r="AC118" s="151" t="s">
        <v>425</v>
      </c>
      <c r="AD118" s="149" t="s">
        <v>97</v>
      </c>
      <c r="AE118" s="149" t="s">
        <v>97</v>
      </c>
      <c r="AF118" s="149" t="s">
        <v>97</v>
      </c>
      <c r="AG118" s="156">
        <v>10.0</v>
      </c>
    </row>
    <row r="119" ht="15.75" customHeight="1">
      <c r="A119" s="151">
        <v>11.0</v>
      </c>
      <c r="B119" s="149" t="s">
        <v>426</v>
      </c>
      <c r="C119" s="149" t="s">
        <v>159</v>
      </c>
      <c r="D119" s="149" t="s">
        <v>301</v>
      </c>
      <c r="E119" s="151">
        <v>4.1875790937E10</v>
      </c>
      <c r="F119" s="149" t="s">
        <v>97</v>
      </c>
      <c r="G119" s="149" t="s">
        <v>97</v>
      </c>
      <c r="H119" s="149" t="s">
        <v>113</v>
      </c>
      <c r="I119" s="149" t="s">
        <v>114</v>
      </c>
      <c r="J119" s="155">
        <v>45954.0</v>
      </c>
      <c r="K119" s="149" t="s">
        <v>100</v>
      </c>
      <c r="L119" s="151">
        <v>871.0</v>
      </c>
      <c r="M119" s="151">
        <v>4.0</v>
      </c>
      <c r="N119" s="151" t="s">
        <v>427</v>
      </c>
      <c r="O119" s="151">
        <v>0.0</v>
      </c>
      <c r="P119" s="151">
        <v>0.0</v>
      </c>
      <c r="Q119" s="151" t="s">
        <v>143</v>
      </c>
      <c r="R119" s="151" t="s">
        <v>143</v>
      </c>
      <c r="S119" s="151">
        <v>0.0</v>
      </c>
      <c r="T119" s="151">
        <v>0.0</v>
      </c>
      <c r="U119" s="151">
        <v>0.0</v>
      </c>
      <c r="V119" s="151">
        <v>0.0</v>
      </c>
      <c r="W119" s="151">
        <v>0.0</v>
      </c>
      <c r="X119" s="151">
        <v>0.0</v>
      </c>
      <c r="Y119" s="151">
        <v>28264.0</v>
      </c>
      <c r="Z119" s="151">
        <v>0.0</v>
      </c>
      <c r="AA119" s="151">
        <v>0.0</v>
      </c>
      <c r="AB119" s="151" t="s">
        <v>143</v>
      </c>
      <c r="AC119" s="151" t="s">
        <v>143</v>
      </c>
      <c r="AD119" s="149" t="s">
        <v>97</v>
      </c>
      <c r="AE119" s="149" t="s">
        <v>97</v>
      </c>
      <c r="AF119" s="149" t="s">
        <v>97</v>
      </c>
      <c r="AG119" s="156">
        <v>10.0</v>
      </c>
    </row>
    <row r="120" ht="15.75" customHeight="1">
      <c r="A120" s="151">
        <v>12.0</v>
      </c>
      <c r="B120" s="149" t="s">
        <v>133</v>
      </c>
      <c r="C120" s="149" t="s">
        <v>159</v>
      </c>
      <c r="D120" s="149" t="s">
        <v>301</v>
      </c>
      <c r="E120" s="151">
        <v>2.486748184E10</v>
      </c>
      <c r="F120" s="149" t="s">
        <v>134</v>
      </c>
      <c r="G120" s="149" t="s">
        <v>97</v>
      </c>
      <c r="H120" s="149" t="s">
        <v>135</v>
      </c>
      <c r="I120" s="149" t="s">
        <v>136</v>
      </c>
      <c r="J120" s="161">
        <v>45785.0</v>
      </c>
      <c r="K120" s="149" t="s">
        <v>100</v>
      </c>
      <c r="L120" s="151">
        <v>96.0</v>
      </c>
      <c r="M120" s="151">
        <v>0.0</v>
      </c>
      <c r="N120" s="151" t="s">
        <v>143</v>
      </c>
      <c r="O120" s="151">
        <v>0.0</v>
      </c>
      <c r="P120" s="151">
        <v>0.0</v>
      </c>
      <c r="Q120" s="151" t="s">
        <v>143</v>
      </c>
      <c r="R120" s="151" t="s">
        <v>143</v>
      </c>
      <c r="S120" s="151">
        <v>0.0</v>
      </c>
      <c r="T120" s="151">
        <v>0.0</v>
      </c>
      <c r="U120" s="151">
        <v>0.0</v>
      </c>
      <c r="V120" s="151">
        <v>0.0</v>
      </c>
      <c r="W120" s="151">
        <v>0.0</v>
      </c>
      <c r="X120" s="151">
        <v>0.0</v>
      </c>
      <c r="Y120" s="151">
        <v>0.0</v>
      </c>
      <c r="Z120" s="151">
        <v>0.0</v>
      </c>
      <c r="AA120" s="151">
        <v>0.0</v>
      </c>
      <c r="AB120" s="151" t="s">
        <v>143</v>
      </c>
      <c r="AC120" s="151" t="s">
        <v>143</v>
      </c>
      <c r="AD120" s="149" t="s">
        <v>97</v>
      </c>
      <c r="AE120" s="149" t="s">
        <v>97</v>
      </c>
      <c r="AF120" s="149" t="s">
        <v>97</v>
      </c>
      <c r="AG120" s="156">
        <v>10.0</v>
      </c>
    </row>
    <row r="121" ht="15.75" customHeight="1">
      <c r="A121" s="151">
        <v>13.0</v>
      </c>
      <c r="B121" s="149" t="s">
        <v>323</v>
      </c>
      <c r="C121" s="149" t="s">
        <v>159</v>
      </c>
      <c r="D121" s="149" t="s">
        <v>301</v>
      </c>
      <c r="E121" s="151">
        <v>5.158911395E9</v>
      </c>
      <c r="F121" s="149" t="s">
        <v>97</v>
      </c>
      <c r="G121" s="149" t="s">
        <v>97</v>
      </c>
      <c r="H121" s="149" t="s">
        <v>113</v>
      </c>
      <c r="I121" s="149" t="s">
        <v>114</v>
      </c>
      <c r="J121" s="155">
        <v>45927.0</v>
      </c>
      <c r="K121" s="149" t="s">
        <v>100</v>
      </c>
      <c r="L121" s="151">
        <v>81.0</v>
      </c>
      <c r="M121" s="151">
        <v>2.0</v>
      </c>
      <c r="N121" s="151" t="s">
        <v>428</v>
      </c>
      <c r="O121" s="151">
        <v>0.0</v>
      </c>
      <c r="P121" s="151">
        <v>0.0</v>
      </c>
      <c r="Q121" s="151" t="s">
        <v>143</v>
      </c>
      <c r="R121" s="151" t="s">
        <v>143</v>
      </c>
      <c r="S121" s="151">
        <v>0.0</v>
      </c>
      <c r="T121" s="151">
        <v>0.0</v>
      </c>
      <c r="U121" s="151">
        <v>0.0</v>
      </c>
      <c r="V121" s="151">
        <v>0.0</v>
      </c>
      <c r="W121" s="151">
        <v>0.0</v>
      </c>
      <c r="X121" s="151">
        <v>0.0</v>
      </c>
      <c r="Y121" s="151">
        <v>909.0</v>
      </c>
      <c r="Z121" s="151">
        <v>0.0</v>
      </c>
      <c r="AA121" s="151">
        <v>0.0</v>
      </c>
      <c r="AB121" s="151" t="s">
        <v>143</v>
      </c>
      <c r="AC121" s="151" t="s">
        <v>143</v>
      </c>
      <c r="AD121" s="149" t="s">
        <v>97</v>
      </c>
      <c r="AE121" s="149" t="s">
        <v>97</v>
      </c>
      <c r="AF121" s="149" t="s">
        <v>97</v>
      </c>
      <c r="AG121" s="156">
        <v>10.0</v>
      </c>
    </row>
    <row r="122" ht="15.75" customHeight="1">
      <c r="A122" s="151">
        <v>14.0</v>
      </c>
      <c r="B122" s="149" t="s">
        <v>429</v>
      </c>
      <c r="C122" s="149" t="s">
        <v>159</v>
      </c>
      <c r="D122" s="149" t="s">
        <v>301</v>
      </c>
      <c r="E122" s="151">
        <v>5.519393895E9</v>
      </c>
      <c r="F122" s="149" t="s">
        <v>134</v>
      </c>
      <c r="G122" s="149" t="s">
        <v>97</v>
      </c>
      <c r="H122" s="149" t="s">
        <v>135</v>
      </c>
      <c r="I122" s="149" t="s">
        <v>136</v>
      </c>
      <c r="J122" s="155">
        <v>45821.0</v>
      </c>
      <c r="K122" s="149" t="s">
        <v>100</v>
      </c>
      <c r="L122" s="151">
        <v>72.0</v>
      </c>
      <c r="M122" s="151">
        <v>0.0</v>
      </c>
      <c r="N122" s="151" t="s">
        <v>143</v>
      </c>
      <c r="O122" s="151">
        <v>0.0</v>
      </c>
      <c r="P122" s="151">
        <v>0.0</v>
      </c>
      <c r="Q122" s="151" t="s">
        <v>143</v>
      </c>
      <c r="R122" s="151" t="s">
        <v>143</v>
      </c>
      <c r="S122" s="151">
        <v>0.0</v>
      </c>
      <c r="T122" s="151">
        <v>0.0</v>
      </c>
      <c r="U122" s="151">
        <v>0.0</v>
      </c>
      <c r="V122" s="151">
        <v>0.0</v>
      </c>
      <c r="W122" s="151">
        <v>0.0</v>
      </c>
      <c r="X122" s="151">
        <v>0.0</v>
      </c>
      <c r="Y122" s="151">
        <v>0.0</v>
      </c>
      <c r="Z122" s="151">
        <v>0.0</v>
      </c>
      <c r="AA122" s="151">
        <v>0.0</v>
      </c>
      <c r="AB122" s="151" t="s">
        <v>143</v>
      </c>
      <c r="AC122" s="151" t="s">
        <v>143</v>
      </c>
      <c r="AD122" s="149" t="s">
        <v>97</v>
      </c>
      <c r="AE122" s="149" t="s">
        <v>97</v>
      </c>
      <c r="AF122" s="149" t="s">
        <v>97</v>
      </c>
      <c r="AG122" s="156">
        <v>10.0</v>
      </c>
    </row>
    <row r="123" ht="15.75" customHeight="1">
      <c r="A123" s="151">
        <v>15.0</v>
      </c>
      <c r="B123" s="149" t="s">
        <v>430</v>
      </c>
      <c r="C123" s="149" t="s">
        <v>159</v>
      </c>
      <c r="D123" s="149" t="s">
        <v>301</v>
      </c>
      <c r="E123" s="151">
        <v>5.519393895E9</v>
      </c>
      <c r="F123" s="149" t="s">
        <v>134</v>
      </c>
      <c r="G123" s="149" t="s">
        <v>97</v>
      </c>
      <c r="H123" s="149" t="s">
        <v>135</v>
      </c>
      <c r="I123" s="149" t="s">
        <v>136</v>
      </c>
      <c r="J123" s="157">
        <v>45821.0</v>
      </c>
      <c r="K123" s="149" t="s">
        <v>100</v>
      </c>
      <c r="L123" s="151">
        <v>7.0</v>
      </c>
      <c r="M123" s="151">
        <v>0.0</v>
      </c>
      <c r="N123" s="151" t="s">
        <v>143</v>
      </c>
      <c r="O123" s="151">
        <v>0.0</v>
      </c>
      <c r="P123" s="151">
        <v>0.0</v>
      </c>
      <c r="Q123" s="151" t="s">
        <v>143</v>
      </c>
      <c r="R123" s="151" t="s">
        <v>143</v>
      </c>
      <c r="S123" s="151">
        <v>0.0</v>
      </c>
      <c r="T123" s="151">
        <v>0.0</v>
      </c>
      <c r="U123" s="151">
        <v>0.0</v>
      </c>
      <c r="V123" s="151">
        <v>0.0</v>
      </c>
      <c r="W123" s="151">
        <v>0.0</v>
      </c>
      <c r="X123" s="151">
        <v>0.0</v>
      </c>
      <c r="Y123" s="151">
        <v>0.0</v>
      </c>
      <c r="Z123" s="151">
        <v>0.0</v>
      </c>
      <c r="AA123" s="151">
        <v>0.0</v>
      </c>
      <c r="AB123" s="151" t="s">
        <v>143</v>
      </c>
      <c r="AC123" s="151" t="s">
        <v>143</v>
      </c>
      <c r="AD123" s="149" t="s">
        <v>97</v>
      </c>
      <c r="AE123" s="149" t="s">
        <v>97</v>
      </c>
      <c r="AF123" s="149" t="s">
        <v>97</v>
      </c>
      <c r="AG123" s="156">
        <v>10.0</v>
      </c>
    </row>
    <row r="124" ht="15.75" customHeight="1">
      <c r="A124" s="151">
        <v>16.0</v>
      </c>
      <c r="B124" s="149" t="s">
        <v>361</v>
      </c>
      <c r="C124" s="149" t="s">
        <v>288</v>
      </c>
      <c r="D124" s="149" t="s">
        <v>301</v>
      </c>
      <c r="E124" s="151">
        <v>1.1372319169E10</v>
      </c>
      <c r="F124" s="149" t="s">
        <v>97</v>
      </c>
      <c r="G124" s="149" t="s">
        <v>97</v>
      </c>
      <c r="H124" s="149" t="s">
        <v>113</v>
      </c>
      <c r="I124" s="149" t="s">
        <v>114</v>
      </c>
      <c r="J124" s="155">
        <v>45927.0</v>
      </c>
      <c r="K124" s="155">
        <v>45930.99998842592</v>
      </c>
      <c r="L124" s="151">
        <v>3.0</v>
      </c>
      <c r="M124" s="151">
        <v>0.0</v>
      </c>
      <c r="N124" s="151" t="s">
        <v>143</v>
      </c>
      <c r="O124" s="151">
        <v>0.0</v>
      </c>
      <c r="P124" s="151">
        <v>0.0</v>
      </c>
      <c r="Q124" s="151" t="s">
        <v>143</v>
      </c>
      <c r="R124" s="151" t="s">
        <v>143</v>
      </c>
      <c r="S124" s="151">
        <v>0.0</v>
      </c>
      <c r="T124" s="151">
        <v>0.0</v>
      </c>
      <c r="U124" s="151">
        <v>0.0</v>
      </c>
      <c r="V124" s="151">
        <v>0.0</v>
      </c>
      <c r="W124" s="151">
        <v>0.0</v>
      </c>
      <c r="X124" s="151">
        <v>0.0</v>
      </c>
      <c r="Y124" s="151">
        <v>0.0</v>
      </c>
      <c r="Z124" s="151">
        <v>0.0</v>
      </c>
      <c r="AA124" s="151">
        <v>0.0</v>
      </c>
      <c r="AB124" s="151" t="s">
        <v>143</v>
      </c>
      <c r="AC124" s="151" t="s">
        <v>143</v>
      </c>
      <c r="AD124" s="149" t="s">
        <v>97</v>
      </c>
      <c r="AE124" s="149" t="s">
        <v>97</v>
      </c>
      <c r="AF124" s="149" t="s">
        <v>97</v>
      </c>
      <c r="AG124" s="156"/>
    </row>
    <row r="125" ht="15.75" customHeight="1">
      <c r="A125" s="151">
        <v>17.0</v>
      </c>
      <c r="B125" s="149" t="s">
        <v>249</v>
      </c>
      <c r="C125" s="149" t="s">
        <v>288</v>
      </c>
      <c r="D125" s="149" t="s">
        <v>301</v>
      </c>
      <c r="E125" s="151">
        <v>2.5666719442E10</v>
      </c>
      <c r="F125" s="149" t="s">
        <v>97</v>
      </c>
      <c r="G125" s="149" t="s">
        <v>97</v>
      </c>
      <c r="H125" s="149" t="s">
        <v>113</v>
      </c>
      <c r="I125" s="149" t="s">
        <v>114</v>
      </c>
      <c r="J125" s="157">
        <v>45891.0</v>
      </c>
      <c r="K125" s="157">
        <v>45930.99998842592</v>
      </c>
      <c r="L125" s="151">
        <v>2.0</v>
      </c>
      <c r="M125" s="151">
        <v>0.0</v>
      </c>
      <c r="N125" s="151" t="s">
        <v>143</v>
      </c>
      <c r="O125" s="151">
        <v>2.0</v>
      </c>
      <c r="P125" s="151">
        <v>2.0</v>
      </c>
      <c r="Q125" s="151" t="s">
        <v>143</v>
      </c>
      <c r="R125" s="151" t="s">
        <v>143</v>
      </c>
      <c r="S125" s="151">
        <v>0.0</v>
      </c>
      <c r="T125" s="151">
        <v>0.0</v>
      </c>
      <c r="U125" s="151">
        <v>2.0</v>
      </c>
      <c r="V125" s="151">
        <v>2.0</v>
      </c>
      <c r="W125" s="151">
        <v>1842750.0</v>
      </c>
      <c r="X125" s="151">
        <v>1842750.0</v>
      </c>
      <c r="Y125" s="151">
        <v>0.0</v>
      </c>
      <c r="Z125" s="151">
        <v>0.0</v>
      </c>
      <c r="AA125" s="151">
        <v>0.0</v>
      </c>
      <c r="AB125" s="151" t="s">
        <v>143</v>
      </c>
      <c r="AC125" s="151" t="s">
        <v>143</v>
      </c>
      <c r="AD125" s="149" t="s">
        <v>97</v>
      </c>
      <c r="AE125" s="149" t="s">
        <v>97</v>
      </c>
      <c r="AF125" s="149" t="s">
        <v>97</v>
      </c>
      <c r="AG125" s="156"/>
    </row>
    <row r="126" ht="15.75" customHeight="1">
      <c r="A126" s="151">
        <v>18.0</v>
      </c>
      <c r="B126" s="149" t="s">
        <v>364</v>
      </c>
      <c r="C126" s="149" t="s">
        <v>288</v>
      </c>
      <c r="D126" s="149" t="s">
        <v>294</v>
      </c>
      <c r="E126" s="149" t="s">
        <v>97</v>
      </c>
      <c r="F126" s="149" t="s">
        <v>97</v>
      </c>
      <c r="G126" s="149" t="s">
        <v>365</v>
      </c>
      <c r="H126" s="149" t="s">
        <v>135</v>
      </c>
      <c r="I126" s="149" t="s">
        <v>97</v>
      </c>
      <c r="J126" s="152">
        <v>45906.0</v>
      </c>
      <c r="K126" s="164" t="s">
        <v>295</v>
      </c>
      <c r="L126" s="151">
        <v>37.0</v>
      </c>
      <c r="M126" s="151">
        <v>2.0</v>
      </c>
      <c r="N126" s="151" t="s">
        <v>431</v>
      </c>
      <c r="O126" s="151">
        <v>0.0</v>
      </c>
      <c r="P126" s="151">
        <v>0.0</v>
      </c>
      <c r="Q126" s="151" t="s">
        <v>143</v>
      </c>
      <c r="R126" s="151" t="s">
        <v>143</v>
      </c>
      <c r="S126" s="151">
        <v>0.0</v>
      </c>
      <c r="T126" s="151">
        <v>0.0</v>
      </c>
      <c r="U126" s="151">
        <v>0.0</v>
      </c>
      <c r="V126" s="151">
        <v>0.0</v>
      </c>
      <c r="W126" s="151">
        <v>0.0</v>
      </c>
      <c r="X126" s="151">
        <v>0.0</v>
      </c>
      <c r="Y126" s="151">
        <v>3593.0</v>
      </c>
      <c r="Z126" s="151">
        <v>0.0</v>
      </c>
      <c r="AA126" s="151">
        <v>0.0</v>
      </c>
      <c r="AB126" s="151" t="s">
        <v>143</v>
      </c>
      <c r="AC126" s="151" t="s">
        <v>143</v>
      </c>
      <c r="AD126" s="151">
        <v>165.0</v>
      </c>
      <c r="AE126" s="151">
        <v>0.0</v>
      </c>
      <c r="AF126" s="151" t="s">
        <v>143</v>
      </c>
      <c r="AG126" s="156"/>
    </row>
    <row r="127" ht="15.75" customHeight="1">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7"/>
    </row>
    <row r="128" ht="15.75" customHeight="1">
      <c r="A128" s="168" t="s">
        <v>289</v>
      </c>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c r="AD128" s="168"/>
      <c r="AE128" s="168"/>
      <c r="AF128" s="168"/>
      <c r="AG128" s="156"/>
    </row>
    <row r="129" ht="15.75" customHeight="1">
      <c r="A129" s="168" t="s">
        <v>54</v>
      </c>
      <c r="B129" s="168" t="s">
        <v>55</v>
      </c>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c r="AD129" s="168"/>
      <c r="AE129" s="168"/>
      <c r="AF129" s="168"/>
      <c r="AG129" s="156"/>
    </row>
    <row r="130" ht="15.75" customHeight="1">
      <c r="A130" s="168" t="s">
        <v>56</v>
      </c>
      <c r="B130" s="168" t="s">
        <v>57</v>
      </c>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c r="AD130" s="168"/>
      <c r="AE130" s="168"/>
      <c r="AF130" s="168"/>
      <c r="AG130" s="156"/>
    </row>
    <row r="131" ht="15.75" customHeight="1">
      <c r="A131" s="168" t="s">
        <v>58</v>
      </c>
      <c r="B131" s="169">
        <v>2.27240948E8</v>
      </c>
      <c r="C131" s="168"/>
      <c r="D131" s="16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c r="AB131" s="168"/>
      <c r="AC131" s="168"/>
      <c r="AD131" s="168"/>
      <c r="AE131" s="168"/>
      <c r="AF131" s="168"/>
      <c r="AG131" s="156"/>
    </row>
    <row r="132" ht="15.75" customHeight="1">
      <c r="A132" s="168" t="s">
        <v>59</v>
      </c>
      <c r="B132" s="170">
        <v>45992.37430555555</v>
      </c>
      <c r="C132" s="171"/>
      <c r="D132" s="16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c r="AB132" s="168"/>
      <c r="AC132" s="168"/>
      <c r="AD132" s="168"/>
      <c r="AE132" s="168"/>
      <c r="AF132" s="168"/>
      <c r="AG132" s="156"/>
    </row>
    <row r="133" ht="15.75" customHeight="1">
      <c r="A133" s="168" t="s">
        <v>60</v>
      </c>
      <c r="B133" s="168" t="s">
        <v>432</v>
      </c>
      <c r="C133" s="168"/>
      <c r="D133" s="16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c r="AB133" s="168"/>
      <c r="AC133" s="168"/>
      <c r="AD133" s="168"/>
      <c r="AE133" s="168"/>
      <c r="AF133" s="168"/>
      <c r="AG133" s="156"/>
    </row>
    <row r="134" ht="15.75" customHeight="1">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53">
        <f>SUM(W136:W152)</f>
        <v>67529656</v>
      </c>
      <c r="X134" s="153"/>
      <c r="Y134" s="153">
        <f>SUM(Y136:Y152)</f>
        <v>10602761</v>
      </c>
      <c r="Z134" s="149"/>
      <c r="AA134" s="149"/>
      <c r="AB134" s="149"/>
      <c r="AC134" s="149"/>
      <c r="AD134" s="149"/>
      <c r="AE134" s="149"/>
      <c r="AF134" s="149"/>
      <c r="AG134" s="156"/>
    </row>
    <row r="135" ht="15.75" customHeight="1">
      <c r="A135" s="168" t="s">
        <v>62</v>
      </c>
      <c r="B135" s="168" t="s">
        <v>291</v>
      </c>
      <c r="C135" s="168" t="s">
        <v>64</v>
      </c>
      <c r="D135" s="168" t="s">
        <v>292</v>
      </c>
      <c r="E135" s="168" t="s">
        <v>66</v>
      </c>
      <c r="F135" s="168" t="s">
        <v>67</v>
      </c>
      <c r="G135" s="168" t="s">
        <v>293</v>
      </c>
      <c r="H135" s="168" t="s">
        <v>69</v>
      </c>
      <c r="I135" s="168" t="s">
        <v>70</v>
      </c>
      <c r="J135" s="168" t="s">
        <v>71</v>
      </c>
      <c r="K135" s="168" t="s">
        <v>72</v>
      </c>
      <c r="L135" s="168" t="s">
        <v>73</v>
      </c>
      <c r="M135" s="168" t="s">
        <v>74</v>
      </c>
      <c r="N135" s="168" t="s">
        <v>75</v>
      </c>
      <c r="O135" s="168" t="s">
        <v>76</v>
      </c>
      <c r="P135" s="168" t="s">
        <v>77</v>
      </c>
      <c r="Q135" s="168" t="s">
        <v>78</v>
      </c>
      <c r="R135" s="168" t="s">
        <v>79</v>
      </c>
      <c r="S135" s="168" t="s">
        <v>80</v>
      </c>
      <c r="T135" s="168" t="s">
        <v>81</v>
      </c>
      <c r="U135" s="168" t="s">
        <v>82</v>
      </c>
      <c r="V135" s="168" t="s">
        <v>83</v>
      </c>
      <c r="W135" s="168" t="s">
        <v>84</v>
      </c>
      <c r="X135" s="168" t="s">
        <v>85</v>
      </c>
      <c r="Y135" s="168" t="s">
        <v>86</v>
      </c>
      <c r="Z135" s="168" t="s">
        <v>20</v>
      </c>
      <c r="AA135" s="168" t="s">
        <v>87</v>
      </c>
      <c r="AB135" s="168" t="s">
        <v>88</v>
      </c>
      <c r="AC135" s="168" t="s">
        <v>89</v>
      </c>
      <c r="AD135" s="168" t="s">
        <v>90</v>
      </c>
      <c r="AE135" s="168" t="s">
        <v>91</v>
      </c>
      <c r="AF135" s="168" t="s">
        <v>92</v>
      </c>
      <c r="AG135" s="156"/>
    </row>
    <row r="136" ht="15.75" customHeight="1">
      <c r="A136" s="169">
        <v>1.0</v>
      </c>
      <c r="B136" s="168" t="s">
        <v>94</v>
      </c>
      <c r="C136" s="168" t="s">
        <v>95</v>
      </c>
      <c r="D136" s="168" t="s">
        <v>294</v>
      </c>
      <c r="E136" s="168" t="s">
        <v>97</v>
      </c>
      <c r="F136" s="168" t="s">
        <v>97</v>
      </c>
      <c r="G136" s="168" t="s">
        <v>98</v>
      </c>
      <c r="H136" s="168" t="s">
        <v>99</v>
      </c>
      <c r="I136" s="168" t="s">
        <v>97</v>
      </c>
      <c r="J136" s="170">
        <v>45784.0</v>
      </c>
      <c r="K136" s="168" t="s">
        <v>100</v>
      </c>
      <c r="L136" s="169">
        <v>11739.0</v>
      </c>
      <c r="M136" s="169">
        <v>2851.0</v>
      </c>
      <c r="N136" s="169" t="s">
        <v>433</v>
      </c>
      <c r="O136" s="169">
        <v>9.0</v>
      </c>
      <c r="P136" s="169">
        <v>9.0</v>
      </c>
      <c r="Q136" s="169" t="s">
        <v>434</v>
      </c>
      <c r="R136" s="169" t="s">
        <v>434</v>
      </c>
      <c r="S136" s="169" t="s">
        <v>435</v>
      </c>
      <c r="T136" s="169" t="s">
        <v>435</v>
      </c>
      <c r="U136" s="169">
        <v>11.0</v>
      </c>
      <c r="V136" s="169">
        <v>11.0</v>
      </c>
      <c r="W136" s="169">
        <v>4254820.0</v>
      </c>
      <c r="X136" s="169">
        <v>4254820.0</v>
      </c>
      <c r="Y136" s="169">
        <v>1417659.0</v>
      </c>
      <c r="Z136" s="169">
        <v>3.0</v>
      </c>
      <c r="AA136" s="169">
        <v>3.0</v>
      </c>
      <c r="AB136" s="169" t="s">
        <v>436</v>
      </c>
      <c r="AC136" s="169" t="s">
        <v>436</v>
      </c>
      <c r="AD136" s="169">
        <v>44373.0</v>
      </c>
      <c r="AE136" s="169">
        <v>40.0</v>
      </c>
      <c r="AF136" s="169" t="s">
        <v>437</v>
      </c>
      <c r="AG136" s="156">
        <v>11.0</v>
      </c>
    </row>
    <row r="137" ht="15.75" customHeight="1">
      <c r="A137" s="169">
        <v>2.0</v>
      </c>
      <c r="B137" s="168" t="s">
        <v>110</v>
      </c>
      <c r="C137" s="168" t="s">
        <v>95</v>
      </c>
      <c r="D137" s="168" t="s">
        <v>301</v>
      </c>
      <c r="E137" s="169">
        <v>8.782633181E9</v>
      </c>
      <c r="F137" s="168" t="s">
        <v>97</v>
      </c>
      <c r="G137" s="168" t="s">
        <v>97</v>
      </c>
      <c r="H137" s="168" t="s">
        <v>113</v>
      </c>
      <c r="I137" s="168" t="s">
        <v>114</v>
      </c>
      <c r="J137" s="170">
        <v>45660.0</v>
      </c>
      <c r="K137" s="168" t="s">
        <v>100</v>
      </c>
      <c r="L137" s="169">
        <v>24943.0</v>
      </c>
      <c r="M137" s="169">
        <v>287.0</v>
      </c>
      <c r="N137" s="169" t="s">
        <v>438</v>
      </c>
      <c r="O137" s="169">
        <v>10.0</v>
      </c>
      <c r="P137" s="169">
        <v>8.0</v>
      </c>
      <c r="Q137" s="169" t="s">
        <v>439</v>
      </c>
      <c r="R137" s="169" t="s">
        <v>440</v>
      </c>
      <c r="S137" s="169" t="s">
        <v>441</v>
      </c>
      <c r="T137" s="169" t="s">
        <v>442</v>
      </c>
      <c r="U137" s="169">
        <v>12.0</v>
      </c>
      <c r="V137" s="169">
        <v>10.0</v>
      </c>
      <c r="W137" s="169">
        <v>1.3175993E7</v>
      </c>
      <c r="X137" s="169">
        <v>1.1285993E7</v>
      </c>
      <c r="Y137" s="169">
        <v>1681285.0</v>
      </c>
      <c r="Z137" s="169" t="s">
        <v>443</v>
      </c>
      <c r="AA137" s="169" t="s">
        <v>444</v>
      </c>
      <c r="AB137" s="169" t="s">
        <v>445</v>
      </c>
      <c r="AC137" s="169" t="s">
        <v>446</v>
      </c>
      <c r="AD137" s="168" t="s">
        <v>97</v>
      </c>
      <c r="AE137" s="168" t="s">
        <v>97</v>
      </c>
      <c r="AF137" s="168" t="s">
        <v>97</v>
      </c>
      <c r="AG137" s="156">
        <v>11.0</v>
      </c>
    </row>
    <row r="138" ht="15.75" customHeight="1">
      <c r="A138" s="169">
        <v>3.0</v>
      </c>
      <c r="B138" s="168" t="s">
        <v>180</v>
      </c>
      <c r="C138" s="168" t="s">
        <v>95</v>
      </c>
      <c r="D138" s="168" t="s">
        <v>301</v>
      </c>
      <c r="E138" s="169">
        <v>3.1275154E9</v>
      </c>
      <c r="F138" s="168" t="s">
        <v>97</v>
      </c>
      <c r="G138" s="168" t="s">
        <v>97</v>
      </c>
      <c r="H138" s="168" t="s">
        <v>176</v>
      </c>
      <c r="I138" s="168" t="s">
        <v>114</v>
      </c>
      <c r="J138" s="172">
        <v>45729.0</v>
      </c>
      <c r="K138" s="168" t="s">
        <v>100</v>
      </c>
      <c r="L138" s="169">
        <v>20842.0</v>
      </c>
      <c r="M138" s="169">
        <v>304.0</v>
      </c>
      <c r="N138" s="169" t="s">
        <v>447</v>
      </c>
      <c r="O138" s="169">
        <v>8.0</v>
      </c>
      <c r="P138" s="169">
        <v>8.0</v>
      </c>
      <c r="Q138" s="169" t="s">
        <v>448</v>
      </c>
      <c r="R138" s="169" t="s">
        <v>448</v>
      </c>
      <c r="S138" s="169" t="s">
        <v>449</v>
      </c>
      <c r="T138" s="169" t="s">
        <v>449</v>
      </c>
      <c r="U138" s="169">
        <v>8.0</v>
      </c>
      <c r="V138" s="169">
        <v>8.0</v>
      </c>
      <c r="W138" s="169">
        <v>5489998.0</v>
      </c>
      <c r="X138" s="169">
        <v>5489998.0</v>
      </c>
      <c r="Y138" s="169">
        <v>1084097.0</v>
      </c>
      <c r="Z138" s="173">
        <v>45813.0</v>
      </c>
      <c r="AA138" s="173">
        <v>45813.0</v>
      </c>
      <c r="AB138" s="169" t="s">
        <v>373</v>
      </c>
      <c r="AC138" s="169" t="s">
        <v>373</v>
      </c>
      <c r="AD138" s="168" t="s">
        <v>97</v>
      </c>
      <c r="AE138" s="168" t="s">
        <v>97</v>
      </c>
      <c r="AF138" s="168" t="s">
        <v>97</v>
      </c>
      <c r="AG138" s="156">
        <v>11.0</v>
      </c>
    </row>
    <row r="139" ht="15.75" customHeight="1">
      <c r="A139" s="169">
        <v>4.0</v>
      </c>
      <c r="B139" s="168" t="s">
        <v>337</v>
      </c>
      <c r="C139" s="168" t="s">
        <v>95</v>
      </c>
      <c r="D139" s="168" t="s">
        <v>301</v>
      </c>
      <c r="E139" s="169">
        <v>2.5666719442E10</v>
      </c>
      <c r="F139" s="168" t="s">
        <v>97</v>
      </c>
      <c r="G139" s="168" t="s">
        <v>97</v>
      </c>
      <c r="H139" s="168" t="s">
        <v>176</v>
      </c>
      <c r="I139" s="168" t="s">
        <v>114</v>
      </c>
      <c r="J139" s="172">
        <v>45923.0</v>
      </c>
      <c r="K139" s="168" t="s">
        <v>100</v>
      </c>
      <c r="L139" s="169">
        <v>19142.0</v>
      </c>
      <c r="M139" s="169">
        <v>344.0</v>
      </c>
      <c r="N139" s="169" t="s">
        <v>450</v>
      </c>
      <c r="O139" s="169">
        <v>9.0</v>
      </c>
      <c r="P139" s="169">
        <v>9.0</v>
      </c>
      <c r="Q139" s="169" t="s">
        <v>451</v>
      </c>
      <c r="R139" s="169" t="s">
        <v>451</v>
      </c>
      <c r="S139" s="169" t="s">
        <v>452</v>
      </c>
      <c r="T139" s="169" t="s">
        <v>452</v>
      </c>
      <c r="U139" s="169">
        <v>11.0</v>
      </c>
      <c r="V139" s="169">
        <v>11.0</v>
      </c>
      <c r="W139" s="169">
        <v>9414511.0</v>
      </c>
      <c r="X139" s="169">
        <v>9414511.0</v>
      </c>
      <c r="Y139" s="169">
        <v>1291784.0</v>
      </c>
      <c r="Z139" s="169" t="s">
        <v>453</v>
      </c>
      <c r="AA139" s="169" t="s">
        <v>453</v>
      </c>
      <c r="AB139" s="169" t="s">
        <v>454</v>
      </c>
      <c r="AC139" s="169" t="s">
        <v>454</v>
      </c>
      <c r="AD139" s="168" t="s">
        <v>97</v>
      </c>
      <c r="AE139" s="168" t="s">
        <v>97</v>
      </c>
      <c r="AF139" s="168" t="s">
        <v>97</v>
      </c>
      <c r="AG139" s="156">
        <v>11.0</v>
      </c>
    </row>
    <row r="140" ht="15.75" customHeight="1">
      <c r="A140" s="169">
        <v>5.0</v>
      </c>
      <c r="B140" s="168" t="s">
        <v>259</v>
      </c>
      <c r="C140" s="168" t="s">
        <v>95</v>
      </c>
      <c r="D140" s="168" t="s">
        <v>301</v>
      </c>
      <c r="E140" s="169">
        <v>6.917016018E9</v>
      </c>
      <c r="F140" s="168" t="s">
        <v>97</v>
      </c>
      <c r="G140" s="168" t="s">
        <v>97</v>
      </c>
      <c r="H140" s="168" t="s">
        <v>113</v>
      </c>
      <c r="I140" s="168" t="s">
        <v>114</v>
      </c>
      <c r="J140" s="172">
        <v>45891.0</v>
      </c>
      <c r="K140" s="168" t="s">
        <v>100</v>
      </c>
      <c r="L140" s="169">
        <v>17803.0</v>
      </c>
      <c r="M140" s="169">
        <v>315.0</v>
      </c>
      <c r="N140" s="169" t="s">
        <v>455</v>
      </c>
      <c r="O140" s="169">
        <v>12.0</v>
      </c>
      <c r="P140" s="169">
        <v>11.0</v>
      </c>
      <c r="Q140" s="169" t="s">
        <v>456</v>
      </c>
      <c r="R140" s="169" t="s">
        <v>457</v>
      </c>
      <c r="S140" s="169" t="s">
        <v>458</v>
      </c>
      <c r="T140" s="169" t="s">
        <v>459</v>
      </c>
      <c r="U140" s="169">
        <v>25.0</v>
      </c>
      <c r="V140" s="169">
        <v>23.0</v>
      </c>
      <c r="W140" s="169">
        <v>7192997.0</v>
      </c>
      <c r="X140" s="169">
        <v>7072997.0</v>
      </c>
      <c r="Y140" s="169">
        <v>926032.0</v>
      </c>
      <c r="Z140" s="169" t="s">
        <v>460</v>
      </c>
      <c r="AA140" s="169" t="s">
        <v>461</v>
      </c>
      <c r="AB140" s="169" t="s">
        <v>462</v>
      </c>
      <c r="AC140" s="169" t="s">
        <v>463</v>
      </c>
      <c r="AD140" s="168" t="s">
        <v>97</v>
      </c>
      <c r="AE140" s="168" t="s">
        <v>97</v>
      </c>
      <c r="AF140" s="168" t="s">
        <v>97</v>
      </c>
      <c r="AG140" s="156">
        <v>11.0</v>
      </c>
    </row>
    <row r="141" ht="15.75" customHeight="1">
      <c r="A141" s="169">
        <v>6.0</v>
      </c>
      <c r="B141" s="168" t="s">
        <v>464</v>
      </c>
      <c r="C141" s="168" t="s">
        <v>95</v>
      </c>
      <c r="D141" s="168" t="s">
        <v>301</v>
      </c>
      <c r="E141" s="169">
        <v>4.595012371E10</v>
      </c>
      <c r="F141" s="168" t="s">
        <v>97</v>
      </c>
      <c r="G141" s="168" t="s">
        <v>97</v>
      </c>
      <c r="H141" s="168" t="s">
        <v>176</v>
      </c>
      <c r="I141" s="168" t="s">
        <v>114</v>
      </c>
      <c r="J141" s="174">
        <v>45973.0</v>
      </c>
      <c r="K141" s="168" t="s">
        <v>100</v>
      </c>
      <c r="L141" s="169">
        <v>15026.0</v>
      </c>
      <c r="M141" s="169">
        <v>153.0</v>
      </c>
      <c r="N141" s="169" t="s">
        <v>229</v>
      </c>
      <c r="O141" s="169">
        <v>2.0</v>
      </c>
      <c r="P141" s="169">
        <v>1.0</v>
      </c>
      <c r="Q141" s="169" t="s">
        <v>465</v>
      </c>
      <c r="R141" s="169" t="s">
        <v>102</v>
      </c>
      <c r="S141" s="169" t="s">
        <v>466</v>
      </c>
      <c r="T141" s="169" t="s">
        <v>467</v>
      </c>
      <c r="U141" s="169">
        <v>2.0</v>
      </c>
      <c r="V141" s="169">
        <v>1.0</v>
      </c>
      <c r="W141" s="169">
        <v>2005999.0</v>
      </c>
      <c r="X141" s="169">
        <v>1497000.0</v>
      </c>
      <c r="Y141" s="169">
        <v>986511.0</v>
      </c>
      <c r="Z141" s="173">
        <v>45718.0</v>
      </c>
      <c r="AA141" s="169" t="s">
        <v>468</v>
      </c>
      <c r="AB141" s="169" t="s">
        <v>469</v>
      </c>
      <c r="AC141" s="169" t="s">
        <v>470</v>
      </c>
      <c r="AD141" s="168" t="s">
        <v>97</v>
      </c>
      <c r="AE141" s="168" t="s">
        <v>97</v>
      </c>
      <c r="AF141" s="168" t="s">
        <v>97</v>
      </c>
      <c r="AG141" s="156">
        <v>11.0</v>
      </c>
    </row>
    <row r="142" ht="15.75" customHeight="1">
      <c r="A142" s="169">
        <v>7.0</v>
      </c>
      <c r="B142" s="168" t="s">
        <v>253</v>
      </c>
      <c r="C142" s="168" t="s">
        <v>95</v>
      </c>
      <c r="D142" s="168" t="s">
        <v>301</v>
      </c>
      <c r="E142" s="169">
        <v>3.934257539E9</v>
      </c>
      <c r="F142" s="168" t="s">
        <v>97</v>
      </c>
      <c r="G142" s="168" t="s">
        <v>97</v>
      </c>
      <c r="H142" s="168" t="s">
        <v>113</v>
      </c>
      <c r="I142" s="168" t="s">
        <v>114</v>
      </c>
      <c r="J142" s="175">
        <v>45954.0</v>
      </c>
      <c r="K142" s="175">
        <v>46022.99998842592</v>
      </c>
      <c r="L142" s="169">
        <v>11261.0</v>
      </c>
      <c r="M142" s="169">
        <v>118.0</v>
      </c>
      <c r="N142" s="169" t="s">
        <v>250</v>
      </c>
      <c r="O142" s="169">
        <v>1.0</v>
      </c>
      <c r="P142" s="169">
        <v>1.0</v>
      </c>
      <c r="Q142" s="169" t="s">
        <v>471</v>
      </c>
      <c r="R142" s="169" t="s">
        <v>471</v>
      </c>
      <c r="S142" s="169" t="s">
        <v>472</v>
      </c>
      <c r="T142" s="169" t="s">
        <v>472</v>
      </c>
      <c r="U142" s="169">
        <v>1.0</v>
      </c>
      <c r="V142" s="169">
        <v>1.0</v>
      </c>
      <c r="W142" s="169">
        <v>909000.0</v>
      </c>
      <c r="X142" s="169">
        <v>909000.0</v>
      </c>
      <c r="Y142" s="169">
        <v>506313.0</v>
      </c>
      <c r="Z142" s="176">
        <v>45870.0</v>
      </c>
      <c r="AA142" s="176">
        <v>45870.0</v>
      </c>
      <c r="AB142" s="169" t="s">
        <v>473</v>
      </c>
      <c r="AC142" s="169" t="s">
        <v>473</v>
      </c>
      <c r="AD142" s="168" t="s">
        <v>97</v>
      </c>
      <c r="AE142" s="168" t="s">
        <v>97</v>
      </c>
      <c r="AF142" s="168" t="s">
        <v>97</v>
      </c>
      <c r="AG142" s="156">
        <v>11.0</v>
      </c>
    </row>
    <row r="143" ht="15.75" customHeight="1">
      <c r="A143" s="169">
        <v>8.0</v>
      </c>
      <c r="B143" s="168" t="s">
        <v>474</v>
      </c>
      <c r="C143" s="168" t="s">
        <v>95</v>
      </c>
      <c r="D143" s="168" t="s">
        <v>301</v>
      </c>
      <c r="E143" s="169">
        <v>2.4867724627E10</v>
      </c>
      <c r="F143" s="168" t="s">
        <v>97</v>
      </c>
      <c r="G143" s="168" t="s">
        <v>97</v>
      </c>
      <c r="H143" s="168" t="s">
        <v>176</v>
      </c>
      <c r="I143" s="168" t="s">
        <v>114</v>
      </c>
      <c r="J143" s="174">
        <v>45972.0</v>
      </c>
      <c r="K143" s="168" t="s">
        <v>100</v>
      </c>
      <c r="L143" s="169">
        <v>10450.0</v>
      </c>
      <c r="M143" s="169">
        <v>76.0</v>
      </c>
      <c r="N143" s="169" t="s">
        <v>416</v>
      </c>
      <c r="O143" s="169">
        <v>9.0</v>
      </c>
      <c r="P143" s="169">
        <v>9.0</v>
      </c>
      <c r="Q143" s="169" t="s">
        <v>475</v>
      </c>
      <c r="R143" s="169" t="s">
        <v>475</v>
      </c>
      <c r="S143" s="169" t="s">
        <v>476</v>
      </c>
      <c r="T143" s="169" t="s">
        <v>476</v>
      </c>
      <c r="U143" s="169">
        <v>13.0</v>
      </c>
      <c r="V143" s="169">
        <v>13.0</v>
      </c>
      <c r="W143" s="169">
        <v>9542260.0</v>
      </c>
      <c r="X143" s="169">
        <v>9542260.0</v>
      </c>
      <c r="Y143" s="169">
        <v>175707.0</v>
      </c>
      <c r="Z143" s="169" t="s">
        <v>477</v>
      </c>
      <c r="AA143" s="169" t="s">
        <v>477</v>
      </c>
      <c r="AB143" s="169" t="s">
        <v>478</v>
      </c>
      <c r="AC143" s="169" t="s">
        <v>478</v>
      </c>
      <c r="AD143" s="168" t="s">
        <v>97</v>
      </c>
      <c r="AE143" s="168" t="s">
        <v>97</v>
      </c>
      <c r="AF143" s="168" t="s">
        <v>97</v>
      </c>
      <c r="AG143" s="156">
        <v>11.0</v>
      </c>
    </row>
    <row r="144" ht="15.75" customHeight="1">
      <c r="A144" s="169">
        <v>9.0</v>
      </c>
      <c r="B144" s="168" t="s">
        <v>479</v>
      </c>
      <c r="C144" s="168" t="s">
        <v>95</v>
      </c>
      <c r="D144" s="168" t="s">
        <v>301</v>
      </c>
      <c r="E144" s="169">
        <v>4.2625807818E10</v>
      </c>
      <c r="F144" s="168" t="s">
        <v>97</v>
      </c>
      <c r="G144" s="168" t="s">
        <v>97</v>
      </c>
      <c r="H144" s="168" t="s">
        <v>176</v>
      </c>
      <c r="I144" s="168" t="s">
        <v>114</v>
      </c>
      <c r="J144" s="175">
        <v>45961.0</v>
      </c>
      <c r="K144" s="168" t="s">
        <v>100</v>
      </c>
      <c r="L144" s="169">
        <v>9909.0</v>
      </c>
      <c r="M144" s="169">
        <v>110.0</v>
      </c>
      <c r="N144" s="169" t="s">
        <v>480</v>
      </c>
      <c r="O144" s="169">
        <v>1.0</v>
      </c>
      <c r="P144" s="169">
        <v>1.0</v>
      </c>
      <c r="Q144" s="169" t="s">
        <v>481</v>
      </c>
      <c r="R144" s="169" t="s">
        <v>481</v>
      </c>
      <c r="S144" s="169" t="s">
        <v>482</v>
      </c>
      <c r="T144" s="169" t="s">
        <v>482</v>
      </c>
      <c r="U144" s="169">
        <v>1.0</v>
      </c>
      <c r="V144" s="169">
        <v>1.0</v>
      </c>
      <c r="W144" s="169">
        <v>1930500.0</v>
      </c>
      <c r="X144" s="169">
        <v>1930500.0</v>
      </c>
      <c r="Y144" s="169">
        <v>435100.0</v>
      </c>
      <c r="Z144" s="169" t="s">
        <v>483</v>
      </c>
      <c r="AA144" s="169" t="s">
        <v>483</v>
      </c>
      <c r="AB144" s="169" t="s">
        <v>484</v>
      </c>
      <c r="AC144" s="169" t="s">
        <v>484</v>
      </c>
      <c r="AD144" s="168" t="s">
        <v>97</v>
      </c>
      <c r="AE144" s="168" t="s">
        <v>97</v>
      </c>
      <c r="AF144" s="168" t="s">
        <v>97</v>
      </c>
      <c r="AG144" s="156">
        <v>11.0</v>
      </c>
    </row>
    <row r="145" ht="15.75" customHeight="1">
      <c r="A145" s="169">
        <v>10.0</v>
      </c>
      <c r="B145" s="168" t="s">
        <v>485</v>
      </c>
      <c r="C145" s="168" t="s">
        <v>95</v>
      </c>
      <c r="D145" s="168" t="s">
        <v>301</v>
      </c>
      <c r="E145" s="169">
        <v>5.3650093246E10</v>
      </c>
      <c r="F145" s="168" t="s">
        <v>97</v>
      </c>
      <c r="G145" s="168" t="s">
        <v>97</v>
      </c>
      <c r="H145" s="168" t="s">
        <v>176</v>
      </c>
      <c r="I145" s="168" t="s">
        <v>114</v>
      </c>
      <c r="J145" s="170">
        <v>45973.0</v>
      </c>
      <c r="K145" s="168" t="s">
        <v>100</v>
      </c>
      <c r="L145" s="169">
        <v>8939.0</v>
      </c>
      <c r="M145" s="169">
        <v>108.0</v>
      </c>
      <c r="N145" s="169" t="s">
        <v>486</v>
      </c>
      <c r="O145" s="169">
        <v>3.0</v>
      </c>
      <c r="P145" s="169">
        <v>3.0</v>
      </c>
      <c r="Q145" s="169" t="s">
        <v>163</v>
      </c>
      <c r="R145" s="169" t="s">
        <v>163</v>
      </c>
      <c r="S145" s="169" t="s">
        <v>487</v>
      </c>
      <c r="T145" s="169" t="s">
        <v>487</v>
      </c>
      <c r="U145" s="169">
        <v>3.0</v>
      </c>
      <c r="V145" s="169">
        <v>3.0</v>
      </c>
      <c r="W145" s="169">
        <v>7920000.0</v>
      </c>
      <c r="X145" s="169">
        <v>7920000.0</v>
      </c>
      <c r="Y145" s="169">
        <v>458194.0</v>
      </c>
      <c r="Z145" s="169" t="s">
        <v>392</v>
      </c>
      <c r="AA145" s="169" t="s">
        <v>392</v>
      </c>
      <c r="AB145" s="169" t="s">
        <v>488</v>
      </c>
      <c r="AC145" s="169" t="s">
        <v>488</v>
      </c>
      <c r="AD145" s="168" t="s">
        <v>97</v>
      </c>
      <c r="AE145" s="168" t="s">
        <v>97</v>
      </c>
      <c r="AF145" s="168" t="s">
        <v>97</v>
      </c>
      <c r="AG145" s="156">
        <v>11.0</v>
      </c>
    </row>
    <row r="146" ht="15.75" customHeight="1">
      <c r="A146" s="169">
        <v>11.0</v>
      </c>
      <c r="B146" s="168" t="s">
        <v>120</v>
      </c>
      <c r="C146" s="168" t="s">
        <v>95</v>
      </c>
      <c r="D146" s="168" t="s">
        <v>301</v>
      </c>
      <c r="E146" s="169">
        <v>5.219966803E9</v>
      </c>
      <c r="F146" s="168" t="s">
        <v>97</v>
      </c>
      <c r="G146" s="168" t="s">
        <v>97</v>
      </c>
      <c r="H146" s="168" t="s">
        <v>113</v>
      </c>
      <c r="I146" s="168" t="s">
        <v>114</v>
      </c>
      <c r="J146" s="174">
        <v>45660.0</v>
      </c>
      <c r="K146" s="168" t="s">
        <v>100</v>
      </c>
      <c r="L146" s="169">
        <v>6865.0</v>
      </c>
      <c r="M146" s="169">
        <v>113.0</v>
      </c>
      <c r="N146" s="169" t="s">
        <v>489</v>
      </c>
      <c r="O146" s="169">
        <v>1.0</v>
      </c>
      <c r="P146" s="169">
        <v>1.0</v>
      </c>
      <c r="Q146" s="169" t="s">
        <v>490</v>
      </c>
      <c r="R146" s="169" t="s">
        <v>490</v>
      </c>
      <c r="S146" s="169" t="s">
        <v>491</v>
      </c>
      <c r="T146" s="169" t="s">
        <v>491</v>
      </c>
      <c r="U146" s="169">
        <v>1.0</v>
      </c>
      <c r="V146" s="169">
        <v>1.0</v>
      </c>
      <c r="W146" s="169">
        <v>995984.0</v>
      </c>
      <c r="X146" s="169">
        <v>995984.0</v>
      </c>
      <c r="Y146" s="169">
        <v>476598.0</v>
      </c>
      <c r="Z146" s="173">
        <v>45902.0</v>
      </c>
      <c r="AA146" s="173">
        <v>45902.0</v>
      </c>
      <c r="AB146" s="169" t="s">
        <v>492</v>
      </c>
      <c r="AC146" s="169" t="s">
        <v>492</v>
      </c>
      <c r="AD146" s="168" t="s">
        <v>97</v>
      </c>
      <c r="AE146" s="168" t="s">
        <v>97</v>
      </c>
      <c r="AF146" s="168" t="s">
        <v>97</v>
      </c>
      <c r="AG146" s="156">
        <v>11.0</v>
      </c>
    </row>
    <row r="147" ht="15.75" customHeight="1">
      <c r="A147" s="169">
        <v>12.0</v>
      </c>
      <c r="B147" s="168" t="s">
        <v>413</v>
      </c>
      <c r="C147" s="168" t="s">
        <v>95</v>
      </c>
      <c r="D147" s="168" t="s">
        <v>301</v>
      </c>
      <c r="E147" s="169">
        <v>2.2657955668E10</v>
      </c>
      <c r="F147" s="168" t="s">
        <v>97</v>
      </c>
      <c r="G147" s="168" t="s">
        <v>97</v>
      </c>
      <c r="H147" s="168" t="s">
        <v>113</v>
      </c>
      <c r="I147" s="168" t="s">
        <v>114</v>
      </c>
      <c r="J147" s="175">
        <v>45945.0</v>
      </c>
      <c r="K147" s="168" t="s">
        <v>100</v>
      </c>
      <c r="L147" s="169">
        <v>5580.0</v>
      </c>
      <c r="M147" s="169">
        <v>96.0</v>
      </c>
      <c r="N147" s="169" t="s">
        <v>265</v>
      </c>
      <c r="O147" s="169">
        <v>2.0</v>
      </c>
      <c r="P147" s="169">
        <v>2.0</v>
      </c>
      <c r="Q147" s="169" t="s">
        <v>493</v>
      </c>
      <c r="R147" s="169" t="s">
        <v>493</v>
      </c>
      <c r="S147" s="169" t="s">
        <v>494</v>
      </c>
      <c r="T147" s="169" t="s">
        <v>494</v>
      </c>
      <c r="U147" s="169">
        <v>2.0</v>
      </c>
      <c r="V147" s="169">
        <v>2.0</v>
      </c>
      <c r="W147" s="169">
        <v>1336000.0</v>
      </c>
      <c r="X147" s="169">
        <v>1336000.0</v>
      </c>
      <c r="Y147" s="169">
        <v>356158.0</v>
      </c>
      <c r="Z147" s="169" t="s">
        <v>495</v>
      </c>
      <c r="AA147" s="169" t="s">
        <v>495</v>
      </c>
      <c r="AB147" s="169" t="s">
        <v>496</v>
      </c>
      <c r="AC147" s="169" t="s">
        <v>496</v>
      </c>
      <c r="AD147" s="168" t="s">
        <v>97</v>
      </c>
      <c r="AE147" s="168" t="s">
        <v>97</v>
      </c>
      <c r="AF147" s="168" t="s">
        <v>97</v>
      </c>
      <c r="AG147" s="156">
        <v>11.0</v>
      </c>
    </row>
    <row r="148" ht="15.75" customHeight="1">
      <c r="A148" s="169">
        <v>13.0</v>
      </c>
      <c r="B148" s="168" t="s">
        <v>497</v>
      </c>
      <c r="C148" s="168" t="s">
        <v>95</v>
      </c>
      <c r="D148" s="168" t="s">
        <v>301</v>
      </c>
      <c r="E148" s="169">
        <v>5.2250090883E10</v>
      </c>
      <c r="F148" s="168" t="s">
        <v>97</v>
      </c>
      <c r="G148" s="168" t="s">
        <v>97</v>
      </c>
      <c r="H148" s="168" t="s">
        <v>176</v>
      </c>
      <c r="I148" s="168" t="s">
        <v>114</v>
      </c>
      <c r="J148" s="174">
        <v>45973.0</v>
      </c>
      <c r="K148" s="168" t="s">
        <v>100</v>
      </c>
      <c r="L148" s="169">
        <v>4538.0</v>
      </c>
      <c r="M148" s="169">
        <v>39.0</v>
      </c>
      <c r="N148" s="169" t="s">
        <v>498</v>
      </c>
      <c r="O148" s="169">
        <v>3.0</v>
      </c>
      <c r="P148" s="169">
        <v>0.0</v>
      </c>
      <c r="Q148" s="169" t="s">
        <v>499</v>
      </c>
      <c r="R148" s="169" t="s">
        <v>143</v>
      </c>
      <c r="S148" s="169" t="s">
        <v>500</v>
      </c>
      <c r="T148" s="169">
        <v>0.0</v>
      </c>
      <c r="U148" s="169">
        <v>3.0</v>
      </c>
      <c r="V148" s="169">
        <v>0.0</v>
      </c>
      <c r="W148" s="169">
        <v>1089594.0</v>
      </c>
      <c r="X148" s="169">
        <v>0.0</v>
      </c>
      <c r="Y148" s="169">
        <v>164913.0</v>
      </c>
      <c r="Z148" s="169" t="s">
        <v>501</v>
      </c>
      <c r="AA148" s="169">
        <v>0.0</v>
      </c>
      <c r="AB148" s="169" t="s">
        <v>502</v>
      </c>
      <c r="AC148" s="169" t="s">
        <v>143</v>
      </c>
      <c r="AD148" s="168" t="s">
        <v>97</v>
      </c>
      <c r="AE148" s="168" t="s">
        <v>97</v>
      </c>
      <c r="AF148" s="168" t="s">
        <v>97</v>
      </c>
      <c r="AG148" s="156">
        <v>11.0</v>
      </c>
    </row>
    <row r="149" ht="15.75" customHeight="1">
      <c r="A149" s="169">
        <v>14.0</v>
      </c>
      <c r="B149" s="168" t="s">
        <v>503</v>
      </c>
      <c r="C149" s="168" t="s">
        <v>95</v>
      </c>
      <c r="D149" s="168" t="s">
        <v>301</v>
      </c>
      <c r="E149" s="169">
        <v>5.4600166307E10</v>
      </c>
      <c r="F149" s="168" t="s">
        <v>97</v>
      </c>
      <c r="G149" s="168" t="s">
        <v>97</v>
      </c>
      <c r="H149" s="168" t="s">
        <v>504</v>
      </c>
      <c r="I149" s="168" t="s">
        <v>114</v>
      </c>
      <c r="J149" s="175">
        <v>45983.0</v>
      </c>
      <c r="K149" s="175">
        <v>46013.99998842592</v>
      </c>
      <c r="L149" s="169">
        <v>4071.0</v>
      </c>
      <c r="M149" s="169">
        <v>27.0</v>
      </c>
      <c r="N149" s="169" t="s">
        <v>109</v>
      </c>
      <c r="O149" s="169">
        <v>0.0</v>
      </c>
      <c r="P149" s="169">
        <v>0.0</v>
      </c>
      <c r="Q149" s="169" t="s">
        <v>143</v>
      </c>
      <c r="R149" s="169" t="s">
        <v>143</v>
      </c>
      <c r="S149" s="169">
        <v>0.0</v>
      </c>
      <c r="T149" s="169">
        <v>0.0</v>
      </c>
      <c r="U149" s="169">
        <v>0.0</v>
      </c>
      <c r="V149" s="169">
        <v>0.0</v>
      </c>
      <c r="W149" s="169">
        <v>0.0</v>
      </c>
      <c r="X149" s="169">
        <v>0.0</v>
      </c>
      <c r="Y149" s="169">
        <v>72693.0</v>
      </c>
      <c r="Z149" s="169">
        <v>0.0</v>
      </c>
      <c r="AA149" s="169">
        <v>0.0</v>
      </c>
      <c r="AB149" s="169" t="s">
        <v>143</v>
      </c>
      <c r="AC149" s="169" t="s">
        <v>143</v>
      </c>
      <c r="AD149" s="168" t="s">
        <v>97</v>
      </c>
      <c r="AE149" s="168" t="s">
        <v>97</v>
      </c>
      <c r="AF149" s="168" t="s">
        <v>97</v>
      </c>
      <c r="AG149" s="156">
        <v>11.0</v>
      </c>
    </row>
    <row r="150" ht="15.75" customHeight="1">
      <c r="A150" s="169">
        <v>15.0</v>
      </c>
      <c r="B150" s="168" t="s">
        <v>154</v>
      </c>
      <c r="C150" s="168" t="s">
        <v>95</v>
      </c>
      <c r="D150" s="168" t="s">
        <v>301</v>
      </c>
      <c r="E150" s="169">
        <v>5.158911395E9</v>
      </c>
      <c r="F150" s="168" t="s">
        <v>97</v>
      </c>
      <c r="G150" s="168" t="s">
        <v>97</v>
      </c>
      <c r="H150" s="168" t="s">
        <v>113</v>
      </c>
      <c r="I150" s="168" t="s">
        <v>114</v>
      </c>
      <c r="J150" s="175">
        <v>45831.0</v>
      </c>
      <c r="K150" s="168" t="s">
        <v>100</v>
      </c>
      <c r="L150" s="169">
        <v>3496.0</v>
      </c>
      <c r="M150" s="169">
        <v>51.0</v>
      </c>
      <c r="N150" s="169" t="s">
        <v>447</v>
      </c>
      <c r="O150" s="169">
        <v>5.0</v>
      </c>
      <c r="P150" s="169">
        <v>5.0</v>
      </c>
      <c r="Q150" s="169" t="s">
        <v>505</v>
      </c>
      <c r="R150" s="169" t="s">
        <v>505</v>
      </c>
      <c r="S150" s="169" t="s">
        <v>506</v>
      </c>
      <c r="T150" s="169" t="s">
        <v>506</v>
      </c>
      <c r="U150" s="169">
        <v>9.0</v>
      </c>
      <c r="V150" s="169">
        <v>9.0</v>
      </c>
      <c r="W150" s="169">
        <v>560000.0</v>
      </c>
      <c r="X150" s="169">
        <v>560000.0</v>
      </c>
      <c r="Y150" s="169">
        <v>154625.0</v>
      </c>
      <c r="Z150" s="169" t="s">
        <v>507</v>
      </c>
      <c r="AA150" s="169" t="s">
        <v>507</v>
      </c>
      <c r="AB150" s="169" t="s">
        <v>508</v>
      </c>
      <c r="AC150" s="169" t="s">
        <v>508</v>
      </c>
      <c r="AD150" s="168" t="s">
        <v>97</v>
      </c>
      <c r="AE150" s="168" t="s">
        <v>97</v>
      </c>
      <c r="AF150" s="168" t="s">
        <v>97</v>
      </c>
      <c r="AG150" s="156">
        <v>11.0</v>
      </c>
    </row>
    <row r="151" ht="15.75" customHeight="1">
      <c r="A151" s="169">
        <v>16.0</v>
      </c>
      <c r="B151" s="168" t="s">
        <v>509</v>
      </c>
      <c r="C151" s="168" t="s">
        <v>95</v>
      </c>
      <c r="D151" s="168" t="s">
        <v>301</v>
      </c>
      <c r="E151" s="169">
        <v>4.1875790937E10</v>
      </c>
      <c r="F151" s="168" t="s">
        <v>97</v>
      </c>
      <c r="G151" s="168" t="s">
        <v>97</v>
      </c>
      <c r="H151" s="168" t="s">
        <v>504</v>
      </c>
      <c r="I151" s="168" t="s">
        <v>114</v>
      </c>
      <c r="J151" s="171">
        <v>45983.0</v>
      </c>
      <c r="K151" s="175">
        <v>46013.99998842592</v>
      </c>
      <c r="L151" s="169">
        <v>3071.0</v>
      </c>
      <c r="M151" s="169">
        <v>39.0</v>
      </c>
      <c r="N151" s="169" t="s">
        <v>510</v>
      </c>
      <c r="O151" s="169">
        <v>0.0</v>
      </c>
      <c r="P151" s="169">
        <v>0.0</v>
      </c>
      <c r="Q151" s="169" t="s">
        <v>143</v>
      </c>
      <c r="R151" s="169" t="s">
        <v>143</v>
      </c>
      <c r="S151" s="169">
        <v>0.0</v>
      </c>
      <c r="T151" s="169">
        <v>0.0</v>
      </c>
      <c r="U151" s="169">
        <v>0.0</v>
      </c>
      <c r="V151" s="169">
        <v>0.0</v>
      </c>
      <c r="W151" s="169">
        <v>0.0</v>
      </c>
      <c r="X151" s="169">
        <v>0.0</v>
      </c>
      <c r="Y151" s="169">
        <v>236505.0</v>
      </c>
      <c r="Z151" s="169">
        <v>0.0</v>
      </c>
      <c r="AA151" s="169">
        <v>0.0</v>
      </c>
      <c r="AB151" s="169" t="s">
        <v>143</v>
      </c>
      <c r="AC151" s="169" t="s">
        <v>143</v>
      </c>
      <c r="AD151" s="168" t="s">
        <v>97</v>
      </c>
      <c r="AE151" s="168" t="s">
        <v>97</v>
      </c>
      <c r="AF151" s="168" t="s">
        <v>97</v>
      </c>
      <c r="AG151" s="156">
        <v>11.0</v>
      </c>
    </row>
    <row r="152" ht="15.75" customHeight="1">
      <c r="A152" s="169">
        <v>17.0</v>
      </c>
      <c r="B152" s="168" t="s">
        <v>511</v>
      </c>
      <c r="C152" s="168" t="s">
        <v>159</v>
      </c>
      <c r="D152" s="168" t="s">
        <v>301</v>
      </c>
      <c r="E152" s="169">
        <v>4.1875790937E10</v>
      </c>
      <c r="F152" s="168" t="s">
        <v>97</v>
      </c>
      <c r="G152" s="168" t="s">
        <v>97</v>
      </c>
      <c r="H152" s="168" t="s">
        <v>176</v>
      </c>
      <c r="I152" s="168" t="s">
        <v>114</v>
      </c>
      <c r="J152" s="170">
        <v>45973.0</v>
      </c>
      <c r="K152" s="168" t="s">
        <v>100</v>
      </c>
      <c r="L152" s="169">
        <v>2326.0</v>
      </c>
      <c r="M152" s="169">
        <v>36.0</v>
      </c>
      <c r="N152" s="169" t="s">
        <v>512</v>
      </c>
      <c r="O152" s="169">
        <v>1.0</v>
      </c>
      <c r="P152" s="169">
        <v>1.0</v>
      </c>
      <c r="Q152" s="169" t="s">
        <v>163</v>
      </c>
      <c r="R152" s="169" t="s">
        <v>163</v>
      </c>
      <c r="S152" s="169" t="s">
        <v>513</v>
      </c>
      <c r="T152" s="169" t="s">
        <v>513</v>
      </c>
      <c r="U152" s="169">
        <v>1.0</v>
      </c>
      <c r="V152" s="169">
        <v>1.0</v>
      </c>
      <c r="W152" s="169">
        <v>1712000.0</v>
      </c>
      <c r="X152" s="169">
        <v>1712000.0</v>
      </c>
      <c r="Y152" s="169">
        <v>178587.0</v>
      </c>
      <c r="Z152" s="169" t="s">
        <v>514</v>
      </c>
      <c r="AA152" s="169" t="s">
        <v>514</v>
      </c>
      <c r="AB152" s="169" t="s">
        <v>515</v>
      </c>
      <c r="AC152" s="169" t="s">
        <v>515</v>
      </c>
      <c r="AD152" s="168" t="s">
        <v>97</v>
      </c>
      <c r="AE152" s="168" t="s">
        <v>97</v>
      </c>
      <c r="AF152" s="168" t="s">
        <v>97</v>
      </c>
      <c r="AG152" s="156">
        <v>11.0</v>
      </c>
    </row>
    <row r="153" ht="15.75" customHeight="1">
      <c r="A153" s="169">
        <v>18.0</v>
      </c>
      <c r="B153" s="168" t="s">
        <v>516</v>
      </c>
      <c r="C153" s="168" t="s">
        <v>159</v>
      </c>
      <c r="D153" s="168" t="s">
        <v>301</v>
      </c>
      <c r="E153" s="169">
        <v>5.3650093246E10</v>
      </c>
      <c r="F153" s="168" t="s">
        <v>97</v>
      </c>
      <c r="G153" s="168" t="s">
        <v>97</v>
      </c>
      <c r="H153" s="168" t="s">
        <v>176</v>
      </c>
      <c r="I153" s="168" t="s">
        <v>114</v>
      </c>
      <c r="J153" s="175">
        <v>45961.0</v>
      </c>
      <c r="K153" s="168" t="s">
        <v>100</v>
      </c>
      <c r="L153" s="169">
        <v>666.0</v>
      </c>
      <c r="M153" s="169">
        <v>6.0</v>
      </c>
      <c r="N153" s="169" t="s">
        <v>517</v>
      </c>
      <c r="O153" s="169">
        <v>0.0</v>
      </c>
      <c r="P153" s="169">
        <v>0.0</v>
      </c>
      <c r="Q153" s="169" t="s">
        <v>143</v>
      </c>
      <c r="R153" s="169" t="s">
        <v>143</v>
      </c>
      <c r="S153" s="169">
        <v>0.0</v>
      </c>
      <c r="T153" s="169">
        <v>0.0</v>
      </c>
      <c r="U153" s="169">
        <v>0.0</v>
      </c>
      <c r="V153" s="169">
        <v>0.0</v>
      </c>
      <c r="W153" s="169">
        <v>0.0</v>
      </c>
      <c r="X153" s="169">
        <v>0.0</v>
      </c>
      <c r="Y153" s="169">
        <v>17977.0</v>
      </c>
      <c r="Z153" s="169">
        <v>0.0</v>
      </c>
      <c r="AA153" s="169">
        <v>0.0</v>
      </c>
      <c r="AB153" s="169" t="s">
        <v>143</v>
      </c>
      <c r="AC153" s="169" t="s">
        <v>143</v>
      </c>
      <c r="AD153" s="168" t="s">
        <v>97</v>
      </c>
      <c r="AE153" s="168" t="s">
        <v>97</v>
      </c>
      <c r="AF153" s="168" t="s">
        <v>97</v>
      </c>
      <c r="AG153" s="156">
        <v>11.0</v>
      </c>
    </row>
    <row r="154" ht="15.75" customHeight="1">
      <c r="A154" s="169">
        <v>19.0</v>
      </c>
      <c r="B154" s="168" t="s">
        <v>518</v>
      </c>
      <c r="C154" s="168" t="s">
        <v>159</v>
      </c>
      <c r="D154" s="168" t="s">
        <v>301</v>
      </c>
      <c r="E154" s="169">
        <v>4.595012371E10</v>
      </c>
      <c r="F154" s="168" t="s">
        <v>97</v>
      </c>
      <c r="G154" s="168" t="s">
        <v>97</v>
      </c>
      <c r="H154" s="168" t="s">
        <v>176</v>
      </c>
      <c r="I154" s="168" t="s">
        <v>114</v>
      </c>
      <c r="J154" s="175">
        <v>45961.0</v>
      </c>
      <c r="K154" s="168" t="s">
        <v>100</v>
      </c>
      <c r="L154" s="169">
        <v>261.0</v>
      </c>
      <c r="M154" s="169">
        <v>2.0</v>
      </c>
      <c r="N154" s="169" t="s">
        <v>519</v>
      </c>
      <c r="O154" s="169">
        <v>0.0</v>
      </c>
      <c r="P154" s="169">
        <v>0.0</v>
      </c>
      <c r="Q154" s="169" t="s">
        <v>143</v>
      </c>
      <c r="R154" s="169" t="s">
        <v>143</v>
      </c>
      <c r="S154" s="169">
        <v>0.0</v>
      </c>
      <c r="T154" s="169">
        <v>0.0</v>
      </c>
      <c r="U154" s="169">
        <v>0.0</v>
      </c>
      <c r="V154" s="169">
        <v>0.0</v>
      </c>
      <c r="W154" s="169">
        <v>0.0</v>
      </c>
      <c r="X154" s="169">
        <v>0.0</v>
      </c>
      <c r="Y154" s="169">
        <v>17828.0</v>
      </c>
      <c r="Z154" s="169">
        <v>0.0</v>
      </c>
      <c r="AA154" s="169">
        <v>0.0</v>
      </c>
      <c r="AB154" s="169" t="s">
        <v>143</v>
      </c>
      <c r="AC154" s="169" t="s">
        <v>143</v>
      </c>
      <c r="AD154" s="168" t="s">
        <v>97</v>
      </c>
      <c r="AE154" s="168" t="s">
        <v>97</v>
      </c>
      <c r="AF154" s="168" t="s">
        <v>97</v>
      </c>
      <c r="AG154" s="156">
        <v>11.0</v>
      </c>
    </row>
    <row r="155" ht="15.75" customHeight="1">
      <c r="A155" s="169">
        <v>20.0</v>
      </c>
      <c r="B155" s="168" t="s">
        <v>520</v>
      </c>
      <c r="C155" s="168" t="s">
        <v>159</v>
      </c>
      <c r="D155" s="168" t="s">
        <v>301</v>
      </c>
      <c r="E155" s="169">
        <v>5.2250090883E10</v>
      </c>
      <c r="F155" s="168" t="s">
        <v>97</v>
      </c>
      <c r="G155" s="168" t="s">
        <v>97</v>
      </c>
      <c r="H155" s="168" t="s">
        <v>176</v>
      </c>
      <c r="I155" s="168" t="s">
        <v>114</v>
      </c>
      <c r="J155" s="171">
        <v>45961.0</v>
      </c>
      <c r="K155" s="168" t="s">
        <v>100</v>
      </c>
      <c r="L155" s="169">
        <v>213.0</v>
      </c>
      <c r="M155" s="169">
        <v>1.0</v>
      </c>
      <c r="N155" s="169" t="s">
        <v>160</v>
      </c>
      <c r="O155" s="169">
        <v>0.0</v>
      </c>
      <c r="P155" s="169">
        <v>0.0</v>
      </c>
      <c r="Q155" s="169" t="s">
        <v>143</v>
      </c>
      <c r="R155" s="169" t="s">
        <v>143</v>
      </c>
      <c r="S155" s="169">
        <v>0.0</v>
      </c>
      <c r="T155" s="169">
        <v>0.0</v>
      </c>
      <c r="U155" s="169">
        <v>0.0</v>
      </c>
      <c r="V155" s="169">
        <v>0.0</v>
      </c>
      <c r="W155" s="169">
        <v>0.0</v>
      </c>
      <c r="X155" s="169">
        <v>0.0</v>
      </c>
      <c r="Y155" s="169">
        <v>753.0</v>
      </c>
      <c r="Z155" s="169">
        <v>0.0</v>
      </c>
      <c r="AA155" s="169">
        <v>0.0</v>
      </c>
      <c r="AB155" s="169" t="s">
        <v>143</v>
      </c>
      <c r="AC155" s="169" t="s">
        <v>143</v>
      </c>
      <c r="AD155" s="168" t="s">
        <v>97</v>
      </c>
      <c r="AE155" s="168" t="s">
        <v>97</v>
      </c>
      <c r="AF155" s="168" t="s">
        <v>97</v>
      </c>
      <c r="AG155" s="156">
        <v>11.0</v>
      </c>
    </row>
    <row r="156" ht="15.75" customHeight="1">
      <c r="A156" s="169">
        <v>21.0</v>
      </c>
      <c r="B156" s="168" t="s">
        <v>521</v>
      </c>
      <c r="C156" s="168" t="s">
        <v>159</v>
      </c>
      <c r="D156" s="168" t="s">
        <v>301</v>
      </c>
      <c r="E156" s="169">
        <v>4.1875790937E10</v>
      </c>
      <c r="F156" s="168" t="s">
        <v>97</v>
      </c>
      <c r="G156" s="168" t="s">
        <v>97</v>
      </c>
      <c r="H156" s="168" t="s">
        <v>176</v>
      </c>
      <c r="I156" s="168" t="s">
        <v>114</v>
      </c>
      <c r="J156" s="171">
        <v>45961.0</v>
      </c>
      <c r="K156" s="168" t="s">
        <v>100</v>
      </c>
      <c r="L156" s="169">
        <v>137.0</v>
      </c>
      <c r="M156" s="169">
        <v>0.0</v>
      </c>
      <c r="N156" s="169" t="s">
        <v>143</v>
      </c>
      <c r="O156" s="169">
        <v>0.0</v>
      </c>
      <c r="P156" s="169">
        <v>0.0</v>
      </c>
      <c r="Q156" s="169" t="s">
        <v>143</v>
      </c>
      <c r="R156" s="169" t="s">
        <v>143</v>
      </c>
      <c r="S156" s="169">
        <v>0.0</v>
      </c>
      <c r="T156" s="169">
        <v>0.0</v>
      </c>
      <c r="U156" s="169">
        <v>0.0</v>
      </c>
      <c r="V156" s="169">
        <v>0.0</v>
      </c>
      <c r="W156" s="169">
        <v>0.0</v>
      </c>
      <c r="X156" s="169">
        <v>0.0</v>
      </c>
      <c r="Y156" s="169">
        <v>0.0</v>
      </c>
      <c r="Z156" s="169">
        <v>0.0</v>
      </c>
      <c r="AA156" s="169">
        <v>0.0</v>
      </c>
      <c r="AB156" s="169" t="s">
        <v>143</v>
      </c>
      <c r="AC156" s="169" t="s">
        <v>143</v>
      </c>
      <c r="AD156" s="168" t="s">
        <v>97</v>
      </c>
      <c r="AE156" s="168" t="s">
        <v>97</v>
      </c>
      <c r="AF156" s="168" t="s">
        <v>97</v>
      </c>
      <c r="AG156" s="156">
        <v>11.0</v>
      </c>
    </row>
    <row r="157" ht="15.75" customHeight="1">
      <c r="A157" s="169">
        <v>22.0</v>
      </c>
      <c r="B157" s="168" t="s">
        <v>177</v>
      </c>
      <c r="C157" s="168" t="s">
        <v>159</v>
      </c>
      <c r="D157" s="168" t="s">
        <v>301</v>
      </c>
      <c r="E157" s="169">
        <v>2.4867724627E10</v>
      </c>
      <c r="F157" s="168" t="s">
        <v>134</v>
      </c>
      <c r="G157" s="168" t="s">
        <v>97</v>
      </c>
      <c r="H157" s="168" t="s">
        <v>135</v>
      </c>
      <c r="I157" s="168" t="s">
        <v>136</v>
      </c>
      <c r="J157" s="170">
        <v>45785.0</v>
      </c>
      <c r="K157" s="168" t="s">
        <v>100</v>
      </c>
      <c r="L157" s="169">
        <v>129.0</v>
      </c>
      <c r="M157" s="169">
        <v>1.0</v>
      </c>
      <c r="N157" s="169" t="s">
        <v>522</v>
      </c>
      <c r="O157" s="169">
        <v>0.0</v>
      </c>
      <c r="P157" s="169">
        <v>0.0</v>
      </c>
      <c r="Q157" s="169" t="s">
        <v>143</v>
      </c>
      <c r="R157" s="169" t="s">
        <v>143</v>
      </c>
      <c r="S157" s="169">
        <v>0.0</v>
      </c>
      <c r="T157" s="169">
        <v>0.0</v>
      </c>
      <c r="U157" s="169">
        <v>0.0</v>
      </c>
      <c r="V157" s="169">
        <v>0.0</v>
      </c>
      <c r="W157" s="169">
        <v>0.0</v>
      </c>
      <c r="X157" s="169">
        <v>0.0</v>
      </c>
      <c r="Y157" s="169">
        <v>19115.0</v>
      </c>
      <c r="Z157" s="169">
        <v>0.0</v>
      </c>
      <c r="AA157" s="169">
        <v>0.0</v>
      </c>
      <c r="AB157" s="169" t="s">
        <v>143</v>
      </c>
      <c r="AC157" s="169" t="s">
        <v>143</v>
      </c>
      <c r="AD157" s="168" t="s">
        <v>97</v>
      </c>
      <c r="AE157" s="168" t="s">
        <v>97</v>
      </c>
      <c r="AF157" s="168" t="s">
        <v>97</v>
      </c>
      <c r="AG157" s="156">
        <v>11.0</v>
      </c>
    </row>
    <row r="158" ht="15.75" customHeight="1">
      <c r="A158" s="169">
        <v>23.0</v>
      </c>
      <c r="B158" s="168" t="s">
        <v>415</v>
      </c>
      <c r="C158" s="168" t="s">
        <v>159</v>
      </c>
      <c r="D158" s="168" t="s">
        <v>301</v>
      </c>
      <c r="E158" s="169">
        <v>2.1287412861E10</v>
      </c>
      <c r="F158" s="168" t="s">
        <v>97</v>
      </c>
      <c r="G158" s="168" t="s">
        <v>97</v>
      </c>
      <c r="H158" s="168" t="s">
        <v>176</v>
      </c>
      <c r="I158" s="168" t="s">
        <v>114</v>
      </c>
      <c r="J158" s="170">
        <v>45784.0</v>
      </c>
      <c r="K158" s="168" t="s">
        <v>100</v>
      </c>
      <c r="L158" s="169">
        <v>70.0</v>
      </c>
      <c r="M158" s="169">
        <v>1.0</v>
      </c>
      <c r="N158" s="169" t="s">
        <v>523</v>
      </c>
      <c r="O158" s="169">
        <v>0.0</v>
      </c>
      <c r="P158" s="169">
        <v>0.0</v>
      </c>
      <c r="Q158" s="169" t="s">
        <v>143</v>
      </c>
      <c r="R158" s="169" t="s">
        <v>143</v>
      </c>
      <c r="S158" s="169">
        <v>0.0</v>
      </c>
      <c r="T158" s="169">
        <v>0.0</v>
      </c>
      <c r="U158" s="169">
        <v>0.0</v>
      </c>
      <c r="V158" s="169">
        <v>0.0</v>
      </c>
      <c r="W158" s="169">
        <v>0.0</v>
      </c>
      <c r="X158" s="169">
        <v>0.0</v>
      </c>
      <c r="Y158" s="169">
        <v>868.0</v>
      </c>
      <c r="Z158" s="169">
        <v>0.0</v>
      </c>
      <c r="AA158" s="169">
        <v>0.0</v>
      </c>
      <c r="AB158" s="169" t="s">
        <v>143</v>
      </c>
      <c r="AC158" s="169" t="s">
        <v>143</v>
      </c>
      <c r="AD158" s="168" t="s">
        <v>97</v>
      </c>
      <c r="AE158" s="168" t="s">
        <v>97</v>
      </c>
      <c r="AF158" s="168" t="s">
        <v>97</v>
      </c>
      <c r="AG158" s="156">
        <v>11.0</v>
      </c>
    </row>
    <row r="159" ht="15.75" customHeight="1">
      <c r="AG159" s="156">
        <v>11.0</v>
      </c>
    </row>
    <row r="160" ht="15.75" customHeight="1">
      <c r="AG160" s="156"/>
    </row>
    <row r="161" ht="15.75" customHeight="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c r="AG161" s="167"/>
    </row>
    <row r="162" ht="15.75" customHeight="1">
      <c r="A162" s="168" t="s">
        <v>289</v>
      </c>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c r="AB162" s="168"/>
      <c r="AC162" s="168"/>
      <c r="AD162" s="168"/>
      <c r="AE162" s="168"/>
      <c r="AF162" s="168"/>
      <c r="AG162" s="156"/>
    </row>
    <row r="163" ht="15.75" customHeight="1">
      <c r="A163" s="168" t="s">
        <v>54</v>
      </c>
      <c r="B163" s="168" t="s">
        <v>55</v>
      </c>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c r="AB163" s="168"/>
      <c r="AC163" s="168"/>
      <c r="AD163" s="168"/>
      <c r="AE163" s="168"/>
      <c r="AF163" s="168"/>
      <c r="AG163" s="156"/>
    </row>
    <row r="164" ht="15.75" customHeight="1">
      <c r="A164" s="168" t="s">
        <v>56</v>
      </c>
      <c r="B164" s="168" t="s">
        <v>57</v>
      </c>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c r="AB164" s="168"/>
      <c r="AC164" s="168"/>
      <c r="AD164" s="168"/>
      <c r="AE164" s="168"/>
      <c r="AF164" s="168"/>
      <c r="AG164" s="156"/>
    </row>
    <row r="165" ht="15.75" customHeight="1">
      <c r="A165" s="168" t="s">
        <v>58</v>
      </c>
      <c r="B165" s="169">
        <v>2.27240948E8</v>
      </c>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c r="AB165" s="168"/>
      <c r="AC165" s="168"/>
      <c r="AD165" s="168"/>
      <c r="AE165" s="168"/>
      <c r="AF165" s="168"/>
      <c r="AG165" s="156"/>
    </row>
    <row r="166" ht="15.75" customHeight="1">
      <c r="A166" s="168" t="s">
        <v>59</v>
      </c>
      <c r="B166" s="170">
        <v>46024.37430555555</v>
      </c>
      <c r="C166" s="171"/>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c r="AB166" s="168"/>
      <c r="AC166" s="168"/>
      <c r="AD166" s="168"/>
      <c r="AE166" s="168"/>
      <c r="AF166" s="168"/>
      <c r="AG166" s="156"/>
    </row>
    <row r="167" ht="15.75" customHeight="1">
      <c r="A167" s="168" t="s">
        <v>60</v>
      </c>
      <c r="B167" s="168" t="s">
        <v>524</v>
      </c>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c r="AB167" s="168"/>
      <c r="AC167" s="168"/>
      <c r="AD167" s="168"/>
      <c r="AE167" s="168"/>
      <c r="AF167" s="168"/>
      <c r="AG167" s="156"/>
    </row>
    <row r="168" ht="15.75" customHeight="1">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53">
        <f>SUM(W170:W186)</f>
        <v>60328567</v>
      </c>
      <c r="X168" s="153"/>
      <c r="Y168" s="153">
        <f>SUM(Y170:Y186)</f>
        <v>8399114</v>
      </c>
      <c r="Z168" s="149"/>
      <c r="AA168" s="149"/>
      <c r="AB168" s="149"/>
      <c r="AC168" s="149"/>
      <c r="AD168" s="149"/>
      <c r="AE168" s="149"/>
      <c r="AF168" s="149"/>
      <c r="AG168" s="156"/>
    </row>
    <row r="169" ht="15.75" customHeight="1">
      <c r="A169" s="168" t="s">
        <v>62</v>
      </c>
      <c r="B169" s="168" t="s">
        <v>291</v>
      </c>
      <c r="C169" s="168" t="s">
        <v>64</v>
      </c>
      <c r="D169" s="168" t="s">
        <v>292</v>
      </c>
      <c r="E169" s="168" t="s">
        <v>66</v>
      </c>
      <c r="F169" s="168" t="s">
        <v>67</v>
      </c>
      <c r="G169" s="168" t="s">
        <v>293</v>
      </c>
      <c r="H169" s="168" t="s">
        <v>69</v>
      </c>
      <c r="I169" s="168" t="s">
        <v>70</v>
      </c>
      <c r="J169" s="168" t="s">
        <v>71</v>
      </c>
      <c r="K169" s="168" t="s">
        <v>72</v>
      </c>
      <c r="L169" s="168" t="s">
        <v>73</v>
      </c>
      <c r="M169" s="168" t="s">
        <v>74</v>
      </c>
      <c r="N169" s="168" t="s">
        <v>75</v>
      </c>
      <c r="O169" s="168" t="s">
        <v>76</v>
      </c>
      <c r="P169" s="168" t="s">
        <v>77</v>
      </c>
      <c r="Q169" s="168" t="s">
        <v>78</v>
      </c>
      <c r="R169" s="168" t="s">
        <v>79</v>
      </c>
      <c r="S169" s="168" t="s">
        <v>80</v>
      </c>
      <c r="T169" s="168" t="s">
        <v>81</v>
      </c>
      <c r="U169" s="168" t="s">
        <v>82</v>
      </c>
      <c r="V169" s="168" t="s">
        <v>83</v>
      </c>
      <c r="W169" s="168" t="s">
        <v>84</v>
      </c>
      <c r="X169" s="168" t="s">
        <v>85</v>
      </c>
      <c r="Y169" s="168" t="s">
        <v>86</v>
      </c>
      <c r="Z169" s="168" t="s">
        <v>20</v>
      </c>
      <c r="AA169" s="168" t="s">
        <v>87</v>
      </c>
      <c r="AB169" s="168" t="s">
        <v>88</v>
      </c>
      <c r="AC169" s="168" t="s">
        <v>89</v>
      </c>
      <c r="AD169" s="168" t="s">
        <v>90</v>
      </c>
      <c r="AE169" s="168" t="s">
        <v>91</v>
      </c>
      <c r="AF169" s="168" t="s">
        <v>92</v>
      </c>
      <c r="AG169" s="156"/>
    </row>
    <row r="170" ht="15.75" customHeight="1">
      <c r="A170" s="169">
        <v>1.0</v>
      </c>
      <c r="B170" s="168" t="s">
        <v>94</v>
      </c>
      <c r="C170" s="168" t="s">
        <v>159</v>
      </c>
      <c r="D170" s="168" t="s">
        <v>294</v>
      </c>
      <c r="E170" s="168" t="s">
        <v>97</v>
      </c>
      <c r="F170" s="168" t="s">
        <v>97</v>
      </c>
      <c r="G170" s="168" t="s">
        <v>98</v>
      </c>
      <c r="H170" s="168" t="s">
        <v>99</v>
      </c>
      <c r="I170" s="168" t="s">
        <v>97</v>
      </c>
      <c r="J170" s="170">
        <v>45784.0</v>
      </c>
      <c r="K170" s="168" t="s">
        <v>100</v>
      </c>
      <c r="L170" s="169">
        <v>880.0</v>
      </c>
      <c r="M170" s="169">
        <v>175.0</v>
      </c>
      <c r="N170" s="169" t="s">
        <v>525</v>
      </c>
      <c r="O170" s="169">
        <v>0.0</v>
      </c>
      <c r="P170" s="169">
        <v>0.0</v>
      </c>
      <c r="Q170" s="169" t="s">
        <v>143</v>
      </c>
      <c r="R170" s="169" t="s">
        <v>143</v>
      </c>
      <c r="S170" s="169">
        <v>0.0</v>
      </c>
      <c r="T170" s="169">
        <v>0.0</v>
      </c>
      <c r="U170" s="169">
        <v>0.0</v>
      </c>
      <c r="V170" s="169">
        <v>0.0</v>
      </c>
      <c r="W170" s="169">
        <v>0.0</v>
      </c>
      <c r="X170" s="169">
        <v>0.0</v>
      </c>
      <c r="Y170" s="169">
        <v>260858.0</v>
      </c>
      <c r="Z170" s="169">
        <v>0.0</v>
      </c>
      <c r="AA170" s="169">
        <v>0.0</v>
      </c>
      <c r="AB170" s="169" t="s">
        <v>143</v>
      </c>
      <c r="AC170" s="169" t="s">
        <v>143</v>
      </c>
      <c r="AD170" s="169">
        <v>3454.0</v>
      </c>
      <c r="AE170" s="169">
        <v>6.0</v>
      </c>
      <c r="AF170" s="169" t="s">
        <v>526</v>
      </c>
      <c r="AG170" s="156">
        <v>12.0</v>
      </c>
    </row>
    <row r="171" ht="15.75" customHeight="1">
      <c r="A171" s="169">
        <v>2.0</v>
      </c>
      <c r="B171" s="168" t="s">
        <v>253</v>
      </c>
      <c r="C171" s="168" t="s">
        <v>288</v>
      </c>
      <c r="D171" s="168" t="s">
        <v>301</v>
      </c>
      <c r="E171" s="169">
        <v>3.934257539E9</v>
      </c>
      <c r="F171" s="168" t="s">
        <v>97</v>
      </c>
      <c r="G171" s="168" t="s">
        <v>97</v>
      </c>
      <c r="H171" s="168" t="s">
        <v>113</v>
      </c>
      <c r="I171" s="168" t="s">
        <v>114</v>
      </c>
      <c r="J171" s="171">
        <v>45954.0</v>
      </c>
      <c r="K171" s="175">
        <v>46022.99998842592</v>
      </c>
      <c r="L171" s="169">
        <v>8539.0</v>
      </c>
      <c r="M171" s="169">
        <v>113.0</v>
      </c>
      <c r="N171" s="169" t="s">
        <v>527</v>
      </c>
      <c r="O171" s="169">
        <v>9.0</v>
      </c>
      <c r="P171" s="169">
        <v>3.0</v>
      </c>
      <c r="Q171" s="169" t="s">
        <v>528</v>
      </c>
      <c r="R171" s="169" t="s">
        <v>411</v>
      </c>
      <c r="S171" s="169" t="s">
        <v>529</v>
      </c>
      <c r="T171" s="169" t="s">
        <v>530</v>
      </c>
      <c r="U171" s="169">
        <v>10.0</v>
      </c>
      <c r="V171" s="169">
        <v>4.0</v>
      </c>
      <c r="W171" s="169">
        <v>4869412.0</v>
      </c>
      <c r="X171" s="169">
        <v>3439914.0</v>
      </c>
      <c r="Y171" s="169">
        <v>562106.0</v>
      </c>
      <c r="Z171" s="169" t="s">
        <v>531</v>
      </c>
      <c r="AA171" s="176">
        <v>46362.0</v>
      </c>
      <c r="AB171" s="169" t="s">
        <v>532</v>
      </c>
      <c r="AC171" s="169" t="s">
        <v>533</v>
      </c>
      <c r="AD171" s="168" t="s">
        <v>97</v>
      </c>
      <c r="AE171" s="168" t="s">
        <v>97</v>
      </c>
      <c r="AF171" s="168" t="s">
        <v>97</v>
      </c>
      <c r="AG171" s="156">
        <v>12.0</v>
      </c>
    </row>
    <row r="172" ht="15.75" customHeight="1">
      <c r="A172" s="169">
        <v>3.0</v>
      </c>
      <c r="B172" s="168" t="s">
        <v>337</v>
      </c>
      <c r="C172" s="168" t="s">
        <v>95</v>
      </c>
      <c r="D172" s="168" t="s">
        <v>301</v>
      </c>
      <c r="E172" s="169">
        <v>2.5666719442E10</v>
      </c>
      <c r="F172" s="168" t="s">
        <v>97</v>
      </c>
      <c r="G172" s="168" t="s">
        <v>97</v>
      </c>
      <c r="H172" s="168" t="s">
        <v>176</v>
      </c>
      <c r="I172" s="168" t="s">
        <v>114</v>
      </c>
      <c r="J172" s="172">
        <v>45923.0</v>
      </c>
      <c r="K172" s="168" t="s">
        <v>100</v>
      </c>
      <c r="L172" s="169">
        <v>56072.0</v>
      </c>
      <c r="M172" s="169">
        <v>696.0</v>
      </c>
      <c r="N172" s="169" t="s">
        <v>534</v>
      </c>
      <c r="O172" s="169">
        <v>37.0</v>
      </c>
      <c r="P172" s="169">
        <v>18.0</v>
      </c>
      <c r="Q172" s="169" t="s">
        <v>535</v>
      </c>
      <c r="R172" s="169" t="s">
        <v>536</v>
      </c>
      <c r="S172" s="169" t="s">
        <v>537</v>
      </c>
      <c r="T172" s="169" t="s">
        <v>538</v>
      </c>
      <c r="U172" s="169">
        <v>45.0</v>
      </c>
      <c r="V172" s="169">
        <v>25.0</v>
      </c>
      <c r="W172" s="169">
        <v>2.682261E7</v>
      </c>
      <c r="X172" s="169">
        <v>2.1484697E7</v>
      </c>
      <c r="Y172" s="169">
        <v>3134195.0</v>
      </c>
      <c r="Z172" s="169" t="s">
        <v>539</v>
      </c>
      <c r="AA172" s="169" t="s">
        <v>540</v>
      </c>
      <c r="AB172" s="169" t="s">
        <v>541</v>
      </c>
      <c r="AC172" s="169" t="s">
        <v>542</v>
      </c>
      <c r="AD172" s="168" t="s">
        <v>97</v>
      </c>
      <c r="AE172" s="168" t="s">
        <v>97</v>
      </c>
      <c r="AF172" s="168" t="s">
        <v>97</v>
      </c>
      <c r="AG172" s="156">
        <v>12.0</v>
      </c>
    </row>
    <row r="173" ht="15.75" customHeight="1">
      <c r="A173" s="169">
        <v>4.0</v>
      </c>
      <c r="B173" s="168" t="s">
        <v>543</v>
      </c>
      <c r="C173" s="168" t="s">
        <v>95</v>
      </c>
      <c r="D173" s="168" t="s">
        <v>301</v>
      </c>
      <c r="E173" s="169">
        <v>4.2625807818E10</v>
      </c>
      <c r="F173" s="168" t="s">
        <v>97</v>
      </c>
      <c r="G173" s="168" t="s">
        <v>97</v>
      </c>
      <c r="H173" s="168" t="s">
        <v>176</v>
      </c>
      <c r="I173" s="168" t="s">
        <v>114</v>
      </c>
      <c r="J173" s="172">
        <v>45961.0</v>
      </c>
      <c r="K173" s="168" t="s">
        <v>100</v>
      </c>
      <c r="L173" s="169">
        <v>25251.0</v>
      </c>
      <c r="M173" s="169">
        <v>227.0</v>
      </c>
      <c r="N173" s="169" t="s">
        <v>517</v>
      </c>
      <c r="O173" s="169">
        <v>10.0</v>
      </c>
      <c r="P173" s="169">
        <v>0.0</v>
      </c>
      <c r="Q173" s="169" t="s">
        <v>207</v>
      </c>
      <c r="R173" s="169" t="s">
        <v>143</v>
      </c>
      <c r="S173" s="169" t="s">
        <v>544</v>
      </c>
      <c r="T173" s="169">
        <v>0.0</v>
      </c>
      <c r="U173" s="169">
        <v>11.0</v>
      </c>
      <c r="V173" s="169">
        <v>0.0</v>
      </c>
      <c r="W173" s="169">
        <v>6236994.0</v>
      </c>
      <c r="X173" s="169">
        <v>0.0</v>
      </c>
      <c r="Y173" s="169">
        <v>644690.0</v>
      </c>
      <c r="Z173" s="169" t="s">
        <v>545</v>
      </c>
      <c r="AA173" s="169">
        <v>0.0</v>
      </c>
      <c r="AB173" s="169" t="s">
        <v>546</v>
      </c>
      <c r="AC173" s="169" t="s">
        <v>143</v>
      </c>
      <c r="AD173" s="168" t="s">
        <v>97</v>
      </c>
      <c r="AE173" s="168" t="s">
        <v>97</v>
      </c>
      <c r="AF173" s="168" t="s">
        <v>97</v>
      </c>
      <c r="AG173" s="156">
        <v>12.0</v>
      </c>
    </row>
    <row r="174" ht="15.75" customHeight="1">
      <c r="A174" s="169">
        <v>5.0</v>
      </c>
      <c r="B174" s="168" t="s">
        <v>474</v>
      </c>
      <c r="C174" s="168" t="s">
        <v>95</v>
      </c>
      <c r="D174" s="168" t="s">
        <v>301</v>
      </c>
      <c r="E174" s="169">
        <v>2.4867724627E10</v>
      </c>
      <c r="F174" s="168" t="s">
        <v>97</v>
      </c>
      <c r="G174" s="168" t="s">
        <v>97</v>
      </c>
      <c r="H174" s="168" t="s">
        <v>176</v>
      </c>
      <c r="I174" s="168" t="s">
        <v>114</v>
      </c>
      <c r="J174" s="177">
        <v>45972.0</v>
      </c>
      <c r="K174" s="168" t="s">
        <v>100</v>
      </c>
      <c r="L174" s="169">
        <v>13310.0</v>
      </c>
      <c r="M174" s="169">
        <v>110.0</v>
      </c>
      <c r="N174" s="169" t="s">
        <v>547</v>
      </c>
      <c r="O174" s="169">
        <v>9.0</v>
      </c>
      <c r="P174" s="169">
        <v>2.0</v>
      </c>
      <c r="Q174" s="169" t="s">
        <v>281</v>
      </c>
      <c r="R174" s="169" t="s">
        <v>548</v>
      </c>
      <c r="S174" s="169" t="s">
        <v>549</v>
      </c>
      <c r="T174" s="169" t="s">
        <v>550</v>
      </c>
      <c r="U174" s="169">
        <v>9.0</v>
      </c>
      <c r="V174" s="169">
        <v>2.0</v>
      </c>
      <c r="W174" s="169">
        <v>2733845.0</v>
      </c>
      <c r="X174" s="169">
        <v>1465727.0</v>
      </c>
      <c r="Y174" s="169">
        <v>226822.0</v>
      </c>
      <c r="Z174" s="176">
        <v>46154.0</v>
      </c>
      <c r="AA174" s="169" t="s">
        <v>551</v>
      </c>
      <c r="AB174" s="169" t="s">
        <v>552</v>
      </c>
      <c r="AC174" s="169" t="s">
        <v>553</v>
      </c>
      <c r="AD174" s="168" t="s">
        <v>97</v>
      </c>
      <c r="AE174" s="168" t="s">
        <v>97</v>
      </c>
      <c r="AF174" s="168" t="s">
        <v>97</v>
      </c>
      <c r="AG174" s="156">
        <v>12.0</v>
      </c>
    </row>
    <row r="175" ht="15.75" customHeight="1">
      <c r="A175" s="169">
        <v>6.0</v>
      </c>
      <c r="B175" s="168" t="s">
        <v>154</v>
      </c>
      <c r="C175" s="168" t="s">
        <v>95</v>
      </c>
      <c r="D175" s="168" t="s">
        <v>301</v>
      </c>
      <c r="E175" s="169">
        <v>5.158911395E9</v>
      </c>
      <c r="F175" s="168" t="s">
        <v>97</v>
      </c>
      <c r="G175" s="168" t="s">
        <v>97</v>
      </c>
      <c r="H175" s="168" t="s">
        <v>113</v>
      </c>
      <c r="I175" s="168" t="s">
        <v>114</v>
      </c>
      <c r="J175" s="175">
        <v>45831.0</v>
      </c>
      <c r="K175" s="168" t="s">
        <v>100</v>
      </c>
      <c r="L175" s="169">
        <v>7474.0</v>
      </c>
      <c r="M175" s="169">
        <v>97.0</v>
      </c>
      <c r="N175" s="169" t="s">
        <v>255</v>
      </c>
      <c r="O175" s="169">
        <v>14.0</v>
      </c>
      <c r="P175" s="169">
        <v>10.0</v>
      </c>
      <c r="Q175" s="169" t="s">
        <v>554</v>
      </c>
      <c r="R175" s="169" t="s">
        <v>555</v>
      </c>
      <c r="S175" s="169" t="s">
        <v>556</v>
      </c>
      <c r="T175" s="169" t="s">
        <v>557</v>
      </c>
      <c r="U175" s="169">
        <v>31.0</v>
      </c>
      <c r="V175" s="169">
        <v>27.0</v>
      </c>
      <c r="W175" s="169">
        <v>1660000.0</v>
      </c>
      <c r="X175" s="169">
        <v>1660000.0</v>
      </c>
      <c r="Y175" s="169">
        <v>321889.0</v>
      </c>
      <c r="Z175" s="169" t="s">
        <v>558</v>
      </c>
      <c r="AA175" s="169" t="s">
        <v>558</v>
      </c>
      <c r="AB175" s="169" t="s">
        <v>559</v>
      </c>
      <c r="AC175" s="169" t="s">
        <v>559</v>
      </c>
      <c r="AD175" s="168" t="s">
        <v>97</v>
      </c>
      <c r="AE175" s="168" t="s">
        <v>97</v>
      </c>
      <c r="AF175" s="168" t="s">
        <v>97</v>
      </c>
      <c r="AG175" s="156">
        <v>12.0</v>
      </c>
    </row>
    <row r="176" ht="15.75" customHeight="1">
      <c r="A176" s="169">
        <v>7.0</v>
      </c>
      <c r="B176" s="168" t="s">
        <v>560</v>
      </c>
      <c r="C176" s="168" t="s">
        <v>159</v>
      </c>
      <c r="D176" s="168" t="s">
        <v>301</v>
      </c>
      <c r="E176" s="169">
        <v>8.782633181E9</v>
      </c>
      <c r="F176" s="168" t="s">
        <v>97</v>
      </c>
      <c r="G176" s="168" t="s">
        <v>97</v>
      </c>
      <c r="H176" s="168" t="s">
        <v>113</v>
      </c>
      <c r="I176" s="168" t="s">
        <v>114</v>
      </c>
      <c r="J176" s="174">
        <v>45660.0</v>
      </c>
      <c r="K176" s="168" t="s">
        <v>100</v>
      </c>
      <c r="L176" s="169">
        <v>7579.0</v>
      </c>
      <c r="M176" s="169">
        <v>61.0</v>
      </c>
      <c r="N176" s="169" t="s">
        <v>287</v>
      </c>
      <c r="O176" s="169">
        <v>4.0</v>
      </c>
      <c r="P176" s="169">
        <v>3.0</v>
      </c>
      <c r="Q176" s="169" t="s">
        <v>561</v>
      </c>
      <c r="R176" s="169" t="s">
        <v>562</v>
      </c>
      <c r="S176" s="169" t="s">
        <v>563</v>
      </c>
      <c r="T176" s="169" t="s">
        <v>564</v>
      </c>
      <c r="U176" s="169">
        <v>4.0</v>
      </c>
      <c r="V176" s="169">
        <v>3.0</v>
      </c>
      <c r="W176" s="169">
        <v>3118497.0</v>
      </c>
      <c r="X176" s="169">
        <v>3118497.0</v>
      </c>
      <c r="Y176" s="169">
        <v>262038.0</v>
      </c>
      <c r="Z176" s="176">
        <v>46276.0</v>
      </c>
      <c r="AA176" s="176">
        <v>46276.0</v>
      </c>
      <c r="AB176" s="169" t="s">
        <v>565</v>
      </c>
      <c r="AC176" s="169" t="s">
        <v>565</v>
      </c>
      <c r="AD176" s="168" t="s">
        <v>97</v>
      </c>
      <c r="AE176" s="168" t="s">
        <v>97</v>
      </c>
      <c r="AF176" s="168" t="s">
        <v>97</v>
      </c>
      <c r="AG176" s="156">
        <v>12.0</v>
      </c>
    </row>
    <row r="177" ht="15.75" customHeight="1">
      <c r="A177" s="169">
        <v>8.0</v>
      </c>
      <c r="B177" s="168" t="s">
        <v>120</v>
      </c>
      <c r="C177" s="168" t="s">
        <v>159</v>
      </c>
      <c r="D177" s="168" t="s">
        <v>301</v>
      </c>
      <c r="E177" s="169">
        <v>5.219966803E9</v>
      </c>
      <c r="F177" s="168" t="s">
        <v>97</v>
      </c>
      <c r="G177" s="168" t="s">
        <v>97</v>
      </c>
      <c r="H177" s="168" t="s">
        <v>113</v>
      </c>
      <c r="I177" s="168" t="s">
        <v>114</v>
      </c>
      <c r="J177" s="174">
        <v>45660.0</v>
      </c>
      <c r="K177" s="168" t="s">
        <v>100</v>
      </c>
      <c r="L177" s="169">
        <v>6232.0</v>
      </c>
      <c r="M177" s="169">
        <v>122.0</v>
      </c>
      <c r="N177" s="169" t="s">
        <v>199</v>
      </c>
      <c r="O177" s="169">
        <v>2.0</v>
      </c>
      <c r="P177" s="169">
        <v>1.0</v>
      </c>
      <c r="Q177" s="169" t="s">
        <v>566</v>
      </c>
      <c r="R177" s="169" t="s">
        <v>360</v>
      </c>
      <c r="S177" s="169">
        <v>265704.0</v>
      </c>
      <c r="T177" s="169">
        <v>531408.0</v>
      </c>
      <c r="U177" s="169">
        <v>2.0</v>
      </c>
      <c r="V177" s="169">
        <v>1.0</v>
      </c>
      <c r="W177" s="169">
        <v>995784.0</v>
      </c>
      <c r="X177" s="169">
        <v>995784.0</v>
      </c>
      <c r="Y177" s="169">
        <v>531408.0</v>
      </c>
      <c r="Z177" s="169" t="s">
        <v>567</v>
      </c>
      <c r="AA177" s="169" t="s">
        <v>567</v>
      </c>
      <c r="AB177" s="169" t="s">
        <v>568</v>
      </c>
      <c r="AC177" s="169" t="s">
        <v>568</v>
      </c>
      <c r="AD177" s="168" t="s">
        <v>97</v>
      </c>
      <c r="AE177" s="168" t="s">
        <v>97</v>
      </c>
      <c r="AF177" s="168" t="s">
        <v>97</v>
      </c>
      <c r="AG177" s="156">
        <v>12.0</v>
      </c>
    </row>
    <row r="178" ht="15.75" customHeight="1">
      <c r="A178" s="169">
        <v>9.0</v>
      </c>
      <c r="B178" s="168" t="s">
        <v>464</v>
      </c>
      <c r="C178" s="168" t="s">
        <v>159</v>
      </c>
      <c r="D178" s="168" t="s">
        <v>301</v>
      </c>
      <c r="E178" s="169">
        <v>4.595012371E10</v>
      </c>
      <c r="F178" s="168" t="s">
        <v>97</v>
      </c>
      <c r="G178" s="168" t="s">
        <v>97</v>
      </c>
      <c r="H178" s="168" t="s">
        <v>176</v>
      </c>
      <c r="I178" s="168" t="s">
        <v>114</v>
      </c>
      <c r="J178" s="174">
        <v>45973.0</v>
      </c>
      <c r="K178" s="168" t="s">
        <v>100</v>
      </c>
      <c r="L178" s="169">
        <v>5983.0</v>
      </c>
      <c r="M178" s="169">
        <v>68.0</v>
      </c>
      <c r="N178" s="169" t="s">
        <v>569</v>
      </c>
      <c r="O178" s="169">
        <v>0.0</v>
      </c>
      <c r="P178" s="169">
        <v>0.0</v>
      </c>
      <c r="Q178" s="169" t="s">
        <v>143</v>
      </c>
      <c r="R178" s="169" t="s">
        <v>143</v>
      </c>
      <c r="S178" s="169">
        <v>0.0</v>
      </c>
      <c r="T178" s="169">
        <v>0.0</v>
      </c>
      <c r="U178" s="169">
        <v>0.0</v>
      </c>
      <c r="V178" s="169">
        <v>0.0</v>
      </c>
      <c r="W178" s="169">
        <v>0.0</v>
      </c>
      <c r="X178" s="169">
        <v>0.0</v>
      </c>
      <c r="Y178" s="169">
        <v>454213.0</v>
      </c>
      <c r="Z178" s="169">
        <v>0.0</v>
      </c>
      <c r="AA178" s="169">
        <v>0.0</v>
      </c>
      <c r="AB178" s="169" t="s">
        <v>143</v>
      </c>
      <c r="AC178" s="169" t="s">
        <v>143</v>
      </c>
      <c r="AD178" s="168" t="s">
        <v>97</v>
      </c>
      <c r="AE178" s="168" t="s">
        <v>97</v>
      </c>
      <c r="AF178" s="168" t="s">
        <v>97</v>
      </c>
      <c r="AG178" s="156">
        <v>12.0</v>
      </c>
    </row>
    <row r="179" ht="15.75" customHeight="1">
      <c r="A179" s="169">
        <v>10.0</v>
      </c>
      <c r="B179" s="168" t="s">
        <v>180</v>
      </c>
      <c r="C179" s="168" t="s">
        <v>159</v>
      </c>
      <c r="D179" s="168" t="s">
        <v>301</v>
      </c>
      <c r="E179" s="169">
        <v>3.1275154E9</v>
      </c>
      <c r="F179" s="168" t="s">
        <v>97</v>
      </c>
      <c r="G179" s="168" t="s">
        <v>97</v>
      </c>
      <c r="H179" s="168" t="s">
        <v>176</v>
      </c>
      <c r="I179" s="168" t="s">
        <v>114</v>
      </c>
      <c r="J179" s="171">
        <v>45729.0</v>
      </c>
      <c r="K179" s="168" t="s">
        <v>100</v>
      </c>
      <c r="L179" s="169">
        <v>5821.0</v>
      </c>
      <c r="M179" s="169">
        <v>82.0</v>
      </c>
      <c r="N179" s="169" t="s">
        <v>202</v>
      </c>
      <c r="O179" s="169">
        <v>0.0</v>
      </c>
      <c r="P179" s="169">
        <v>0.0</v>
      </c>
      <c r="Q179" s="169" t="s">
        <v>143</v>
      </c>
      <c r="R179" s="169" t="s">
        <v>143</v>
      </c>
      <c r="S179" s="169">
        <v>0.0</v>
      </c>
      <c r="T179" s="169">
        <v>0.0</v>
      </c>
      <c r="U179" s="169">
        <v>0.0</v>
      </c>
      <c r="V179" s="169">
        <v>0.0</v>
      </c>
      <c r="W179" s="169">
        <v>0.0</v>
      </c>
      <c r="X179" s="169">
        <v>0.0</v>
      </c>
      <c r="Y179" s="169">
        <v>208271.0</v>
      </c>
      <c r="Z179" s="169">
        <v>0.0</v>
      </c>
      <c r="AA179" s="169">
        <v>0.0</v>
      </c>
      <c r="AB179" s="169" t="s">
        <v>143</v>
      </c>
      <c r="AC179" s="169" t="s">
        <v>143</v>
      </c>
      <c r="AD179" s="168" t="s">
        <v>97</v>
      </c>
      <c r="AE179" s="168" t="s">
        <v>97</v>
      </c>
      <c r="AF179" s="168" t="s">
        <v>97</v>
      </c>
      <c r="AG179" s="156">
        <v>12.0</v>
      </c>
    </row>
    <row r="180" ht="15.75" customHeight="1">
      <c r="A180" s="169">
        <v>11.0</v>
      </c>
      <c r="B180" s="168" t="s">
        <v>259</v>
      </c>
      <c r="C180" s="168" t="s">
        <v>159</v>
      </c>
      <c r="D180" s="168" t="s">
        <v>301</v>
      </c>
      <c r="E180" s="169">
        <v>6.917016018E9</v>
      </c>
      <c r="F180" s="168" t="s">
        <v>97</v>
      </c>
      <c r="G180" s="168" t="s">
        <v>97</v>
      </c>
      <c r="H180" s="168" t="s">
        <v>113</v>
      </c>
      <c r="I180" s="168" t="s">
        <v>114</v>
      </c>
      <c r="J180" s="175">
        <v>45891.0</v>
      </c>
      <c r="K180" s="168" t="s">
        <v>100</v>
      </c>
      <c r="L180" s="169">
        <v>5515.0</v>
      </c>
      <c r="M180" s="169">
        <v>109.0</v>
      </c>
      <c r="N180" s="169" t="s">
        <v>315</v>
      </c>
      <c r="O180" s="169">
        <v>12.0</v>
      </c>
      <c r="P180" s="169">
        <v>7.0</v>
      </c>
      <c r="Q180" s="169" t="s">
        <v>570</v>
      </c>
      <c r="R180" s="169" t="s">
        <v>571</v>
      </c>
      <c r="S180" s="169" t="s">
        <v>572</v>
      </c>
      <c r="T180" s="169" t="s">
        <v>573</v>
      </c>
      <c r="U180" s="169">
        <v>12.0</v>
      </c>
      <c r="V180" s="169">
        <v>7.0</v>
      </c>
      <c r="W180" s="169">
        <v>3186308.0</v>
      </c>
      <c r="X180" s="169">
        <v>2188308.0</v>
      </c>
      <c r="Y180" s="169">
        <v>329121.0</v>
      </c>
      <c r="Z180" s="169" t="s">
        <v>574</v>
      </c>
      <c r="AA180" s="169" t="s">
        <v>575</v>
      </c>
      <c r="AB180" s="169" t="s">
        <v>576</v>
      </c>
      <c r="AC180" s="169" t="s">
        <v>577</v>
      </c>
      <c r="AD180" s="168" t="s">
        <v>97</v>
      </c>
      <c r="AE180" s="168" t="s">
        <v>97</v>
      </c>
      <c r="AF180" s="168" t="s">
        <v>97</v>
      </c>
      <c r="AG180" s="156">
        <v>12.0</v>
      </c>
    </row>
    <row r="181" ht="15.75" customHeight="1">
      <c r="A181" s="169">
        <v>12.0</v>
      </c>
      <c r="B181" s="168" t="s">
        <v>485</v>
      </c>
      <c r="C181" s="168" t="s">
        <v>159</v>
      </c>
      <c r="D181" s="168" t="s">
        <v>301</v>
      </c>
      <c r="E181" s="169">
        <v>5.3650093246E10</v>
      </c>
      <c r="F181" s="168" t="s">
        <v>97</v>
      </c>
      <c r="G181" s="168" t="s">
        <v>97</v>
      </c>
      <c r="H181" s="168" t="s">
        <v>176</v>
      </c>
      <c r="I181" s="168" t="s">
        <v>114</v>
      </c>
      <c r="J181" s="174">
        <v>45973.0</v>
      </c>
      <c r="K181" s="168" t="s">
        <v>100</v>
      </c>
      <c r="L181" s="169">
        <v>3931.0</v>
      </c>
      <c r="M181" s="169">
        <v>33.0</v>
      </c>
      <c r="N181" s="169" t="s">
        <v>578</v>
      </c>
      <c r="O181" s="169">
        <v>0.0</v>
      </c>
      <c r="P181" s="169">
        <v>0.0</v>
      </c>
      <c r="Q181" s="169" t="s">
        <v>143</v>
      </c>
      <c r="R181" s="169" t="s">
        <v>143</v>
      </c>
      <c r="S181" s="169">
        <v>0.0</v>
      </c>
      <c r="T181" s="169">
        <v>0.0</v>
      </c>
      <c r="U181" s="169">
        <v>0.0</v>
      </c>
      <c r="V181" s="169">
        <v>0.0</v>
      </c>
      <c r="W181" s="169">
        <v>0.0</v>
      </c>
      <c r="X181" s="169">
        <v>0.0</v>
      </c>
      <c r="Y181" s="169">
        <v>81403.0</v>
      </c>
      <c r="Z181" s="169">
        <v>0.0</v>
      </c>
      <c r="AA181" s="169">
        <v>0.0</v>
      </c>
      <c r="AB181" s="169" t="s">
        <v>143</v>
      </c>
      <c r="AC181" s="169" t="s">
        <v>143</v>
      </c>
      <c r="AD181" s="168" t="s">
        <v>97</v>
      </c>
      <c r="AE181" s="168" t="s">
        <v>97</v>
      </c>
      <c r="AF181" s="168" t="s">
        <v>97</v>
      </c>
      <c r="AG181" s="156">
        <v>12.0</v>
      </c>
    </row>
    <row r="182" ht="15.75" customHeight="1">
      <c r="A182" s="169">
        <v>13.0</v>
      </c>
      <c r="B182" s="168" t="s">
        <v>413</v>
      </c>
      <c r="C182" s="168" t="s">
        <v>159</v>
      </c>
      <c r="D182" s="168" t="s">
        <v>301</v>
      </c>
      <c r="E182" s="169">
        <v>2.2657955668E10</v>
      </c>
      <c r="F182" s="168" t="s">
        <v>97</v>
      </c>
      <c r="G182" s="168" t="s">
        <v>97</v>
      </c>
      <c r="H182" s="168" t="s">
        <v>113</v>
      </c>
      <c r="I182" s="168" t="s">
        <v>114</v>
      </c>
      <c r="J182" s="175">
        <v>45945.0</v>
      </c>
      <c r="K182" s="168" t="s">
        <v>100</v>
      </c>
      <c r="L182" s="169">
        <v>1077.0</v>
      </c>
      <c r="M182" s="169">
        <v>12.0</v>
      </c>
      <c r="N182" s="169" t="s">
        <v>480</v>
      </c>
      <c r="O182" s="169">
        <v>0.0</v>
      </c>
      <c r="P182" s="169">
        <v>0.0</v>
      </c>
      <c r="Q182" s="169" t="s">
        <v>143</v>
      </c>
      <c r="R182" s="169" t="s">
        <v>143</v>
      </c>
      <c r="S182" s="169">
        <v>0.0</v>
      </c>
      <c r="T182" s="169">
        <v>0.0</v>
      </c>
      <c r="U182" s="169">
        <v>0.0</v>
      </c>
      <c r="V182" s="169">
        <v>0.0</v>
      </c>
      <c r="W182" s="169">
        <v>0.0</v>
      </c>
      <c r="X182" s="169">
        <v>0.0</v>
      </c>
      <c r="Y182" s="169">
        <v>36443.0</v>
      </c>
      <c r="Z182" s="169">
        <v>0.0</v>
      </c>
      <c r="AA182" s="169">
        <v>0.0</v>
      </c>
      <c r="AB182" s="169" t="s">
        <v>143</v>
      </c>
      <c r="AC182" s="169" t="s">
        <v>143</v>
      </c>
      <c r="AD182" s="168" t="s">
        <v>97</v>
      </c>
      <c r="AE182" s="168" t="s">
        <v>97</v>
      </c>
      <c r="AF182" s="168" t="s">
        <v>97</v>
      </c>
      <c r="AG182" s="156">
        <v>12.0</v>
      </c>
    </row>
    <row r="183" ht="15.75" customHeight="1">
      <c r="A183" s="169">
        <v>14.0</v>
      </c>
      <c r="B183" s="168" t="s">
        <v>497</v>
      </c>
      <c r="C183" s="168" t="s">
        <v>159</v>
      </c>
      <c r="D183" s="168" t="s">
        <v>301</v>
      </c>
      <c r="E183" s="169">
        <v>5.2250090883E10</v>
      </c>
      <c r="F183" s="168" t="s">
        <v>97</v>
      </c>
      <c r="G183" s="168" t="s">
        <v>97</v>
      </c>
      <c r="H183" s="168" t="s">
        <v>176</v>
      </c>
      <c r="I183" s="168" t="s">
        <v>114</v>
      </c>
      <c r="J183" s="174">
        <v>45973.0</v>
      </c>
      <c r="K183" s="168" t="s">
        <v>100</v>
      </c>
      <c r="L183" s="169">
        <v>660.0</v>
      </c>
      <c r="M183" s="169">
        <v>11.0</v>
      </c>
      <c r="N183" s="169" t="s">
        <v>311</v>
      </c>
      <c r="O183" s="169">
        <v>0.0</v>
      </c>
      <c r="P183" s="169">
        <v>0.0</v>
      </c>
      <c r="Q183" s="169" t="s">
        <v>143</v>
      </c>
      <c r="R183" s="169" t="s">
        <v>143</v>
      </c>
      <c r="S183" s="169">
        <v>0.0</v>
      </c>
      <c r="T183" s="169">
        <v>0.0</v>
      </c>
      <c r="U183" s="169">
        <v>0.0</v>
      </c>
      <c r="V183" s="169">
        <v>0.0</v>
      </c>
      <c r="W183" s="169">
        <v>0.0</v>
      </c>
      <c r="X183" s="169">
        <v>0.0</v>
      </c>
      <c r="Y183" s="169">
        <v>32157.0</v>
      </c>
      <c r="Z183" s="169">
        <v>0.0</v>
      </c>
      <c r="AA183" s="169">
        <v>0.0</v>
      </c>
      <c r="AB183" s="169" t="s">
        <v>143</v>
      </c>
      <c r="AC183" s="169" t="s">
        <v>143</v>
      </c>
      <c r="AD183" s="168" t="s">
        <v>97</v>
      </c>
      <c r="AE183" s="168" t="s">
        <v>97</v>
      </c>
      <c r="AF183" s="168" t="s">
        <v>97</v>
      </c>
      <c r="AG183" s="156">
        <v>12.0</v>
      </c>
    </row>
    <row r="184" ht="15.75" customHeight="1">
      <c r="A184" s="169">
        <v>15.0</v>
      </c>
      <c r="B184" s="168" t="s">
        <v>509</v>
      </c>
      <c r="C184" s="168" t="s">
        <v>288</v>
      </c>
      <c r="D184" s="168" t="s">
        <v>301</v>
      </c>
      <c r="E184" s="169">
        <v>4.1875790937E10</v>
      </c>
      <c r="F184" s="168" t="s">
        <v>97</v>
      </c>
      <c r="G184" s="168" t="s">
        <v>97</v>
      </c>
      <c r="H184" s="168" t="s">
        <v>504</v>
      </c>
      <c r="I184" s="168" t="s">
        <v>114</v>
      </c>
      <c r="J184" s="175">
        <v>45983.0</v>
      </c>
      <c r="K184" s="175">
        <v>46013.99998842592</v>
      </c>
      <c r="L184" s="169">
        <v>12721.0</v>
      </c>
      <c r="M184" s="169">
        <v>160.0</v>
      </c>
      <c r="N184" s="169" t="s">
        <v>579</v>
      </c>
      <c r="O184" s="169">
        <v>25.0</v>
      </c>
      <c r="P184" s="169">
        <v>2.0</v>
      </c>
      <c r="Q184" s="169" t="s">
        <v>580</v>
      </c>
      <c r="R184" s="169" t="s">
        <v>581</v>
      </c>
      <c r="S184" s="169" t="s">
        <v>582</v>
      </c>
      <c r="T184" s="169">
        <v>374279.0</v>
      </c>
      <c r="U184" s="169">
        <v>25.0</v>
      </c>
      <c r="V184" s="169">
        <v>2.0</v>
      </c>
      <c r="W184" s="169">
        <v>9574997.0</v>
      </c>
      <c r="X184" s="169">
        <v>1996000.0</v>
      </c>
      <c r="Y184" s="169">
        <v>748558.0</v>
      </c>
      <c r="Z184" s="169" t="s">
        <v>583</v>
      </c>
      <c r="AA184" s="169" t="s">
        <v>584</v>
      </c>
      <c r="AB184" s="169" t="s">
        <v>585</v>
      </c>
      <c r="AC184" s="169" t="s">
        <v>586</v>
      </c>
      <c r="AD184" s="168" t="s">
        <v>97</v>
      </c>
      <c r="AE184" s="168" t="s">
        <v>97</v>
      </c>
      <c r="AF184" s="168" t="s">
        <v>97</v>
      </c>
      <c r="AG184" s="156">
        <v>12.0</v>
      </c>
    </row>
    <row r="185" ht="15.75" customHeight="1">
      <c r="A185" s="169">
        <v>16.0</v>
      </c>
      <c r="B185" s="168" t="s">
        <v>587</v>
      </c>
      <c r="C185" s="168" t="s">
        <v>288</v>
      </c>
      <c r="D185" s="168" t="s">
        <v>301</v>
      </c>
      <c r="E185" s="169">
        <v>4.066407109E10</v>
      </c>
      <c r="F185" s="168" t="s">
        <v>97</v>
      </c>
      <c r="G185" s="168" t="s">
        <v>97</v>
      </c>
      <c r="H185" s="168" t="s">
        <v>176</v>
      </c>
      <c r="I185" s="168" t="s">
        <v>114</v>
      </c>
      <c r="J185" s="171">
        <v>46010.0</v>
      </c>
      <c r="K185" s="178" t="s">
        <v>295</v>
      </c>
      <c r="L185" s="169">
        <v>7144.0</v>
      </c>
      <c r="M185" s="169">
        <v>94.0</v>
      </c>
      <c r="N185" s="169" t="s">
        <v>527</v>
      </c>
      <c r="O185" s="169">
        <v>4.0</v>
      </c>
      <c r="P185" s="169">
        <v>1.0</v>
      </c>
      <c r="Q185" s="169" t="s">
        <v>588</v>
      </c>
      <c r="R185" s="169" t="s">
        <v>589</v>
      </c>
      <c r="S185" s="169" t="s">
        <v>590</v>
      </c>
      <c r="T185" s="169" t="s">
        <v>591</v>
      </c>
      <c r="U185" s="169">
        <v>4.0</v>
      </c>
      <c r="V185" s="169">
        <v>1.0</v>
      </c>
      <c r="W185" s="169">
        <v>1130120.0</v>
      </c>
      <c r="X185" s="169">
        <v>807000.0</v>
      </c>
      <c r="Y185" s="169">
        <v>522045.0</v>
      </c>
      <c r="Z185" s="169" t="s">
        <v>592</v>
      </c>
      <c r="AA185" s="169" t="s">
        <v>593</v>
      </c>
      <c r="AB185" s="169" t="s">
        <v>594</v>
      </c>
      <c r="AC185" s="169" t="s">
        <v>595</v>
      </c>
      <c r="AD185" s="168" t="s">
        <v>97</v>
      </c>
      <c r="AE185" s="168" t="s">
        <v>97</v>
      </c>
      <c r="AF185" s="168" t="s">
        <v>97</v>
      </c>
      <c r="AG185" s="156">
        <v>12.0</v>
      </c>
    </row>
    <row r="186" ht="15.75" customHeight="1">
      <c r="A186" s="169">
        <v>17.0</v>
      </c>
      <c r="B186" s="168" t="s">
        <v>503</v>
      </c>
      <c r="C186" s="168" t="s">
        <v>288</v>
      </c>
      <c r="D186" s="168" t="s">
        <v>301</v>
      </c>
      <c r="E186" s="169">
        <v>5.4600166307E10</v>
      </c>
      <c r="F186" s="168" t="s">
        <v>97</v>
      </c>
      <c r="G186" s="168" t="s">
        <v>97</v>
      </c>
      <c r="H186" s="168" t="s">
        <v>504</v>
      </c>
      <c r="I186" s="168" t="s">
        <v>114</v>
      </c>
      <c r="J186" s="171">
        <v>45983.0</v>
      </c>
      <c r="K186" s="175">
        <v>46013.99998842592</v>
      </c>
      <c r="L186" s="169">
        <v>2224.0</v>
      </c>
      <c r="M186" s="169">
        <v>11.0</v>
      </c>
      <c r="N186" s="169" t="s">
        <v>103</v>
      </c>
      <c r="O186" s="169">
        <v>0.0</v>
      </c>
      <c r="P186" s="169">
        <v>0.0</v>
      </c>
      <c r="Q186" s="169" t="s">
        <v>143</v>
      </c>
      <c r="R186" s="169" t="s">
        <v>143</v>
      </c>
      <c r="S186" s="169">
        <v>0.0</v>
      </c>
      <c r="T186" s="169">
        <v>0.0</v>
      </c>
      <c r="U186" s="169">
        <v>0.0</v>
      </c>
      <c r="V186" s="169">
        <v>0.0</v>
      </c>
      <c r="W186" s="169">
        <v>0.0</v>
      </c>
      <c r="X186" s="169">
        <v>0.0</v>
      </c>
      <c r="Y186" s="169">
        <v>42897.0</v>
      </c>
      <c r="Z186" s="169">
        <v>0.0</v>
      </c>
      <c r="AA186" s="169">
        <v>0.0</v>
      </c>
      <c r="AB186" s="169" t="s">
        <v>143</v>
      </c>
      <c r="AC186" s="169" t="s">
        <v>143</v>
      </c>
      <c r="AD186" s="168" t="s">
        <v>97</v>
      </c>
      <c r="AE186" s="168" t="s">
        <v>97</v>
      </c>
      <c r="AF186" s="168" t="s">
        <v>97</v>
      </c>
      <c r="AG186" s="156">
        <v>12.0</v>
      </c>
    </row>
    <row r="187" ht="15.75" customHeight="1">
      <c r="A187" s="169"/>
      <c r="B187" s="168"/>
      <c r="C187" s="168"/>
      <c r="D187" s="168"/>
      <c r="E187" s="169"/>
      <c r="F187" s="168"/>
      <c r="G187" s="168"/>
      <c r="H187" s="168"/>
      <c r="I187" s="168"/>
      <c r="J187" s="175"/>
      <c r="K187" s="168"/>
      <c r="L187" s="169"/>
      <c r="M187" s="169"/>
      <c r="N187" s="169"/>
      <c r="O187" s="169"/>
      <c r="P187" s="169"/>
      <c r="Q187" s="169"/>
      <c r="R187" s="169"/>
      <c r="S187" s="169"/>
      <c r="T187" s="169"/>
      <c r="U187" s="169"/>
      <c r="V187" s="169"/>
      <c r="W187" s="169"/>
      <c r="X187" s="169"/>
      <c r="Y187" s="169"/>
      <c r="Z187" s="169"/>
      <c r="AA187" s="169"/>
      <c r="AB187" s="169"/>
      <c r="AC187" s="169"/>
      <c r="AD187" s="168"/>
      <c r="AE187" s="168"/>
      <c r="AF187" s="168"/>
      <c r="AG187" s="156">
        <v>12.0</v>
      </c>
    </row>
    <row r="188" ht="15.75" customHeight="1">
      <c r="A188" s="169"/>
      <c r="B188" s="168"/>
      <c r="C188" s="168"/>
      <c r="D188" s="168"/>
      <c r="E188" s="169"/>
      <c r="F188" s="168"/>
      <c r="G188" s="168"/>
      <c r="H188" s="168"/>
      <c r="I188" s="168"/>
      <c r="J188" s="175"/>
      <c r="K188" s="168"/>
      <c r="L188" s="169"/>
      <c r="M188" s="169"/>
      <c r="N188" s="169"/>
      <c r="O188" s="169"/>
      <c r="P188" s="169"/>
      <c r="Q188" s="169"/>
      <c r="R188" s="169"/>
      <c r="S188" s="169"/>
      <c r="T188" s="169"/>
      <c r="U188" s="169"/>
      <c r="V188" s="169"/>
      <c r="W188" s="169"/>
      <c r="X188" s="169"/>
      <c r="Y188" s="169"/>
      <c r="Z188" s="169"/>
      <c r="AA188" s="169"/>
      <c r="AB188" s="169"/>
      <c r="AC188" s="169"/>
      <c r="AD188" s="168"/>
      <c r="AE188" s="168"/>
      <c r="AF188" s="168"/>
      <c r="AG188" s="156">
        <v>12.0</v>
      </c>
    </row>
    <row r="189" ht="15.75" customHeight="1">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7"/>
    </row>
    <row r="190" ht="14.25" customHeight="1">
      <c r="A190" s="168" t="s">
        <v>289</v>
      </c>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c r="AD190" s="168"/>
      <c r="AE190" s="168"/>
      <c r="AF190" s="168"/>
      <c r="AG190" s="156"/>
    </row>
    <row r="191" ht="15.75" customHeight="1">
      <c r="A191" s="168" t="s">
        <v>54</v>
      </c>
      <c r="B191" s="168" t="s">
        <v>55</v>
      </c>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c r="AD191" s="168"/>
      <c r="AE191" s="168"/>
      <c r="AF191" s="168"/>
      <c r="AG191" s="156"/>
    </row>
    <row r="192" ht="15.75" customHeight="1">
      <c r="A192" s="168" t="s">
        <v>56</v>
      </c>
      <c r="B192" s="168" t="s">
        <v>57</v>
      </c>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c r="AD192" s="168"/>
      <c r="AE192" s="168"/>
      <c r="AF192" s="168"/>
      <c r="AG192" s="156"/>
    </row>
    <row r="193" ht="15.75" customHeight="1">
      <c r="A193" s="168" t="s">
        <v>58</v>
      </c>
      <c r="B193" s="169">
        <v>2.27240948E8</v>
      </c>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c r="AE193" s="168"/>
      <c r="AF193" s="168"/>
      <c r="AG193" s="156"/>
    </row>
    <row r="194" ht="15.75" customHeight="1">
      <c r="A194" s="168" t="s">
        <v>59</v>
      </c>
      <c r="B194" s="170">
        <v>46055.342361111114</v>
      </c>
      <c r="C194" s="171"/>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c r="AD194" s="168"/>
      <c r="AE194" s="168"/>
      <c r="AF194" s="168"/>
      <c r="AG194" s="156"/>
    </row>
    <row r="195" ht="15.75" customHeight="1">
      <c r="A195" s="168" t="s">
        <v>60</v>
      </c>
      <c r="B195" s="168" t="s">
        <v>596</v>
      </c>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156"/>
    </row>
    <row r="196" ht="15.75" customHeight="1">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53">
        <f>SUM(W198:W214)</f>
        <v>146469692</v>
      </c>
      <c r="X196" s="153"/>
      <c r="Y196" s="153">
        <f>SUM(Y198:Y214)</f>
        <v>15407291</v>
      </c>
      <c r="Z196" s="149"/>
      <c r="AA196" s="149"/>
      <c r="AB196" s="149"/>
      <c r="AC196" s="149"/>
      <c r="AD196" s="149"/>
      <c r="AE196" s="149"/>
      <c r="AF196" s="149"/>
      <c r="AG196" s="156"/>
    </row>
    <row r="197" ht="15.75" customHeight="1">
      <c r="A197" s="168" t="s">
        <v>62</v>
      </c>
      <c r="B197" s="168" t="s">
        <v>291</v>
      </c>
      <c r="C197" s="168" t="s">
        <v>64</v>
      </c>
      <c r="D197" s="168" t="s">
        <v>292</v>
      </c>
      <c r="E197" s="168" t="s">
        <v>66</v>
      </c>
      <c r="F197" s="168" t="s">
        <v>67</v>
      </c>
      <c r="G197" s="168" t="s">
        <v>293</v>
      </c>
      <c r="H197" s="168" t="s">
        <v>69</v>
      </c>
      <c r="I197" s="168" t="s">
        <v>70</v>
      </c>
      <c r="J197" s="168" t="s">
        <v>71</v>
      </c>
      <c r="K197" s="168" t="s">
        <v>72</v>
      </c>
      <c r="L197" s="168" t="s">
        <v>73</v>
      </c>
      <c r="M197" s="168" t="s">
        <v>74</v>
      </c>
      <c r="N197" s="168" t="s">
        <v>75</v>
      </c>
      <c r="O197" s="168" t="s">
        <v>76</v>
      </c>
      <c r="P197" s="168" t="s">
        <v>77</v>
      </c>
      <c r="Q197" s="168" t="s">
        <v>78</v>
      </c>
      <c r="R197" s="168" t="s">
        <v>79</v>
      </c>
      <c r="S197" s="168" t="s">
        <v>80</v>
      </c>
      <c r="T197" s="168" t="s">
        <v>81</v>
      </c>
      <c r="U197" s="168" t="s">
        <v>82</v>
      </c>
      <c r="V197" s="168" t="s">
        <v>83</v>
      </c>
      <c r="W197" s="168" t="s">
        <v>84</v>
      </c>
      <c r="X197" s="168" t="s">
        <v>85</v>
      </c>
      <c r="Y197" s="168" t="s">
        <v>86</v>
      </c>
      <c r="Z197" s="168" t="s">
        <v>20</v>
      </c>
      <c r="AA197" s="168" t="s">
        <v>87</v>
      </c>
      <c r="AB197" s="168" t="s">
        <v>88</v>
      </c>
      <c r="AC197" s="168" t="s">
        <v>89</v>
      </c>
      <c r="AD197" s="168" t="s">
        <v>90</v>
      </c>
      <c r="AE197" s="168" t="s">
        <v>91</v>
      </c>
      <c r="AF197" s="168" t="s">
        <v>92</v>
      </c>
      <c r="AG197" s="156"/>
    </row>
    <row r="198" ht="15.75" customHeight="1">
      <c r="A198" s="169">
        <v>1.0</v>
      </c>
      <c r="B198" s="168" t="s">
        <v>337</v>
      </c>
      <c r="C198" s="168" t="s">
        <v>95</v>
      </c>
      <c r="D198" s="168" t="s">
        <v>301</v>
      </c>
      <c r="E198" s="169">
        <v>2.5666719442E10</v>
      </c>
      <c r="F198" s="168" t="s">
        <v>97</v>
      </c>
      <c r="G198" s="168" t="s">
        <v>97</v>
      </c>
      <c r="H198" s="168" t="s">
        <v>176</v>
      </c>
      <c r="I198" s="168" t="s">
        <v>114</v>
      </c>
      <c r="J198" s="171">
        <v>45923.0</v>
      </c>
      <c r="K198" s="168" t="s">
        <v>100</v>
      </c>
      <c r="L198" s="169">
        <v>57853.0</v>
      </c>
      <c r="M198" s="169">
        <v>726.0</v>
      </c>
      <c r="N198" s="169" t="s">
        <v>581</v>
      </c>
      <c r="O198" s="169">
        <v>45.0</v>
      </c>
      <c r="P198" s="169">
        <v>35.0</v>
      </c>
      <c r="Q198" s="169" t="s">
        <v>597</v>
      </c>
      <c r="R198" s="169" t="s">
        <v>598</v>
      </c>
      <c r="S198" s="169" t="s">
        <v>599</v>
      </c>
      <c r="T198" s="169" t="s">
        <v>600</v>
      </c>
      <c r="U198" s="169">
        <v>52.0</v>
      </c>
      <c r="V198" s="169">
        <v>42.0</v>
      </c>
      <c r="W198" s="169">
        <v>4.1364961E7</v>
      </c>
      <c r="X198" s="169">
        <v>3.3457225E7</v>
      </c>
      <c r="Y198" s="169">
        <v>4558798.0</v>
      </c>
      <c r="Z198" s="173">
        <v>46212.0</v>
      </c>
      <c r="AA198" s="169" t="s">
        <v>601</v>
      </c>
      <c r="AB198" s="169" t="s">
        <v>602</v>
      </c>
      <c r="AC198" s="169" t="s">
        <v>603</v>
      </c>
      <c r="AD198" s="168" t="s">
        <v>97</v>
      </c>
      <c r="AE198" s="168" t="s">
        <v>97</v>
      </c>
      <c r="AF198" s="168" t="s">
        <v>97</v>
      </c>
      <c r="AG198" s="156">
        <v>1.0</v>
      </c>
    </row>
    <row r="199" ht="15.75" customHeight="1">
      <c r="A199" s="169">
        <v>2.0</v>
      </c>
      <c r="B199" s="168" t="s">
        <v>474</v>
      </c>
      <c r="C199" s="168" t="s">
        <v>95</v>
      </c>
      <c r="D199" s="168" t="s">
        <v>301</v>
      </c>
      <c r="E199" s="169">
        <v>2.4867724627E10</v>
      </c>
      <c r="F199" s="168" t="s">
        <v>97</v>
      </c>
      <c r="G199" s="168" t="s">
        <v>97</v>
      </c>
      <c r="H199" s="168" t="s">
        <v>176</v>
      </c>
      <c r="I199" s="168" t="s">
        <v>114</v>
      </c>
      <c r="J199" s="170">
        <v>45972.0</v>
      </c>
      <c r="K199" s="168" t="s">
        <v>100</v>
      </c>
      <c r="L199" s="169">
        <v>41815.0</v>
      </c>
      <c r="M199" s="169">
        <v>292.0</v>
      </c>
      <c r="N199" s="169" t="s">
        <v>604</v>
      </c>
      <c r="O199" s="169">
        <v>16.0</v>
      </c>
      <c r="P199" s="169">
        <v>14.0</v>
      </c>
      <c r="Q199" s="169" t="s">
        <v>605</v>
      </c>
      <c r="R199" s="169" t="s">
        <v>606</v>
      </c>
      <c r="S199" s="169" t="s">
        <v>607</v>
      </c>
      <c r="T199" s="169" t="s">
        <v>608</v>
      </c>
      <c r="U199" s="169">
        <v>20.0</v>
      </c>
      <c r="V199" s="169">
        <v>18.0</v>
      </c>
      <c r="W199" s="169">
        <v>1.4830899E7</v>
      </c>
      <c r="X199" s="169">
        <v>1.31889E7</v>
      </c>
      <c r="Y199" s="169">
        <v>1065268.0</v>
      </c>
      <c r="Z199" s="169" t="s">
        <v>609</v>
      </c>
      <c r="AA199" s="169" t="s">
        <v>610</v>
      </c>
      <c r="AB199" s="169" t="s">
        <v>611</v>
      </c>
      <c r="AC199" s="169" t="s">
        <v>612</v>
      </c>
      <c r="AD199" s="168" t="s">
        <v>97</v>
      </c>
      <c r="AE199" s="168" t="s">
        <v>97</v>
      </c>
      <c r="AF199" s="168" t="s">
        <v>97</v>
      </c>
      <c r="AG199" s="156">
        <v>1.0</v>
      </c>
    </row>
    <row r="200" ht="15.75" customHeight="1">
      <c r="A200" s="169">
        <v>3.0</v>
      </c>
      <c r="B200" s="168" t="s">
        <v>613</v>
      </c>
      <c r="C200" s="168" t="s">
        <v>95</v>
      </c>
      <c r="D200" s="168" t="s">
        <v>301</v>
      </c>
      <c r="E200" s="169">
        <v>4.2625807818E10</v>
      </c>
      <c r="F200" s="168" t="s">
        <v>97</v>
      </c>
      <c r="G200" s="168" t="s">
        <v>97</v>
      </c>
      <c r="H200" s="168" t="s">
        <v>176</v>
      </c>
      <c r="I200" s="168" t="s">
        <v>114</v>
      </c>
      <c r="J200" s="172">
        <v>45961.0</v>
      </c>
      <c r="K200" s="168" t="s">
        <v>100</v>
      </c>
      <c r="L200" s="169">
        <v>41607.0</v>
      </c>
      <c r="M200" s="169">
        <v>257.0</v>
      </c>
      <c r="N200" s="169" t="s">
        <v>614</v>
      </c>
      <c r="O200" s="169">
        <v>5.0</v>
      </c>
      <c r="P200" s="169">
        <v>2.0</v>
      </c>
      <c r="Q200" s="169" t="s">
        <v>615</v>
      </c>
      <c r="R200" s="169" t="s">
        <v>522</v>
      </c>
      <c r="S200" s="169" t="s">
        <v>616</v>
      </c>
      <c r="T200" s="169" t="s">
        <v>617</v>
      </c>
      <c r="U200" s="169">
        <v>6.0</v>
      </c>
      <c r="V200" s="169">
        <v>2.0</v>
      </c>
      <c r="W200" s="169">
        <v>1.0349998E7</v>
      </c>
      <c r="X200" s="169">
        <v>5940000.0</v>
      </c>
      <c r="Y200" s="169">
        <v>1063969.0</v>
      </c>
      <c r="Z200" s="169" t="s">
        <v>618</v>
      </c>
      <c r="AA200" s="169" t="s">
        <v>186</v>
      </c>
      <c r="AB200" s="169" t="s">
        <v>619</v>
      </c>
      <c r="AC200" s="169" t="s">
        <v>620</v>
      </c>
      <c r="AD200" s="168" t="s">
        <v>97</v>
      </c>
      <c r="AE200" s="168" t="s">
        <v>97</v>
      </c>
      <c r="AF200" s="168" t="s">
        <v>97</v>
      </c>
      <c r="AG200" s="156">
        <v>1.0</v>
      </c>
    </row>
    <row r="201" ht="15.75" customHeight="1">
      <c r="A201" s="169">
        <v>4.0</v>
      </c>
      <c r="B201" s="168" t="s">
        <v>154</v>
      </c>
      <c r="C201" s="168" t="s">
        <v>95</v>
      </c>
      <c r="D201" s="168" t="s">
        <v>301</v>
      </c>
      <c r="E201" s="169">
        <v>5.158911395E9</v>
      </c>
      <c r="F201" s="168" t="s">
        <v>97</v>
      </c>
      <c r="G201" s="168" t="s">
        <v>97</v>
      </c>
      <c r="H201" s="168" t="s">
        <v>113</v>
      </c>
      <c r="I201" s="168" t="s">
        <v>114</v>
      </c>
      <c r="J201" s="172">
        <v>45831.0</v>
      </c>
      <c r="K201" s="168" t="s">
        <v>100</v>
      </c>
      <c r="L201" s="169">
        <v>9038.0</v>
      </c>
      <c r="M201" s="169">
        <v>131.0</v>
      </c>
      <c r="N201" s="169" t="s">
        <v>344</v>
      </c>
      <c r="O201" s="169">
        <v>7.0</v>
      </c>
      <c r="P201" s="169">
        <v>7.0</v>
      </c>
      <c r="Q201" s="169" t="s">
        <v>621</v>
      </c>
      <c r="R201" s="169" t="s">
        <v>621</v>
      </c>
      <c r="S201" s="169" t="s">
        <v>622</v>
      </c>
      <c r="T201" s="169" t="s">
        <v>622</v>
      </c>
      <c r="U201" s="169">
        <v>48.0</v>
      </c>
      <c r="V201" s="169">
        <v>48.0</v>
      </c>
      <c r="W201" s="169">
        <v>2822000.0</v>
      </c>
      <c r="X201" s="169">
        <v>2822000.0</v>
      </c>
      <c r="Y201" s="169">
        <v>402652.0</v>
      </c>
      <c r="Z201" s="173">
        <v>46029.0</v>
      </c>
      <c r="AA201" s="173">
        <v>46029.0</v>
      </c>
      <c r="AB201" s="169" t="s">
        <v>623</v>
      </c>
      <c r="AC201" s="169" t="s">
        <v>623</v>
      </c>
      <c r="AD201" s="168" t="s">
        <v>97</v>
      </c>
      <c r="AE201" s="168" t="s">
        <v>97</v>
      </c>
      <c r="AF201" s="168" t="s">
        <v>97</v>
      </c>
      <c r="AG201" s="156">
        <v>1.0</v>
      </c>
    </row>
    <row r="202" ht="15.75" customHeight="1">
      <c r="A202" s="169">
        <v>5.0</v>
      </c>
      <c r="B202" s="168" t="s">
        <v>624</v>
      </c>
      <c r="C202" s="168" t="s">
        <v>288</v>
      </c>
      <c r="D202" s="168" t="s">
        <v>301</v>
      </c>
      <c r="E202" s="169">
        <v>2.486748184E10</v>
      </c>
      <c r="F202" s="168" t="s">
        <v>97</v>
      </c>
      <c r="G202" s="168" t="s">
        <v>97</v>
      </c>
      <c r="H202" s="168" t="s">
        <v>176</v>
      </c>
      <c r="I202" s="168" t="s">
        <v>114</v>
      </c>
      <c r="J202" s="174">
        <v>46030.0</v>
      </c>
      <c r="K202" s="172">
        <v>46043.99998842592</v>
      </c>
      <c r="L202" s="169">
        <v>14508.0</v>
      </c>
      <c r="M202" s="169">
        <v>223.0</v>
      </c>
      <c r="N202" s="169" t="s">
        <v>254</v>
      </c>
      <c r="O202" s="169">
        <v>11.0</v>
      </c>
      <c r="P202" s="169">
        <v>7.0</v>
      </c>
      <c r="Q202" s="169" t="s">
        <v>625</v>
      </c>
      <c r="R202" s="169" t="s">
        <v>626</v>
      </c>
      <c r="S202" s="169" t="s">
        <v>627</v>
      </c>
      <c r="T202" s="169" t="s">
        <v>628</v>
      </c>
      <c r="U202" s="169">
        <v>12.0</v>
      </c>
      <c r="V202" s="169">
        <v>7.0</v>
      </c>
      <c r="W202" s="169">
        <v>8199600.0</v>
      </c>
      <c r="X202" s="169">
        <v>4463800.0</v>
      </c>
      <c r="Y202" s="169">
        <v>1210073.0</v>
      </c>
      <c r="Z202" s="169" t="s">
        <v>629</v>
      </c>
      <c r="AA202" s="169" t="s">
        <v>630</v>
      </c>
      <c r="AB202" s="169" t="s">
        <v>631</v>
      </c>
      <c r="AC202" s="169" t="s">
        <v>632</v>
      </c>
      <c r="AD202" s="168" t="s">
        <v>97</v>
      </c>
      <c r="AE202" s="168" t="s">
        <v>97</v>
      </c>
      <c r="AF202" s="168" t="s">
        <v>97</v>
      </c>
      <c r="AG202" s="156">
        <v>1.0</v>
      </c>
    </row>
    <row r="203" ht="15.75" customHeight="1">
      <c r="A203" s="169">
        <v>6.0</v>
      </c>
      <c r="B203" s="168" t="s">
        <v>587</v>
      </c>
      <c r="C203" s="168" t="s">
        <v>288</v>
      </c>
      <c r="D203" s="168" t="s">
        <v>301</v>
      </c>
      <c r="E203" s="169">
        <v>4.066407109E10</v>
      </c>
      <c r="F203" s="168" t="s">
        <v>97</v>
      </c>
      <c r="G203" s="168" t="s">
        <v>97</v>
      </c>
      <c r="H203" s="168" t="s">
        <v>176</v>
      </c>
      <c r="I203" s="168" t="s">
        <v>114</v>
      </c>
      <c r="J203" s="175">
        <v>46010.0</v>
      </c>
      <c r="K203" s="170">
        <v>46023.99930555555</v>
      </c>
      <c r="L203" s="169">
        <v>1134.0</v>
      </c>
      <c r="M203" s="169">
        <v>12.0</v>
      </c>
      <c r="N203" s="169" t="s">
        <v>589</v>
      </c>
      <c r="O203" s="169">
        <v>1.0</v>
      </c>
      <c r="P203" s="169">
        <v>0.0</v>
      </c>
      <c r="Q203" s="169" t="s">
        <v>633</v>
      </c>
      <c r="R203" s="169" t="s">
        <v>143</v>
      </c>
      <c r="S203" s="169" t="s">
        <v>634</v>
      </c>
      <c r="T203" s="169">
        <v>0.0</v>
      </c>
      <c r="U203" s="169">
        <v>1.0</v>
      </c>
      <c r="V203" s="169">
        <v>0.0</v>
      </c>
      <c r="W203" s="169">
        <v>1148000.0</v>
      </c>
      <c r="X203" s="169">
        <v>0.0</v>
      </c>
      <c r="Y203" s="169">
        <v>55855.0</v>
      </c>
      <c r="Z203" s="169" t="s">
        <v>635</v>
      </c>
      <c r="AA203" s="169">
        <v>0.0</v>
      </c>
      <c r="AB203" s="169" t="s">
        <v>636</v>
      </c>
      <c r="AC203" s="169" t="s">
        <v>143</v>
      </c>
      <c r="AD203" s="168" t="s">
        <v>97</v>
      </c>
      <c r="AE203" s="168" t="s">
        <v>97</v>
      </c>
      <c r="AF203" s="168" t="s">
        <v>97</v>
      </c>
      <c r="AG203" s="156"/>
    </row>
    <row r="204" ht="15.75" customHeight="1">
      <c r="AG204" s="156"/>
    </row>
    <row r="205" ht="15.75" customHeight="1">
      <c r="AG205" s="156"/>
    </row>
    <row r="206" ht="15.75" customHeight="1">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7"/>
    </row>
    <row r="207" ht="14.25" customHeight="1">
      <c r="A207" s="179" t="s">
        <v>289</v>
      </c>
      <c r="B207" s="180"/>
      <c r="C207" s="181"/>
      <c r="D207" s="181"/>
      <c r="E207" s="181"/>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56"/>
    </row>
    <row r="208" ht="15.75" customHeight="1">
      <c r="A208" s="179" t="s">
        <v>54</v>
      </c>
      <c r="B208" s="179" t="s">
        <v>55</v>
      </c>
      <c r="C208" s="181"/>
      <c r="D208" s="183"/>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56"/>
    </row>
    <row r="209" ht="15.75" customHeight="1">
      <c r="A209" s="179" t="s">
        <v>56</v>
      </c>
      <c r="B209" s="179" t="s">
        <v>57</v>
      </c>
      <c r="C209" s="181"/>
      <c r="D209" s="183"/>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56"/>
    </row>
    <row r="210" ht="15.75" customHeight="1">
      <c r="A210" s="179" t="s">
        <v>58</v>
      </c>
      <c r="B210" s="184">
        <v>2.27240948E8</v>
      </c>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56"/>
    </row>
    <row r="211" ht="15.75" customHeight="1">
      <c r="A211" s="179" t="s">
        <v>59</v>
      </c>
      <c r="B211" s="185">
        <v>46082.75486111111</v>
      </c>
      <c r="C211" s="186"/>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56"/>
    </row>
    <row r="212" ht="15.75" customHeight="1">
      <c r="A212" s="179" t="s">
        <v>60</v>
      </c>
      <c r="B212" s="179" t="s">
        <v>637</v>
      </c>
      <c r="C212" s="181"/>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56"/>
    </row>
    <row r="213" ht="15.75" customHeight="1">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53">
        <f>SUM(W215:W231)</f>
        <v>67754234</v>
      </c>
      <c r="X213" s="153"/>
      <c r="Y213" s="153">
        <f>SUM(Y215:Y231)</f>
        <v>7050676</v>
      </c>
      <c r="Z213" s="149"/>
      <c r="AA213" s="149"/>
      <c r="AB213" s="149"/>
      <c r="AC213" s="149"/>
      <c r="AD213" s="149"/>
      <c r="AE213" s="149"/>
      <c r="AF213" s="149"/>
      <c r="AG213" s="156"/>
    </row>
    <row r="214" ht="15.75" customHeight="1">
      <c r="A214" s="168" t="s">
        <v>62</v>
      </c>
      <c r="B214" s="168" t="s">
        <v>291</v>
      </c>
      <c r="C214" s="168" t="s">
        <v>64</v>
      </c>
      <c r="D214" s="168" t="s">
        <v>292</v>
      </c>
      <c r="E214" s="168" t="s">
        <v>66</v>
      </c>
      <c r="F214" s="168" t="s">
        <v>67</v>
      </c>
      <c r="G214" s="168" t="s">
        <v>293</v>
      </c>
      <c r="H214" s="168" t="s">
        <v>69</v>
      </c>
      <c r="I214" s="168" t="s">
        <v>70</v>
      </c>
      <c r="J214" s="168" t="s">
        <v>71</v>
      </c>
      <c r="K214" s="168" t="s">
        <v>72</v>
      </c>
      <c r="L214" s="168" t="s">
        <v>73</v>
      </c>
      <c r="M214" s="168" t="s">
        <v>74</v>
      </c>
      <c r="N214" s="168" t="s">
        <v>75</v>
      </c>
      <c r="O214" s="168" t="s">
        <v>76</v>
      </c>
      <c r="P214" s="168" t="s">
        <v>77</v>
      </c>
      <c r="Q214" s="168" t="s">
        <v>78</v>
      </c>
      <c r="R214" s="168" t="s">
        <v>79</v>
      </c>
      <c r="S214" s="168" t="s">
        <v>80</v>
      </c>
      <c r="T214" s="168" t="s">
        <v>81</v>
      </c>
      <c r="U214" s="168" t="s">
        <v>82</v>
      </c>
      <c r="V214" s="168" t="s">
        <v>83</v>
      </c>
      <c r="W214" s="168" t="s">
        <v>84</v>
      </c>
      <c r="X214" s="168" t="s">
        <v>85</v>
      </c>
      <c r="Y214" s="168" t="s">
        <v>86</v>
      </c>
      <c r="Z214" s="168" t="s">
        <v>20</v>
      </c>
      <c r="AA214" s="168" t="s">
        <v>87</v>
      </c>
      <c r="AB214" s="168" t="s">
        <v>88</v>
      </c>
      <c r="AC214" s="168" t="s">
        <v>89</v>
      </c>
      <c r="AD214" s="168" t="s">
        <v>90</v>
      </c>
      <c r="AE214" s="168" t="s">
        <v>91</v>
      </c>
      <c r="AF214" s="168" t="s">
        <v>92</v>
      </c>
      <c r="AG214" s="156"/>
    </row>
    <row r="215" ht="15.75" customHeight="1">
      <c r="A215" s="184">
        <v>1.0</v>
      </c>
      <c r="B215" s="179" t="s">
        <v>337</v>
      </c>
      <c r="C215" s="179" t="s">
        <v>95</v>
      </c>
      <c r="D215" s="179" t="s">
        <v>301</v>
      </c>
      <c r="E215" s="184">
        <v>2.5666719442E10</v>
      </c>
      <c r="F215" s="179" t="s">
        <v>97</v>
      </c>
      <c r="G215" s="179" t="s">
        <v>97</v>
      </c>
      <c r="H215" s="179" t="s">
        <v>176</v>
      </c>
      <c r="I215" s="179" t="s">
        <v>114</v>
      </c>
      <c r="J215" s="187">
        <v>45923.0</v>
      </c>
      <c r="K215" s="179" t="s">
        <v>100</v>
      </c>
      <c r="L215" s="184">
        <v>68059.0</v>
      </c>
      <c r="M215" s="184">
        <v>763.0</v>
      </c>
      <c r="N215" s="184" t="s">
        <v>638</v>
      </c>
      <c r="O215" s="184">
        <v>37.0</v>
      </c>
      <c r="P215" s="184">
        <v>31.0</v>
      </c>
      <c r="Q215" s="184" t="s">
        <v>639</v>
      </c>
      <c r="R215" s="184" t="s">
        <v>640</v>
      </c>
      <c r="S215" s="184" t="s">
        <v>641</v>
      </c>
      <c r="T215" s="184" t="s">
        <v>642</v>
      </c>
      <c r="U215" s="184">
        <v>48.0</v>
      </c>
      <c r="V215" s="184">
        <v>40.0</v>
      </c>
      <c r="W215" s="184">
        <v>4.090343E7</v>
      </c>
      <c r="X215" s="184">
        <v>3.252619E7</v>
      </c>
      <c r="Y215" s="184">
        <v>4336633.0</v>
      </c>
      <c r="Z215" s="184" t="s">
        <v>643</v>
      </c>
      <c r="AA215" s="188">
        <v>46149.0</v>
      </c>
      <c r="AB215" s="184" t="s">
        <v>644</v>
      </c>
      <c r="AC215" s="184" t="s">
        <v>645</v>
      </c>
      <c r="AD215" s="179" t="s">
        <v>97</v>
      </c>
      <c r="AE215" s="179" t="s">
        <v>97</v>
      </c>
      <c r="AF215" s="179" t="s">
        <v>97</v>
      </c>
      <c r="AG215" s="156"/>
    </row>
    <row r="216" ht="15.75" customHeight="1">
      <c r="A216" s="184">
        <v>2.0</v>
      </c>
      <c r="B216" s="179" t="s">
        <v>474</v>
      </c>
      <c r="C216" s="179" t="s">
        <v>95</v>
      </c>
      <c r="D216" s="179" t="s">
        <v>301</v>
      </c>
      <c r="E216" s="184">
        <v>2.4867724627E10</v>
      </c>
      <c r="F216" s="179" t="s">
        <v>97</v>
      </c>
      <c r="G216" s="179" t="s">
        <v>97</v>
      </c>
      <c r="H216" s="179" t="s">
        <v>176</v>
      </c>
      <c r="I216" s="179" t="s">
        <v>114</v>
      </c>
      <c r="J216" s="189">
        <v>45972.0</v>
      </c>
      <c r="K216" s="179" t="s">
        <v>100</v>
      </c>
      <c r="L216" s="184">
        <v>38489.0</v>
      </c>
      <c r="M216" s="184">
        <v>257.0</v>
      </c>
      <c r="N216" s="184" t="s">
        <v>646</v>
      </c>
      <c r="O216" s="184">
        <v>15.0</v>
      </c>
      <c r="P216" s="184">
        <v>13.0</v>
      </c>
      <c r="Q216" s="184" t="s">
        <v>647</v>
      </c>
      <c r="R216" s="184" t="s">
        <v>648</v>
      </c>
      <c r="S216" s="184">
        <v>73394.0</v>
      </c>
      <c r="T216" s="184" t="s">
        <v>649</v>
      </c>
      <c r="U216" s="184">
        <v>17.0</v>
      </c>
      <c r="V216" s="184">
        <v>13.0</v>
      </c>
      <c r="W216" s="184">
        <v>1.3611024E7</v>
      </c>
      <c r="X216" s="184">
        <v>9576724.0</v>
      </c>
      <c r="Y216" s="184">
        <v>1100910.0</v>
      </c>
      <c r="Z216" s="184" t="s">
        <v>650</v>
      </c>
      <c r="AA216" s="190">
        <v>46211.0</v>
      </c>
      <c r="AB216" s="184" t="s">
        <v>651</v>
      </c>
      <c r="AC216" s="184" t="s">
        <v>652</v>
      </c>
      <c r="AD216" s="179" t="s">
        <v>97</v>
      </c>
      <c r="AE216" s="179" t="s">
        <v>97</v>
      </c>
      <c r="AF216" s="179" t="s">
        <v>97</v>
      </c>
      <c r="AG216" s="156"/>
    </row>
    <row r="217" ht="15.75" customHeight="1">
      <c r="A217" s="184">
        <v>3.0</v>
      </c>
      <c r="B217" s="179" t="s">
        <v>613</v>
      </c>
      <c r="C217" s="179" t="s">
        <v>95</v>
      </c>
      <c r="D217" s="179" t="s">
        <v>301</v>
      </c>
      <c r="E217" s="184">
        <v>4.2625807818E10</v>
      </c>
      <c r="F217" s="179" t="s">
        <v>97</v>
      </c>
      <c r="G217" s="179" t="s">
        <v>97</v>
      </c>
      <c r="H217" s="179" t="s">
        <v>176</v>
      </c>
      <c r="I217" s="179" t="s">
        <v>114</v>
      </c>
      <c r="J217" s="185">
        <v>45961.0</v>
      </c>
      <c r="K217" s="179" t="s">
        <v>100</v>
      </c>
      <c r="L217" s="184">
        <v>36547.0</v>
      </c>
      <c r="M217" s="184">
        <v>274.0</v>
      </c>
      <c r="N217" s="184" t="s">
        <v>653</v>
      </c>
      <c r="O217" s="184">
        <v>6.0</v>
      </c>
      <c r="P217" s="184">
        <v>1.0</v>
      </c>
      <c r="Q217" s="184" t="s">
        <v>654</v>
      </c>
      <c r="R217" s="184" t="s">
        <v>655</v>
      </c>
      <c r="S217" s="184" t="s">
        <v>656</v>
      </c>
      <c r="T217" s="184" t="s">
        <v>657</v>
      </c>
      <c r="U217" s="184">
        <v>10.0</v>
      </c>
      <c r="V217" s="184">
        <v>1.0</v>
      </c>
      <c r="W217" s="184">
        <v>1.05964E7</v>
      </c>
      <c r="X217" s="184">
        <v>2019600.0</v>
      </c>
      <c r="Y217" s="184">
        <v>1231238.0</v>
      </c>
      <c r="Z217" s="184" t="s">
        <v>658</v>
      </c>
      <c r="AA217" s="184" t="s">
        <v>659</v>
      </c>
      <c r="AB217" s="184" t="s">
        <v>660</v>
      </c>
      <c r="AC217" s="184" t="s">
        <v>661</v>
      </c>
      <c r="AD217" s="179" t="s">
        <v>97</v>
      </c>
      <c r="AE217" s="179" t="s">
        <v>97</v>
      </c>
      <c r="AF217" s="179" t="s">
        <v>97</v>
      </c>
      <c r="AG217" s="156"/>
    </row>
    <row r="218" ht="15.75" customHeight="1">
      <c r="A218" s="184">
        <v>4.0</v>
      </c>
      <c r="B218" s="179" t="s">
        <v>154</v>
      </c>
      <c r="C218" s="179" t="s">
        <v>95</v>
      </c>
      <c r="D218" s="179" t="s">
        <v>301</v>
      </c>
      <c r="E218" s="184">
        <v>5.158911395E9</v>
      </c>
      <c r="F218" s="179" t="s">
        <v>97</v>
      </c>
      <c r="G218" s="179" t="s">
        <v>97</v>
      </c>
      <c r="H218" s="179" t="s">
        <v>113</v>
      </c>
      <c r="I218" s="179" t="s">
        <v>114</v>
      </c>
      <c r="J218" s="187">
        <v>45831.0</v>
      </c>
      <c r="K218" s="179" t="s">
        <v>100</v>
      </c>
      <c r="L218" s="184">
        <v>13211.0</v>
      </c>
      <c r="M218" s="184">
        <v>184.0</v>
      </c>
      <c r="N218" s="184" t="s">
        <v>282</v>
      </c>
      <c r="O218" s="184">
        <v>7.0</v>
      </c>
      <c r="P218" s="184">
        <v>6.0</v>
      </c>
      <c r="Q218" s="184" t="s">
        <v>662</v>
      </c>
      <c r="R218" s="184" t="s">
        <v>663</v>
      </c>
      <c r="S218" s="184" t="s">
        <v>664</v>
      </c>
      <c r="T218" s="184" t="s">
        <v>665</v>
      </c>
      <c r="U218" s="184">
        <v>14.0</v>
      </c>
      <c r="V218" s="184">
        <v>13.0</v>
      </c>
      <c r="W218" s="184">
        <v>2643380.0</v>
      </c>
      <c r="X218" s="184">
        <v>800000.0</v>
      </c>
      <c r="Y218" s="184">
        <v>381895.0</v>
      </c>
      <c r="Z218" s="184" t="s">
        <v>666</v>
      </c>
      <c r="AA218" s="188">
        <v>46267.0</v>
      </c>
      <c r="AB218" s="184" t="s">
        <v>667</v>
      </c>
      <c r="AC218" s="184" t="s">
        <v>668</v>
      </c>
      <c r="AD218" s="179" t="s">
        <v>97</v>
      </c>
      <c r="AE218" s="179" t="s">
        <v>97</v>
      </c>
      <c r="AF218" s="179" t="s">
        <v>97</v>
      </c>
      <c r="AG218" s="156"/>
    </row>
    <row r="219" ht="15.75" customHeight="1">
      <c r="AG219" s="156"/>
    </row>
    <row r="220" ht="15.75" customHeight="1">
      <c r="AG220" s="156"/>
    </row>
    <row r="221" ht="15.75" customHeight="1">
      <c r="AG221" s="156"/>
    </row>
    <row r="222" ht="15.75" customHeight="1">
      <c r="AG222" s="156"/>
    </row>
    <row r="223" ht="15.75" customHeight="1">
      <c r="AG223" s="156"/>
    </row>
    <row r="224" ht="15.75" customHeight="1">
      <c r="AG224" s="156"/>
    </row>
    <row r="225" ht="15.75" customHeight="1">
      <c r="AG225" s="156"/>
    </row>
    <row r="226" ht="15.75" customHeight="1">
      <c r="AG226" s="156"/>
    </row>
    <row r="227" ht="15.75" customHeight="1">
      <c r="AG227" s="156"/>
    </row>
    <row r="228" ht="15.75" customHeight="1">
      <c r="AG228" s="156"/>
    </row>
    <row r="229" ht="15.75" customHeight="1">
      <c r="AG229" s="156"/>
    </row>
    <row r="230" ht="15.75" customHeight="1">
      <c r="AG230" s="156"/>
    </row>
    <row r="231" ht="15.75" customHeight="1">
      <c r="AG231" s="156"/>
    </row>
    <row r="232" ht="15.75" customHeight="1">
      <c r="AG232" s="156"/>
    </row>
    <row r="233" ht="15.75" customHeight="1">
      <c r="AG233" s="156"/>
    </row>
    <row r="234" ht="15.75" customHeight="1">
      <c r="AG234" s="156"/>
    </row>
    <row r="235" ht="15.75" customHeight="1">
      <c r="AG235" s="156"/>
    </row>
    <row r="236" ht="15.75" customHeight="1">
      <c r="AG236" s="156"/>
    </row>
    <row r="237" ht="15.75" customHeight="1">
      <c r="AG237" s="156"/>
    </row>
    <row r="238" ht="15.75" customHeight="1">
      <c r="AG238" s="156"/>
    </row>
    <row r="239" ht="15.75" customHeight="1">
      <c r="AG239" s="156"/>
    </row>
    <row r="240" ht="15.75" customHeight="1">
      <c r="AG240" s="156"/>
    </row>
    <row r="241" ht="15.75" customHeight="1">
      <c r="AG241" s="156"/>
    </row>
    <row r="242" ht="15.75" customHeight="1">
      <c r="AG242" s="156"/>
    </row>
    <row r="243" ht="15.75" customHeight="1">
      <c r="AG243" s="156"/>
    </row>
    <row r="244" ht="15.75" customHeight="1">
      <c r="AG244" s="156"/>
    </row>
    <row r="245" ht="15.75" customHeight="1">
      <c r="AG245" s="156"/>
    </row>
    <row r="246" ht="15.75" customHeight="1">
      <c r="AG246" s="156"/>
    </row>
    <row r="247" ht="15.75" customHeight="1">
      <c r="AG247" s="156"/>
    </row>
    <row r="248" ht="15.75" customHeight="1">
      <c r="AG248" s="156"/>
    </row>
    <row r="249" ht="15.75" customHeight="1">
      <c r="AG249" s="156"/>
    </row>
    <row r="250" ht="15.75" customHeight="1">
      <c r="AG250" s="156"/>
    </row>
    <row r="251" ht="15.75" customHeight="1">
      <c r="AG251" s="156"/>
    </row>
    <row r="252" ht="15.75" customHeight="1">
      <c r="AG252" s="156"/>
    </row>
    <row r="253" ht="15.75" customHeight="1">
      <c r="AG253" s="156"/>
    </row>
    <row r="254" ht="15.75" customHeight="1">
      <c r="AG254" s="156"/>
    </row>
    <row r="255" ht="15.75" customHeight="1">
      <c r="AG255" s="156"/>
    </row>
    <row r="256" ht="15.75" customHeight="1">
      <c r="AG256" s="156"/>
    </row>
    <row r="257" ht="15.75" customHeight="1">
      <c r="AG257" s="156"/>
    </row>
    <row r="258" ht="15.75" customHeight="1">
      <c r="AG258" s="156"/>
    </row>
    <row r="259" ht="15.75" customHeight="1">
      <c r="AG259" s="156"/>
    </row>
    <row r="260" ht="15.75" customHeight="1">
      <c r="AG260" s="156"/>
    </row>
    <row r="261" ht="15.75" customHeight="1">
      <c r="AG261" s="156"/>
    </row>
    <row r="262" ht="15.75" customHeight="1">
      <c r="AG262" s="156"/>
    </row>
    <row r="263" ht="15.75" customHeight="1">
      <c r="AG263" s="156"/>
    </row>
    <row r="264" ht="15.75" customHeight="1">
      <c r="AG264" s="156"/>
    </row>
    <row r="265" ht="15.75" customHeight="1">
      <c r="AG265" s="156"/>
    </row>
    <row r="266" ht="15.75" customHeight="1">
      <c r="AG266" s="156"/>
    </row>
    <row r="267" ht="15.75" customHeight="1">
      <c r="AG267" s="156"/>
    </row>
    <row r="268" ht="15.75" customHeight="1">
      <c r="AG268" s="156"/>
    </row>
    <row r="269" ht="15.75" customHeight="1">
      <c r="AG269" s="156"/>
    </row>
    <row r="270" ht="15.75" customHeight="1">
      <c r="AG270" s="156"/>
    </row>
    <row r="271" ht="15.75" customHeight="1">
      <c r="AG271" s="156"/>
    </row>
    <row r="272" ht="15.75" customHeight="1">
      <c r="AG272" s="156"/>
    </row>
    <row r="273" ht="15.75" customHeight="1">
      <c r="AG273" s="156"/>
    </row>
    <row r="274" ht="15.75" customHeight="1">
      <c r="AG274" s="156"/>
    </row>
    <row r="275" ht="15.75" customHeight="1">
      <c r="AG275" s="156"/>
    </row>
    <row r="276" ht="15.75" customHeight="1">
      <c r="AG276" s="156"/>
    </row>
    <row r="277" ht="15.75" customHeight="1">
      <c r="AG277" s="156"/>
    </row>
    <row r="278" ht="15.75" customHeight="1">
      <c r="AG278" s="156"/>
    </row>
    <row r="279" ht="15.75" customHeight="1">
      <c r="AG279" s="156"/>
    </row>
    <row r="280" ht="15.75" customHeight="1">
      <c r="AG280" s="156"/>
    </row>
    <row r="281" ht="15.75" customHeight="1">
      <c r="AG281" s="156"/>
    </row>
    <row r="282" ht="15.75" customHeight="1">
      <c r="AG282" s="156"/>
    </row>
    <row r="283" ht="15.75" customHeight="1">
      <c r="AG283" s="156"/>
    </row>
    <row r="284" ht="15.75" customHeight="1">
      <c r="AG284" s="156"/>
    </row>
    <row r="285" ht="15.75" customHeight="1">
      <c r="AG285" s="156"/>
    </row>
    <row r="286" ht="15.75" customHeight="1">
      <c r="AG286" s="156"/>
    </row>
    <row r="287" ht="15.75" customHeight="1">
      <c r="AG287" s="156"/>
    </row>
    <row r="288" ht="15.75" customHeight="1">
      <c r="AG288" s="156"/>
    </row>
    <row r="289" ht="15.75" customHeight="1">
      <c r="AG289" s="156"/>
    </row>
    <row r="290" ht="15.75" customHeight="1">
      <c r="AG290" s="156"/>
    </row>
    <row r="291" ht="15.75" customHeight="1">
      <c r="AG291" s="156"/>
    </row>
    <row r="292" ht="15.75" customHeight="1">
      <c r="AG292" s="156"/>
    </row>
    <row r="293" ht="15.75" customHeight="1">
      <c r="AG293" s="156"/>
    </row>
    <row r="294" ht="15.75" customHeight="1">
      <c r="AG294" s="156"/>
    </row>
    <row r="295" ht="15.75" customHeight="1">
      <c r="AG295" s="156"/>
    </row>
    <row r="296" ht="15.75" customHeight="1">
      <c r="AG296" s="156"/>
    </row>
    <row r="297" ht="15.75" customHeight="1">
      <c r="AG297" s="156"/>
    </row>
    <row r="298" ht="15.75" customHeight="1">
      <c r="AG298" s="156"/>
    </row>
    <row r="299" ht="15.75" customHeight="1">
      <c r="AG299" s="156"/>
    </row>
    <row r="300" ht="15.75" customHeight="1">
      <c r="AG300" s="156"/>
    </row>
    <row r="301" ht="15.75" customHeight="1">
      <c r="AG301" s="156"/>
    </row>
    <row r="302" ht="15.75" customHeight="1">
      <c r="AG302" s="156"/>
    </row>
    <row r="303" ht="15.75" customHeight="1">
      <c r="AG303" s="156"/>
    </row>
    <row r="304" ht="15.75" customHeight="1">
      <c r="AG304" s="156"/>
    </row>
    <row r="305" ht="15.75" customHeight="1">
      <c r="AG305" s="156"/>
    </row>
    <row r="306" ht="15.75" customHeight="1">
      <c r="AG306" s="156"/>
    </row>
    <row r="307" ht="15.75" customHeight="1">
      <c r="AG307" s="156"/>
    </row>
    <row r="308" ht="15.75" customHeight="1">
      <c r="AG308" s="156"/>
    </row>
    <row r="309" ht="15.75" customHeight="1">
      <c r="AG309" s="156"/>
    </row>
    <row r="310" ht="15.75" customHeight="1">
      <c r="AG310" s="156"/>
    </row>
    <row r="311" ht="15.75" customHeight="1">
      <c r="AG311" s="156"/>
    </row>
    <row r="312" ht="15.75" customHeight="1">
      <c r="AG312" s="156"/>
    </row>
    <row r="313" ht="15.75" customHeight="1">
      <c r="AG313" s="156"/>
    </row>
    <row r="314" ht="15.75" customHeight="1">
      <c r="AG314" s="156"/>
    </row>
    <row r="315" ht="15.75" customHeight="1">
      <c r="AG315" s="156"/>
    </row>
    <row r="316" ht="15.75" customHeight="1">
      <c r="AG316" s="156"/>
    </row>
    <row r="317" ht="15.75" customHeight="1">
      <c r="AG317" s="156"/>
    </row>
    <row r="318" ht="15.75" customHeight="1">
      <c r="AG318" s="156"/>
    </row>
    <row r="319" ht="15.75" customHeight="1">
      <c r="AG319" s="156"/>
    </row>
    <row r="320" ht="15.75" customHeight="1">
      <c r="AG320" s="156"/>
    </row>
    <row r="321" ht="15.75" customHeight="1">
      <c r="AG321" s="156"/>
    </row>
    <row r="322" ht="15.75" customHeight="1">
      <c r="AG322" s="156"/>
    </row>
    <row r="323" ht="15.75" customHeight="1">
      <c r="AG323" s="156"/>
    </row>
    <row r="324" ht="15.75" customHeight="1">
      <c r="AG324" s="156"/>
    </row>
    <row r="325" ht="15.75" customHeight="1">
      <c r="AG325" s="156"/>
    </row>
    <row r="326" ht="15.75" customHeight="1">
      <c r="AG326" s="156"/>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1:D1"/>
    <mergeCell ref="B2:C2"/>
    <mergeCell ref="B3:C3"/>
    <mergeCell ref="B6:C6"/>
    <mergeCell ref="A32:D32"/>
    <mergeCell ref="B33:C33"/>
    <mergeCell ref="B34:C34"/>
    <mergeCell ref="B37:C37"/>
    <mergeCell ref="A56:D56"/>
    <mergeCell ref="B57:C57"/>
    <mergeCell ref="B58:C58"/>
    <mergeCell ref="A78:D78"/>
    <mergeCell ref="B79:C79"/>
    <mergeCell ref="B80:C80"/>
    <mergeCell ref="B83:C83"/>
    <mergeCell ref="A101:E101"/>
    <mergeCell ref="B102:C102"/>
    <mergeCell ref="B103:C103"/>
    <mergeCell ref="B106:C106"/>
    <mergeCell ref="A128:D128"/>
    <mergeCell ref="B129:C129"/>
    <mergeCell ref="B130:C130"/>
    <mergeCell ref="A162:E162"/>
    <mergeCell ref="B163:C163"/>
    <mergeCell ref="B164:C164"/>
    <mergeCell ref="B167:C167"/>
    <mergeCell ref="A190:D190"/>
    <mergeCell ref="B191:C191"/>
    <mergeCell ref="B192:C192"/>
  </mergeCells>
  <conditionalFormatting sqref="W7:Y7 W38 Y38 W62:Y62 W84:Y84 W107:Y107 W134:Y134 W168:Y168 W196:Y196 W213:Y213">
    <cfRule type="notContainsBlanks" dxfId="0" priority="1">
      <formula>LEN(TRIM(W7))&gt;0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1" width="17.5"/>
    <col customWidth="1" min="2" max="2" width="22.38"/>
    <col customWidth="1" min="3" max="3" width="17.63"/>
    <col customWidth="1" min="4" max="4" width="25.0"/>
    <col customWidth="1" min="8" max="8" width="20.63"/>
    <col customWidth="1" min="9" max="9" width="22.88"/>
    <col customWidth="1" min="10" max="10" width="20.38"/>
    <col customWidth="1" min="19" max="19" width="6.0"/>
  </cols>
  <sheetData>
    <row r="1" ht="15.75" customHeight="1">
      <c r="A1" s="191" t="s">
        <v>33</v>
      </c>
      <c r="B1" s="192" t="s">
        <v>669</v>
      </c>
      <c r="C1" s="192" t="s">
        <v>670</v>
      </c>
      <c r="D1" s="192" t="s">
        <v>671</v>
      </c>
      <c r="E1" s="192" t="s">
        <v>672</v>
      </c>
      <c r="F1" s="192" t="s">
        <v>673</v>
      </c>
      <c r="G1" s="192" t="s">
        <v>674</v>
      </c>
      <c r="H1" s="192" t="s">
        <v>37</v>
      </c>
      <c r="I1" s="192" t="s">
        <v>38</v>
      </c>
      <c r="J1" s="192" t="s">
        <v>39</v>
      </c>
      <c r="K1" s="192" t="s">
        <v>675</v>
      </c>
      <c r="L1" s="192" t="s">
        <v>676</v>
      </c>
      <c r="M1" s="192" t="s">
        <v>677</v>
      </c>
      <c r="N1" s="192" t="s">
        <v>678</v>
      </c>
      <c r="O1" s="192" t="s">
        <v>679</v>
      </c>
      <c r="P1" s="192" t="s">
        <v>680</v>
      </c>
      <c r="Q1" s="193" t="s">
        <v>681</v>
      </c>
      <c r="R1" s="109"/>
      <c r="S1" s="109"/>
      <c r="T1" s="109"/>
      <c r="U1" s="109"/>
      <c r="V1" s="109"/>
      <c r="W1" s="109"/>
      <c r="X1" s="109"/>
      <c r="Y1" s="109"/>
      <c r="Z1" s="109"/>
    </row>
    <row r="2" ht="15.75" customHeight="1">
      <c r="A2" s="194" t="s">
        <v>682</v>
      </c>
      <c r="B2" s="195">
        <v>4.7713575E7</v>
      </c>
      <c r="C2" s="196">
        <v>67.0</v>
      </c>
      <c r="D2" s="197">
        <v>712142.91</v>
      </c>
      <c r="E2" s="196">
        <v>1821.0</v>
      </c>
      <c r="F2" s="196">
        <v>2951.0</v>
      </c>
      <c r="G2" s="198">
        <v>0.0368</v>
      </c>
      <c r="H2" s="196">
        <v>8.0</v>
      </c>
      <c r="I2" s="195">
        <v>6452176.0</v>
      </c>
      <c r="J2" s="196">
        <v>0.0</v>
      </c>
      <c r="K2" s="196">
        <v>0.0</v>
      </c>
      <c r="L2" s="196">
        <v>58.0</v>
      </c>
      <c r="M2" s="196">
        <v>38.0</v>
      </c>
      <c r="N2" s="196">
        <v>20.0</v>
      </c>
      <c r="O2" s="196">
        <v>150.0</v>
      </c>
      <c r="P2" s="198">
        <v>0.1552</v>
      </c>
      <c r="Q2" s="193"/>
      <c r="R2" s="109"/>
      <c r="S2" s="109"/>
      <c r="T2" s="109"/>
      <c r="U2" s="109"/>
      <c r="V2" s="109"/>
      <c r="W2" s="109"/>
      <c r="X2" s="109"/>
      <c r="Y2" s="109"/>
      <c r="Z2" s="109"/>
    </row>
    <row r="3" ht="15.75" customHeight="1">
      <c r="A3" s="199"/>
      <c r="B3" s="109"/>
      <c r="C3" s="109"/>
      <c r="D3" s="109"/>
      <c r="E3" s="109"/>
      <c r="F3" s="109"/>
      <c r="G3" s="109"/>
      <c r="H3" s="109"/>
      <c r="I3" s="109"/>
      <c r="J3" s="109"/>
      <c r="K3" s="109"/>
      <c r="L3" s="109"/>
      <c r="M3" s="109"/>
      <c r="N3" s="109"/>
      <c r="O3" s="109"/>
      <c r="P3" s="109"/>
      <c r="Q3" s="193"/>
      <c r="R3" s="109"/>
      <c r="S3" s="109"/>
      <c r="T3" s="109"/>
      <c r="U3" s="109"/>
      <c r="V3" s="109"/>
      <c r="W3" s="109"/>
      <c r="X3" s="109"/>
      <c r="Y3" s="109"/>
      <c r="Z3" s="109"/>
    </row>
    <row r="4" ht="15.75" customHeight="1">
      <c r="A4" s="109" t="s">
        <v>33</v>
      </c>
      <c r="B4" s="109" t="s">
        <v>669</v>
      </c>
      <c r="C4" s="109" t="s">
        <v>670</v>
      </c>
      <c r="D4" s="109" t="s">
        <v>671</v>
      </c>
      <c r="E4" s="109" t="s">
        <v>672</v>
      </c>
      <c r="F4" s="109" t="s">
        <v>673</v>
      </c>
      <c r="G4" s="109" t="s">
        <v>683</v>
      </c>
      <c r="H4" s="109" t="s">
        <v>37</v>
      </c>
      <c r="I4" s="109" t="s">
        <v>38</v>
      </c>
      <c r="J4" s="109" t="s">
        <v>39</v>
      </c>
      <c r="K4" s="109" t="s">
        <v>675</v>
      </c>
      <c r="L4" s="109" t="s">
        <v>676</v>
      </c>
      <c r="M4" s="109" t="s">
        <v>677</v>
      </c>
      <c r="N4" s="109" t="s">
        <v>678</v>
      </c>
      <c r="O4" s="109" t="s">
        <v>679</v>
      </c>
      <c r="P4" s="109" t="s">
        <v>680</v>
      </c>
      <c r="Q4" s="193" t="s">
        <v>681</v>
      </c>
      <c r="R4" s="109"/>
      <c r="S4" s="109"/>
      <c r="T4" s="109"/>
      <c r="U4" s="109"/>
      <c r="V4" s="109"/>
      <c r="W4" s="109"/>
      <c r="X4" s="109"/>
      <c r="Y4" s="109"/>
      <c r="Z4" s="109"/>
    </row>
    <row r="5" ht="15.75" customHeight="1">
      <c r="A5" s="200">
        <v>45870.0</v>
      </c>
      <c r="B5" s="201">
        <v>93299.0</v>
      </c>
      <c r="C5" s="202">
        <v>1.0</v>
      </c>
      <c r="D5" s="203">
        <v>93299.0</v>
      </c>
      <c r="E5" s="202">
        <v>49.0</v>
      </c>
      <c r="F5" s="202">
        <v>63.0</v>
      </c>
      <c r="G5" s="204">
        <v>0.0204</v>
      </c>
      <c r="H5" s="202">
        <v>0.0</v>
      </c>
      <c r="I5" s="201">
        <v>0.0</v>
      </c>
      <c r="J5" s="202">
        <v>0.0</v>
      </c>
      <c r="K5" s="202">
        <v>0.0</v>
      </c>
      <c r="L5" s="202">
        <v>1.0</v>
      </c>
      <c r="M5" s="202">
        <v>1.0</v>
      </c>
      <c r="N5" s="202">
        <v>0.0</v>
      </c>
      <c r="O5" s="202">
        <v>6.0</v>
      </c>
      <c r="P5" s="204">
        <v>0.0</v>
      </c>
      <c r="Q5" s="193">
        <f t="shared" ref="Q5:Q35" si="1">MONTH(A5)</f>
        <v>8</v>
      </c>
      <c r="R5" s="109"/>
      <c r="S5" s="109"/>
      <c r="T5" s="109"/>
      <c r="U5" s="109"/>
      <c r="V5" s="109"/>
      <c r="W5" s="109"/>
      <c r="X5" s="109"/>
      <c r="Y5" s="109"/>
      <c r="Z5" s="109"/>
    </row>
    <row r="6" ht="15.75" customHeight="1">
      <c r="A6" s="200">
        <v>45871.0</v>
      </c>
      <c r="B6" s="201">
        <v>1651000.0</v>
      </c>
      <c r="C6" s="202">
        <v>2.0</v>
      </c>
      <c r="D6" s="203">
        <v>825500.0</v>
      </c>
      <c r="E6" s="202">
        <v>39.0</v>
      </c>
      <c r="F6" s="202">
        <v>87.0</v>
      </c>
      <c r="G6" s="204">
        <v>0.0513</v>
      </c>
      <c r="H6" s="202">
        <v>0.0</v>
      </c>
      <c r="I6" s="202">
        <v>0.0</v>
      </c>
      <c r="J6" s="202">
        <v>0.0</v>
      </c>
      <c r="K6" s="202">
        <v>0.0</v>
      </c>
      <c r="L6" s="202">
        <v>2.0</v>
      </c>
      <c r="M6" s="202">
        <v>1.0</v>
      </c>
      <c r="N6" s="202">
        <v>1.0</v>
      </c>
      <c r="O6" s="202">
        <v>4.0</v>
      </c>
      <c r="P6" s="204">
        <v>0.0</v>
      </c>
      <c r="Q6" s="193">
        <f t="shared" si="1"/>
        <v>8</v>
      </c>
      <c r="R6" s="109"/>
      <c r="S6" s="109"/>
      <c r="T6" s="109"/>
      <c r="U6" s="109"/>
      <c r="V6" s="109"/>
      <c r="W6" s="109"/>
      <c r="X6" s="109"/>
      <c r="Y6" s="109"/>
      <c r="Z6" s="109"/>
    </row>
    <row r="7" ht="15.75" customHeight="1">
      <c r="A7" s="200">
        <v>45872.0</v>
      </c>
      <c r="B7" s="201">
        <v>0.0</v>
      </c>
      <c r="C7" s="202">
        <v>0.0</v>
      </c>
      <c r="D7" s="203">
        <v>0.0</v>
      </c>
      <c r="E7" s="202">
        <v>42.0</v>
      </c>
      <c r="F7" s="202">
        <v>95.0</v>
      </c>
      <c r="G7" s="204">
        <v>0.0</v>
      </c>
      <c r="H7" s="202">
        <v>0.0</v>
      </c>
      <c r="I7" s="201">
        <v>0.0</v>
      </c>
      <c r="J7" s="202">
        <v>0.0</v>
      </c>
      <c r="K7" s="202">
        <v>0.0</v>
      </c>
      <c r="L7" s="202">
        <v>0.0</v>
      </c>
      <c r="M7" s="202">
        <v>0.0</v>
      </c>
      <c r="N7" s="202">
        <v>0.0</v>
      </c>
      <c r="O7" s="202">
        <v>11.0</v>
      </c>
      <c r="P7" s="204">
        <v>0.0</v>
      </c>
      <c r="Q7" s="193">
        <f t="shared" si="1"/>
        <v>8</v>
      </c>
      <c r="R7" s="109"/>
      <c r="S7" s="109"/>
      <c r="T7" s="109"/>
      <c r="U7" s="109"/>
      <c r="V7" s="109"/>
      <c r="W7" s="109"/>
      <c r="X7" s="109"/>
      <c r="Y7" s="109"/>
      <c r="Z7" s="109"/>
    </row>
    <row r="8" ht="15.75" customHeight="1">
      <c r="A8" s="200">
        <v>45873.0</v>
      </c>
      <c r="B8" s="201">
        <v>1852550.0</v>
      </c>
      <c r="C8" s="202">
        <v>2.0</v>
      </c>
      <c r="D8" s="203">
        <v>926275.0</v>
      </c>
      <c r="E8" s="202">
        <v>53.0</v>
      </c>
      <c r="F8" s="202">
        <v>82.0</v>
      </c>
      <c r="G8" s="204">
        <v>0.0377</v>
      </c>
      <c r="H8" s="202">
        <v>1.0</v>
      </c>
      <c r="I8" s="201">
        <v>1045800.0</v>
      </c>
      <c r="J8" s="202">
        <v>0.0</v>
      </c>
      <c r="K8" s="202">
        <v>0.0</v>
      </c>
      <c r="L8" s="202">
        <v>2.0</v>
      </c>
      <c r="M8" s="202">
        <v>0.0</v>
      </c>
      <c r="N8" s="202">
        <v>2.0</v>
      </c>
      <c r="O8" s="202">
        <v>4.0</v>
      </c>
      <c r="P8" s="204">
        <v>0.0</v>
      </c>
      <c r="Q8" s="193">
        <f t="shared" si="1"/>
        <v>8</v>
      </c>
      <c r="R8" s="109"/>
      <c r="S8" s="109"/>
      <c r="T8" s="109"/>
      <c r="U8" s="109"/>
      <c r="V8" s="109"/>
      <c r="W8" s="109"/>
      <c r="X8" s="109"/>
      <c r="Y8" s="109"/>
      <c r="Z8" s="109"/>
    </row>
    <row r="9" ht="15.75" customHeight="1">
      <c r="A9" s="200">
        <v>45874.0</v>
      </c>
      <c r="B9" s="201">
        <v>0.0</v>
      </c>
      <c r="C9" s="202">
        <v>0.0</v>
      </c>
      <c r="D9" s="203">
        <v>0.0</v>
      </c>
      <c r="E9" s="202">
        <v>39.0</v>
      </c>
      <c r="F9" s="202">
        <v>82.0</v>
      </c>
      <c r="G9" s="204">
        <v>0.0</v>
      </c>
      <c r="H9" s="202">
        <v>0.0</v>
      </c>
      <c r="I9" s="202">
        <v>0.0</v>
      </c>
      <c r="J9" s="202">
        <v>0.0</v>
      </c>
      <c r="K9" s="202">
        <v>0.0</v>
      </c>
      <c r="L9" s="202">
        <v>0.0</v>
      </c>
      <c r="M9" s="202">
        <v>0.0</v>
      </c>
      <c r="N9" s="202">
        <v>0.0</v>
      </c>
      <c r="O9" s="202">
        <v>4.0</v>
      </c>
      <c r="P9" s="204">
        <v>0.0</v>
      </c>
      <c r="Q9" s="193">
        <f t="shared" si="1"/>
        <v>8</v>
      </c>
      <c r="R9" s="109"/>
      <c r="S9" s="109"/>
      <c r="T9" s="109"/>
      <c r="U9" s="109"/>
      <c r="V9" s="109"/>
      <c r="W9" s="109"/>
      <c r="X9" s="109"/>
      <c r="Y9" s="109"/>
      <c r="Z9" s="109"/>
    </row>
    <row r="10" ht="15.75" customHeight="1">
      <c r="A10" s="200">
        <v>45875.0</v>
      </c>
      <c r="B10" s="201">
        <v>1136080.0</v>
      </c>
      <c r="C10" s="202">
        <v>2.0</v>
      </c>
      <c r="D10" s="203">
        <v>568040.0</v>
      </c>
      <c r="E10" s="202">
        <v>33.0</v>
      </c>
      <c r="F10" s="202">
        <v>65.0</v>
      </c>
      <c r="G10" s="204">
        <v>0.0606</v>
      </c>
      <c r="H10" s="202">
        <v>0.0</v>
      </c>
      <c r="I10" s="201">
        <v>0.0</v>
      </c>
      <c r="J10" s="202">
        <v>0.0</v>
      </c>
      <c r="K10" s="202">
        <v>0.0</v>
      </c>
      <c r="L10" s="202">
        <v>2.0</v>
      </c>
      <c r="M10" s="202">
        <v>1.0</v>
      </c>
      <c r="N10" s="202">
        <v>1.0</v>
      </c>
      <c r="O10" s="202">
        <v>5.0</v>
      </c>
      <c r="P10" s="204">
        <v>0.0</v>
      </c>
      <c r="Q10" s="193">
        <f t="shared" si="1"/>
        <v>8</v>
      </c>
      <c r="R10" s="109"/>
      <c r="S10" s="109"/>
      <c r="T10" s="109"/>
      <c r="U10" s="109"/>
      <c r="V10" s="109"/>
      <c r="W10" s="109"/>
      <c r="X10" s="109"/>
      <c r="Y10" s="109"/>
      <c r="Z10" s="109"/>
    </row>
    <row r="11" ht="15.75" customHeight="1">
      <c r="A11" s="200">
        <v>45876.0</v>
      </c>
      <c r="B11" s="201">
        <v>0.0</v>
      </c>
      <c r="C11" s="202">
        <v>0.0</v>
      </c>
      <c r="D11" s="203">
        <v>0.0</v>
      </c>
      <c r="E11" s="202">
        <v>53.0</v>
      </c>
      <c r="F11" s="202">
        <v>94.0</v>
      </c>
      <c r="G11" s="204">
        <v>0.0</v>
      </c>
      <c r="H11" s="202">
        <v>0.0</v>
      </c>
      <c r="I11" s="201">
        <v>0.0</v>
      </c>
      <c r="J11" s="202">
        <v>0.0</v>
      </c>
      <c r="K11" s="202">
        <v>0.0</v>
      </c>
      <c r="L11" s="202">
        <v>0.0</v>
      </c>
      <c r="M11" s="202">
        <v>0.0</v>
      </c>
      <c r="N11" s="202">
        <v>0.0</v>
      </c>
      <c r="O11" s="202">
        <v>9.0</v>
      </c>
      <c r="P11" s="204">
        <v>0.0</v>
      </c>
      <c r="Q11" s="193">
        <f t="shared" si="1"/>
        <v>8</v>
      </c>
      <c r="R11" s="109"/>
      <c r="S11" s="109"/>
      <c r="T11" s="109"/>
      <c r="U11" s="109"/>
      <c r="V11" s="109"/>
      <c r="W11" s="109"/>
      <c r="X11" s="109"/>
      <c r="Y11" s="109"/>
      <c r="Z11" s="109"/>
    </row>
    <row r="12" ht="15.75" customHeight="1">
      <c r="A12" s="200">
        <v>45877.0</v>
      </c>
      <c r="B12" s="201">
        <v>1.079756E7</v>
      </c>
      <c r="C12" s="202">
        <v>13.0</v>
      </c>
      <c r="D12" s="203">
        <v>830581.54</v>
      </c>
      <c r="E12" s="202">
        <v>80.0</v>
      </c>
      <c r="F12" s="202">
        <v>112.0</v>
      </c>
      <c r="G12" s="204">
        <v>0.1625</v>
      </c>
      <c r="H12" s="202">
        <v>1.0</v>
      </c>
      <c r="I12" s="201">
        <v>727600.0</v>
      </c>
      <c r="J12" s="202">
        <v>0.0</v>
      </c>
      <c r="K12" s="202">
        <v>0.0</v>
      </c>
      <c r="L12" s="202">
        <v>12.0</v>
      </c>
      <c r="M12" s="202">
        <v>5.0</v>
      </c>
      <c r="N12" s="202">
        <v>7.0</v>
      </c>
      <c r="O12" s="202">
        <v>4.0</v>
      </c>
      <c r="P12" s="204">
        <v>0.0833</v>
      </c>
      <c r="Q12" s="193">
        <f t="shared" si="1"/>
        <v>8</v>
      </c>
      <c r="R12" s="109"/>
      <c r="S12" s="109"/>
      <c r="T12" s="109"/>
      <c r="U12" s="109"/>
      <c r="V12" s="109"/>
      <c r="W12" s="109"/>
      <c r="X12" s="109"/>
      <c r="Y12" s="109"/>
      <c r="Z12" s="109"/>
    </row>
    <row r="13" ht="15.75" customHeight="1">
      <c r="A13" s="200">
        <v>45878.0</v>
      </c>
      <c r="B13" s="201">
        <v>914800.0</v>
      </c>
      <c r="C13" s="202">
        <v>2.0</v>
      </c>
      <c r="D13" s="203">
        <v>457400.0</v>
      </c>
      <c r="E13" s="202">
        <v>53.0</v>
      </c>
      <c r="F13" s="202">
        <v>146.0</v>
      </c>
      <c r="G13" s="204">
        <v>0.0377</v>
      </c>
      <c r="H13" s="202">
        <v>0.0</v>
      </c>
      <c r="I13" s="201">
        <v>0.0</v>
      </c>
      <c r="J13" s="202">
        <v>0.0</v>
      </c>
      <c r="K13" s="202">
        <v>0.0</v>
      </c>
      <c r="L13" s="202">
        <v>2.0</v>
      </c>
      <c r="M13" s="202">
        <v>1.0</v>
      </c>
      <c r="N13" s="202">
        <v>1.0</v>
      </c>
      <c r="O13" s="202">
        <v>4.0</v>
      </c>
      <c r="P13" s="204">
        <v>0.0</v>
      </c>
      <c r="Q13" s="193">
        <f t="shared" si="1"/>
        <v>8</v>
      </c>
      <c r="R13" s="109"/>
      <c r="S13" s="109"/>
      <c r="T13" s="109"/>
      <c r="U13" s="109"/>
      <c r="V13" s="109"/>
      <c r="W13" s="109"/>
      <c r="X13" s="109"/>
      <c r="Y13" s="109"/>
      <c r="Z13" s="109"/>
    </row>
    <row r="14" ht="15.75" customHeight="1">
      <c r="A14" s="200">
        <v>45879.0</v>
      </c>
      <c r="B14" s="201">
        <v>461980.0</v>
      </c>
      <c r="C14" s="202">
        <v>3.0</v>
      </c>
      <c r="D14" s="203">
        <v>153993.33</v>
      </c>
      <c r="E14" s="202">
        <v>46.0</v>
      </c>
      <c r="F14" s="202">
        <v>40.0</v>
      </c>
      <c r="G14" s="204">
        <v>0.0652</v>
      </c>
      <c r="H14" s="202">
        <v>0.0</v>
      </c>
      <c r="I14" s="201">
        <v>0.0</v>
      </c>
      <c r="J14" s="202">
        <v>0.0</v>
      </c>
      <c r="K14" s="202">
        <v>0.0</v>
      </c>
      <c r="L14" s="202">
        <v>2.0</v>
      </c>
      <c r="M14" s="202">
        <v>2.0</v>
      </c>
      <c r="N14" s="202">
        <v>0.0</v>
      </c>
      <c r="O14" s="202">
        <v>7.0</v>
      </c>
      <c r="P14" s="204">
        <v>0.5</v>
      </c>
      <c r="Q14" s="193">
        <f t="shared" si="1"/>
        <v>8</v>
      </c>
      <c r="R14" s="109"/>
      <c r="S14" s="109"/>
      <c r="T14" s="109"/>
      <c r="U14" s="109"/>
      <c r="V14" s="109"/>
      <c r="W14" s="109"/>
      <c r="X14" s="109"/>
      <c r="Y14" s="109"/>
      <c r="Z14" s="109"/>
    </row>
    <row r="15" ht="15.75" customHeight="1">
      <c r="A15" s="200">
        <v>45880.0</v>
      </c>
      <c r="B15" s="201">
        <v>2380250.0</v>
      </c>
      <c r="C15" s="202">
        <v>3.0</v>
      </c>
      <c r="D15" s="203">
        <v>793416.67</v>
      </c>
      <c r="E15" s="202">
        <v>47.0</v>
      </c>
      <c r="F15" s="202">
        <v>44.0</v>
      </c>
      <c r="G15" s="204">
        <v>0.0638</v>
      </c>
      <c r="H15" s="202">
        <v>1.0</v>
      </c>
      <c r="I15" s="201">
        <v>695200.0</v>
      </c>
      <c r="J15" s="202">
        <v>0.0</v>
      </c>
      <c r="K15" s="202">
        <v>0.0</v>
      </c>
      <c r="L15" s="202">
        <v>3.0</v>
      </c>
      <c r="M15" s="202">
        <v>3.0</v>
      </c>
      <c r="N15" s="202">
        <v>0.0</v>
      </c>
      <c r="O15" s="202">
        <v>11.0</v>
      </c>
      <c r="P15" s="204">
        <v>0.0</v>
      </c>
      <c r="Q15" s="193">
        <f t="shared" si="1"/>
        <v>8</v>
      </c>
      <c r="R15" s="109"/>
      <c r="S15" s="109"/>
      <c r="T15" s="109"/>
      <c r="U15" s="109"/>
      <c r="V15" s="109"/>
      <c r="W15" s="109"/>
      <c r="X15" s="109"/>
      <c r="Y15" s="109"/>
      <c r="Z15" s="109"/>
    </row>
    <row r="16" ht="15.75" customHeight="1">
      <c r="A16" s="200">
        <v>45881.0</v>
      </c>
      <c r="B16" s="201">
        <v>704000.0</v>
      </c>
      <c r="C16" s="202">
        <v>1.0</v>
      </c>
      <c r="D16" s="203">
        <v>704000.0</v>
      </c>
      <c r="E16" s="202">
        <v>37.0</v>
      </c>
      <c r="F16" s="202">
        <v>42.0</v>
      </c>
      <c r="G16" s="204">
        <v>0.027</v>
      </c>
      <c r="H16" s="202">
        <v>0.0</v>
      </c>
      <c r="I16" s="201">
        <v>0.0</v>
      </c>
      <c r="J16" s="202">
        <v>0.0</v>
      </c>
      <c r="K16" s="202">
        <v>0.0</v>
      </c>
      <c r="L16" s="202">
        <v>1.0</v>
      </c>
      <c r="M16" s="202">
        <v>1.0</v>
      </c>
      <c r="N16" s="202">
        <v>0.0</v>
      </c>
      <c r="O16" s="202">
        <v>12.0</v>
      </c>
      <c r="P16" s="204">
        <v>0.0</v>
      </c>
      <c r="Q16" s="193">
        <f t="shared" si="1"/>
        <v>8</v>
      </c>
      <c r="R16" s="109"/>
      <c r="S16" s="109"/>
      <c r="T16" s="109"/>
      <c r="U16" s="109"/>
      <c r="V16" s="109"/>
      <c r="W16" s="109"/>
      <c r="X16" s="109"/>
      <c r="Y16" s="109"/>
      <c r="Z16" s="109"/>
    </row>
    <row r="17" ht="15.75" customHeight="1">
      <c r="A17" s="200">
        <v>45882.0</v>
      </c>
      <c r="B17" s="201">
        <v>809960.0</v>
      </c>
      <c r="C17" s="202">
        <v>2.0</v>
      </c>
      <c r="D17" s="203">
        <v>404980.0</v>
      </c>
      <c r="E17" s="202">
        <v>31.0</v>
      </c>
      <c r="F17" s="202">
        <v>36.0</v>
      </c>
      <c r="G17" s="204">
        <v>0.0645</v>
      </c>
      <c r="H17" s="202">
        <v>0.0</v>
      </c>
      <c r="I17" s="201">
        <v>0.0</v>
      </c>
      <c r="J17" s="202">
        <v>0.0</v>
      </c>
      <c r="K17" s="202">
        <v>0.0</v>
      </c>
      <c r="L17" s="202">
        <v>2.0</v>
      </c>
      <c r="M17" s="202">
        <v>2.0</v>
      </c>
      <c r="N17" s="202">
        <v>0.0</v>
      </c>
      <c r="O17" s="202">
        <v>3.0</v>
      </c>
      <c r="P17" s="204">
        <v>0.0</v>
      </c>
      <c r="Q17" s="193">
        <f t="shared" si="1"/>
        <v>8</v>
      </c>
      <c r="R17" s="109"/>
      <c r="S17" s="109"/>
      <c r="T17" s="109"/>
      <c r="U17" s="109"/>
      <c r="V17" s="109"/>
      <c r="W17" s="109"/>
      <c r="X17" s="109"/>
      <c r="Y17" s="109"/>
      <c r="Z17" s="109"/>
    </row>
    <row r="18" ht="15.75" customHeight="1">
      <c r="A18" s="200">
        <v>45883.0</v>
      </c>
      <c r="B18" s="201">
        <v>528040.0</v>
      </c>
      <c r="C18" s="202">
        <v>2.0</v>
      </c>
      <c r="D18" s="203">
        <v>264020.0</v>
      </c>
      <c r="E18" s="202">
        <v>55.0</v>
      </c>
      <c r="F18" s="202">
        <v>52.0</v>
      </c>
      <c r="G18" s="204">
        <v>0.0364</v>
      </c>
      <c r="H18" s="202">
        <v>0.0</v>
      </c>
      <c r="I18" s="201">
        <v>0.0</v>
      </c>
      <c r="J18" s="202">
        <v>0.0</v>
      </c>
      <c r="K18" s="202">
        <v>0.0</v>
      </c>
      <c r="L18" s="202">
        <v>2.0</v>
      </c>
      <c r="M18" s="202">
        <v>1.0</v>
      </c>
      <c r="N18" s="202">
        <v>1.0</v>
      </c>
      <c r="O18" s="202">
        <v>12.0</v>
      </c>
      <c r="P18" s="204">
        <v>0.0</v>
      </c>
      <c r="Q18" s="193">
        <f t="shared" si="1"/>
        <v>8</v>
      </c>
      <c r="R18" s="109"/>
      <c r="S18" s="109"/>
      <c r="T18" s="109"/>
      <c r="U18" s="109"/>
      <c r="V18" s="109"/>
      <c r="W18" s="109"/>
      <c r="X18" s="109"/>
      <c r="Y18" s="109"/>
      <c r="Z18" s="109"/>
    </row>
    <row r="19" ht="15.75" customHeight="1">
      <c r="A19" s="200">
        <v>45884.0</v>
      </c>
      <c r="B19" s="201">
        <v>1991100.0</v>
      </c>
      <c r="C19" s="202">
        <v>2.0</v>
      </c>
      <c r="D19" s="203">
        <v>995550.0</v>
      </c>
      <c r="E19" s="202">
        <v>88.0</v>
      </c>
      <c r="F19" s="202">
        <v>50.0</v>
      </c>
      <c r="G19" s="204">
        <v>0.0227</v>
      </c>
      <c r="H19" s="202">
        <v>0.0</v>
      </c>
      <c r="I19" s="201">
        <v>0.0</v>
      </c>
      <c r="J19" s="202">
        <v>0.0</v>
      </c>
      <c r="K19" s="202">
        <v>0.0</v>
      </c>
      <c r="L19" s="202">
        <v>2.0</v>
      </c>
      <c r="M19" s="202">
        <v>1.0</v>
      </c>
      <c r="N19" s="202">
        <v>1.0</v>
      </c>
      <c r="O19" s="202">
        <v>6.0</v>
      </c>
      <c r="P19" s="204">
        <v>0.0</v>
      </c>
      <c r="Q19" s="193">
        <f t="shared" si="1"/>
        <v>8</v>
      </c>
      <c r="R19" s="109"/>
      <c r="S19" s="109"/>
      <c r="T19" s="109"/>
      <c r="U19" s="109"/>
      <c r="V19" s="109"/>
      <c r="W19" s="109"/>
      <c r="X19" s="109"/>
      <c r="Y19" s="109"/>
      <c r="Z19" s="109"/>
    </row>
    <row r="20" ht="15.75" customHeight="1">
      <c r="A20" s="200">
        <v>45885.0</v>
      </c>
      <c r="B20" s="201">
        <v>1583200.0</v>
      </c>
      <c r="C20" s="202">
        <v>3.0</v>
      </c>
      <c r="D20" s="203">
        <v>527733.33</v>
      </c>
      <c r="E20" s="202">
        <v>39.0</v>
      </c>
      <c r="F20" s="202">
        <v>31.0</v>
      </c>
      <c r="G20" s="204">
        <v>0.0769</v>
      </c>
      <c r="H20" s="202">
        <v>1.0</v>
      </c>
      <c r="I20" s="201">
        <v>576000.0</v>
      </c>
      <c r="J20" s="202">
        <v>0.0</v>
      </c>
      <c r="K20" s="202">
        <v>0.0</v>
      </c>
      <c r="L20" s="202">
        <v>3.0</v>
      </c>
      <c r="M20" s="202">
        <v>2.0</v>
      </c>
      <c r="N20" s="202">
        <v>1.0</v>
      </c>
      <c r="O20" s="202">
        <v>3.0</v>
      </c>
      <c r="P20" s="204">
        <v>0.0</v>
      </c>
      <c r="Q20" s="193">
        <f t="shared" si="1"/>
        <v>8</v>
      </c>
      <c r="R20" s="109"/>
      <c r="S20" s="109"/>
      <c r="T20" s="109"/>
      <c r="U20" s="109"/>
      <c r="V20" s="109"/>
      <c r="W20" s="109"/>
      <c r="X20" s="109"/>
      <c r="Y20" s="109"/>
      <c r="Z20" s="109"/>
    </row>
    <row r="21" ht="15.75" customHeight="1">
      <c r="A21" s="200">
        <v>45886.0</v>
      </c>
      <c r="B21" s="201">
        <v>4951000.0</v>
      </c>
      <c r="C21" s="202">
        <v>3.0</v>
      </c>
      <c r="D21" s="203">
        <v>1650333.33</v>
      </c>
      <c r="E21" s="202">
        <v>23.0</v>
      </c>
      <c r="F21" s="202">
        <v>35.0</v>
      </c>
      <c r="G21" s="204">
        <v>0.1304</v>
      </c>
      <c r="H21" s="202">
        <v>0.0</v>
      </c>
      <c r="I21" s="201">
        <v>0.0</v>
      </c>
      <c r="J21" s="202">
        <v>0.0</v>
      </c>
      <c r="K21" s="202">
        <v>0.0</v>
      </c>
      <c r="L21" s="202">
        <v>3.0</v>
      </c>
      <c r="M21" s="202">
        <v>2.0</v>
      </c>
      <c r="N21" s="202">
        <v>1.0</v>
      </c>
      <c r="O21" s="202">
        <v>4.0</v>
      </c>
      <c r="P21" s="204">
        <v>0.0</v>
      </c>
      <c r="Q21" s="193">
        <f t="shared" si="1"/>
        <v>8</v>
      </c>
      <c r="R21" s="109"/>
      <c r="S21" s="109"/>
      <c r="T21" s="109"/>
      <c r="U21" s="109"/>
      <c r="V21" s="109"/>
      <c r="W21" s="109"/>
      <c r="X21" s="109"/>
      <c r="Y21" s="109"/>
      <c r="Z21" s="109"/>
    </row>
    <row r="22" ht="15.75" customHeight="1">
      <c r="A22" s="200">
        <v>45887.0</v>
      </c>
      <c r="B22" s="201">
        <v>0.0</v>
      </c>
      <c r="C22" s="202">
        <v>0.0</v>
      </c>
      <c r="D22" s="203">
        <v>0.0</v>
      </c>
      <c r="E22" s="202">
        <v>17.0</v>
      </c>
      <c r="F22" s="202">
        <v>25.0</v>
      </c>
      <c r="G22" s="204">
        <v>0.0</v>
      </c>
      <c r="H22" s="202">
        <v>0.0</v>
      </c>
      <c r="I22" s="202">
        <v>0.0</v>
      </c>
      <c r="J22" s="202">
        <v>0.0</v>
      </c>
      <c r="K22" s="202">
        <v>0.0</v>
      </c>
      <c r="L22" s="202">
        <v>0.0</v>
      </c>
      <c r="M22" s="202">
        <v>0.0</v>
      </c>
      <c r="N22" s="202">
        <v>0.0</v>
      </c>
      <c r="O22" s="202">
        <v>5.0</v>
      </c>
      <c r="P22" s="204">
        <v>0.0</v>
      </c>
      <c r="Q22" s="193">
        <f t="shared" si="1"/>
        <v>8</v>
      </c>
      <c r="R22" s="109"/>
      <c r="S22" s="109"/>
      <c r="T22" s="109"/>
      <c r="U22" s="109"/>
      <c r="V22" s="109"/>
      <c r="W22" s="109"/>
      <c r="X22" s="109"/>
      <c r="Y22" s="109"/>
      <c r="Z22" s="109"/>
    </row>
    <row r="23" ht="15.75" customHeight="1">
      <c r="A23" s="200">
        <v>45888.0</v>
      </c>
      <c r="B23" s="201">
        <v>816600.0</v>
      </c>
      <c r="C23" s="202">
        <v>1.0</v>
      </c>
      <c r="D23" s="203">
        <v>816600.0</v>
      </c>
      <c r="E23" s="202">
        <v>49.0</v>
      </c>
      <c r="F23" s="202">
        <v>39.0</v>
      </c>
      <c r="G23" s="204">
        <v>0.0204</v>
      </c>
      <c r="H23" s="202">
        <v>0.0</v>
      </c>
      <c r="I23" s="202">
        <v>0.0</v>
      </c>
      <c r="J23" s="202">
        <v>0.0</v>
      </c>
      <c r="K23" s="202">
        <v>0.0</v>
      </c>
      <c r="L23" s="202">
        <v>1.0</v>
      </c>
      <c r="M23" s="202">
        <v>1.0</v>
      </c>
      <c r="N23" s="202">
        <v>0.0</v>
      </c>
      <c r="O23" s="202">
        <v>7.0</v>
      </c>
      <c r="P23" s="204">
        <v>0.0</v>
      </c>
      <c r="Q23" s="193">
        <f t="shared" si="1"/>
        <v>8</v>
      </c>
      <c r="R23" s="109"/>
      <c r="S23" s="109"/>
      <c r="T23" s="109"/>
      <c r="U23" s="109"/>
      <c r="V23" s="109"/>
      <c r="W23" s="109"/>
      <c r="X23" s="109"/>
      <c r="Y23" s="109"/>
      <c r="Z23" s="109"/>
    </row>
    <row r="24" ht="15.75" customHeight="1">
      <c r="A24" s="200">
        <v>45889.0</v>
      </c>
      <c r="B24" s="201">
        <v>1270876.0</v>
      </c>
      <c r="C24" s="202">
        <v>2.0</v>
      </c>
      <c r="D24" s="203">
        <v>635438.0</v>
      </c>
      <c r="E24" s="202">
        <v>31.0</v>
      </c>
      <c r="F24" s="202">
        <v>33.0</v>
      </c>
      <c r="G24" s="204">
        <v>0.0645</v>
      </c>
      <c r="H24" s="202">
        <v>1.0</v>
      </c>
      <c r="I24" s="201">
        <v>467626.0</v>
      </c>
      <c r="J24" s="202">
        <v>0.0</v>
      </c>
      <c r="K24" s="202">
        <v>0.0</v>
      </c>
      <c r="L24" s="202">
        <v>1.0</v>
      </c>
      <c r="M24" s="202">
        <v>0.0</v>
      </c>
      <c r="N24" s="202">
        <v>1.0</v>
      </c>
      <c r="O24" s="202">
        <v>3.0</v>
      </c>
      <c r="P24" s="204">
        <v>1.0</v>
      </c>
      <c r="Q24" s="193">
        <f t="shared" si="1"/>
        <v>8</v>
      </c>
      <c r="R24" s="109"/>
      <c r="S24" s="109"/>
      <c r="T24" s="109"/>
      <c r="U24" s="109"/>
      <c r="V24" s="109"/>
      <c r="W24" s="109"/>
      <c r="X24" s="109"/>
      <c r="Y24" s="109"/>
      <c r="Z24" s="109"/>
    </row>
    <row r="25" ht="15.75" customHeight="1">
      <c r="A25" s="200">
        <v>45890.0</v>
      </c>
      <c r="B25" s="201">
        <v>73600.0</v>
      </c>
      <c r="C25" s="202">
        <v>1.0</v>
      </c>
      <c r="D25" s="203">
        <v>73600.0</v>
      </c>
      <c r="E25" s="202">
        <v>64.0</v>
      </c>
      <c r="F25" s="202">
        <v>32.0</v>
      </c>
      <c r="G25" s="204">
        <v>0.0156</v>
      </c>
      <c r="H25" s="202">
        <v>0.0</v>
      </c>
      <c r="I25" s="202">
        <v>0.0</v>
      </c>
      <c r="J25" s="202">
        <v>0.0</v>
      </c>
      <c r="K25" s="202">
        <v>0.0</v>
      </c>
      <c r="L25" s="202">
        <v>1.0</v>
      </c>
      <c r="M25" s="202">
        <v>1.0</v>
      </c>
      <c r="N25" s="202">
        <v>0.0</v>
      </c>
      <c r="O25" s="202">
        <v>7.0</v>
      </c>
      <c r="P25" s="204">
        <v>0.0</v>
      </c>
      <c r="Q25" s="193">
        <f t="shared" si="1"/>
        <v>8</v>
      </c>
      <c r="R25" s="109"/>
      <c r="S25" s="109"/>
      <c r="T25" s="109"/>
      <c r="U25" s="109"/>
      <c r="V25" s="109"/>
      <c r="W25" s="109"/>
      <c r="X25" s="109"/>
      <c r="Y25" s="109"/>
      <c r="Z25" s="109"/>
    </row>
    <row r="26" ht="15.75" customHeight="1">
      <c r="A26" s="200">
        <v>45891.0</v>
      </c>
      <c r="B26" s="201">
        <v>0.0</v>
      </c>
      <c r="C26" s="202">
        <v>0.0</v>
      </c>
      <c r="D26" s="203">
        <v>0.0</v>
      </c>
      <c r="E26" s="202">
        <v>31.0</v>
      </c>
      <c r="F26" s="202">
        <v>33.0</v>
      </c>
      <c r="G26" s="204">
        <v>0.0</v>
      </c>
      <c r="H26" s="202">
        <v>0.0</v>
      </c>
      <c r="I26" s="202">
        <v>0.0</v>
      </c>
      <c r="J26" s="202">
        <v>0.0</v>
      </c>
      <c r="K26" s="202">
        <v>0.0</v>
      </c>
      <c r="L26" s="202">
        <v>0.0</v>
      </c>
      <c r="M26" s="202">
        <v>0.0</v>
      </c>
      <c r="N26" s="202">
        <v>0.0</v>
      </c>
      <c r="O26" s="202">
        <v>7.0</v>
      </c>
      <c r="P26" s="204">
        <v>0.0</v>
      </c>
      <c r="Q26" s="193">
        <f t="shared" si="1"/>
        <v>8</v>
      </c>
      <c r="R26" s="109"/>
      <c r="S26" s="109"/>
      <c r="T26" s="109"/>
      <c r="U26" s="109"/>
      <c r="V26" s="109"/>
      <c r="W26" s="109"/>
      <c r="X26" s="109"/>
      <c r="Y26" s="109"/>
      <c r="Z26" s="109"/>
    </row>
    <row r="27" ht="15.75" hidden="1" customHeight="1">
      <c r="A27" s="200">
        <v>45892.0</v>
      </c>
      <c r="B27" s="201">
        <v>2642783.0</v>
      </c>
      <c r="C27" s="202">
        <v>3.0</v>
      </c>
      <c r="D27" s="203">
        <v>880927.67</v>
      </c>
      <c r="E27" s="202">
        <v>121.0</v>
      </c>
      <c r="F27" s="202">
        <v>185.0</v>
      </c>
      <c r="G27" s="204">
        <v>0.0248</v>
      </c>
      <c r="H27" s="202">
        <v>1.0</v>
      </c>
      <c r="I27" s="201">
        <v>1306700.0</v>
      </c>
      <c r="J27" s="202">
        <v>0.0</v>
      </c>
      <c r="K27" s="202">
        <v>0.0</v>
      </c>
      <c r="L27" s="202">
        <v>3.0</v>
      </c>
      <c r="M27" s="202">
        <v>2.0</v>
      </c>
      <c r="N27" s="202">
        <v>1.0</v>
      </c>
      <c r="O27" s="202">
        <v>11.0</v>
      </c>
      <c r="P27" s="204">
        <v>0.0</v>
      </c>
      <c r="Q27" s="193">
        <f t="shared" si="1"/>
        <v>8</v>
      </c>
      <c r="R27" s="109"/>
      <c r="S27" s="109"/>
      <c r="T27" s="109"/>
      <c r="U27" s="109"/>
      <c r="V27" s="109"/>
      <c r="W27" s="109"/>
      <c r="X27" s="109"/>
      <c r="Y27" s="109"/>
      <c r="Z27" s="109"/>
    </row>
    <row r="28" ht="15.75" hidden="1" customHeight="1">
      <c r="A28" s="200">
        <v>45893.0</v>
      </c>
      <c r="B28" s="201">
        <v>803250.0</v>
      </c>
      <c r="C28" s="202">
        <v>1.0</v>
      </c>
      <c r="D28" s="203">
        <v>803250.0</v>
      </c>
      <c r="E28" s="202">
        <v>81.0</v>
      </c>
      <c r="F28" s="202">
        <v>211.0</v>
      </c>
      <c r="G28" s="204">
        <v>0.0123</v>
      </c>
      <c r="H28" s="202">
        <v>0.0</v>
      </c>
      <c r="I28" s="202">
        <v>0.0</v>
      </c>
      <c r="J28" s="202">
        <v>0.0</v>
      </c>
      <c r="K28" s="202">
        <v>0.0</v>
      </c>
      <c r="L28" s="202">
        <v>1.0</v>
      </c>
      <c r="M28" s="202">
        <v>0.0</v>
      </c>
      <c r="N28" s="202">
        <v>1.0</v>
      </c>
      <c r="O28" s="202">
        <v>7.0</v>
      </c>
      <c r="P28" s="204">
        <v>0.0</v>
      </c>
      <c r="Q28" s="193">
        <f t="shared" si="1"/>
        <v>8</v>
      </c>
      <c r="R28" s="109"/>
      <c r="S28" s="109"/>
      <c r="T28" s="109"/>
      <c r="U28" s="109"/>
      <c r="V28" s="109"/>
      <c r="W28" s="109"/>
      <c r="X28" s="109"/>
      <c r="Y28" s="109"/>
      <c r="Z28" s="109"/>
    </row>
    <row r="29" ht="15.75" hidden="1" customHeight="1">
      <c r="A29" s="200">
        <v>45894.0</v>
      </c>
      <c r="B29" s="201">
        <v>3744384.0</v>
      </c>
      <c r="C29" s="202">
        <v>5.0</v>
      </c>
      <c r="D29" s="203">
        <v>748876.8</v>
      </c>
      <c r="E29" s="202">
        <v>96.0</v>
      </c>
      <c r="F29" s="202">
        <v>640.0</v>
      </c>
      <c r="G29" s="204">
        <v>0.0521</v>
      </c>
      <c r="H29" s="202">
        <v>0.0</v>
      </c>
      <c r="I29" s="202">
        <v>0.0</v>
      </c>
      <c r="J29" s="202">
        <v>0.0</v>
      </c>
      <c r="K29" s="202">
        <v>0.0</v>
      </c>
      <c r="L29" s="202">
        <v>5.0</v>
      </c>
      <c r="M29" s="202">
        <v>1.0</v>
      </c>
      <c r="N29" s="202">
        <v>4.0</v>
      </c>
      <c r="O29" s="202">
        <v>6.0</v>
      </c>
      <c r="P29" s="204">
        <v>0.0</v>
      </c>
      <c r="Q29" s="193">
        <f t="shared" si="1"/>
        <v>8</v>
      </c>
      <c r="R29" s="109"/>
      <c r="S29" s="109"/>
      <c r="T29" s="109"/>
      <c r="U29" s="109"/>
      <c r="V29" s="109"/>
      <c r="W29" s="109"/>
      <c r="X29" s="109"/>
      <c r="Y29" s="109"/>
      <c r="Z29" s="109"/>
    </row>
    <row r="30" ht="15.75" hidden="1" customHeight="1">
      <c r="A30" s="200">
        <v>45895.0</v>
      </c>
      <c r="B30" s="201">
        <v>1471600.0</v>
      </c>
      <c r="C30" s="202">
        <v>2.0</v>
      </c>
      <c r="D30" s="203">
        <v>735800.0</v>
      </c>
      <c r="E30" s="202">
        <v>81.0</v>
      </c>
      <c r="F30" s="202">
        <v>228.0</v>
      </c>
      <c r="G30" s="204">
        <v>0.0247</v>
      </c>
      <c r="H30" s="202">
        <v>0.0</v>
      </c>
      <c r="I30" s="202">
        <v>0.0</v>
      </c>
      <c r="J30" s="202">
        <v>0.0</v>
      </c>
      <c r="K30" s="202">
        <v>0.0</v>
      </c>
      <c r="L30" s="202">
        <v>2.0</v>
      </c>
      <c r="M30" s="202">
        <v>2.0</v>
      </c>
      <c r="N30" s="202">
        <v>0.0</v>
      </c>
      <c r="O30" s="202">
        <v>5.0</v>
      </c>
      <c r="P30" s="204">
        <v>0.0</v>
      </c>
      <c r="Q30" s="193">
        <f t="shared" si="1"/>
        <v>8</v>
      </c>
      <c r="R30" s="109"/>
      <c r="S30" s="109"/>
      <c r="T30" s="109"/>
      <c r="U30" s="109"/>
      <c r="V30" s="109"/>
      <c r="W30" s="109"/>
      <c r="X30" s="109"/>
      <c r="Y30" s="109"/>
      <c r="Z30" s="109"/>
    </row>
    <row r="31" ht="15.75" hidden="1" customHeight="1">
      <c r="A31" s="200">
        <v>45896.0</v>
      </c>
      <c r="B31" s="201">
        <v>2442900.0</v>
      </c>
      <c r="C31" s="202">
        <v>2.0</v>
      </c>
      <c r="D31" s="203">
        <v>1221450.0</v>
      </c>
      <c r="E31" s="202">
        <v>129.0</v>
      </c>
      <c r="F31" s="202">
        <v>205.0</v>
      </c>
      <c r="G31" s="204">
        <v>0.0155</v>
      </c>
      <c r="H31" s="202">
        <v>1.0</v>
      </c>
      <c r="I31" s="201">
        <v>1221450.0</v>
      </c>
      <c r="J31" s="202">
        <v>0.0</v>
      </c>
      <c r="K31" s="202">
        <v>0.0</v>
      </c>
      <c r="L31" s="202">
        <v>1.0</v>
      </c>
      <c r="M31" s="202">
        <v>1.0</v>
      </c>
      <c r="N31" s="202">
        <v>0.0</v>
      </c>
      <c r="O31" s="202">
        <v>19.0</v>
      </c>
      <c r="P31" s="204">
        <v>1.0</v>
      </c>
      <c r="Q31" s="193">
        <f t="shared" si="1"/>
        <v>8</v>
      </c>
      <c r="R31" s="109"/>
      <c r="S31" s="109"/>
      <c r="T31" s="109"/>
      <c r="U31" s="109"/>
      <c r="V31" s="109"/>
      <c r="W31" s="109"/>
      <c r="X31" s="109"/>
      <c r="Y31" s="109"/>
      <c r="Z31" s="109"/>
    </row>
    <row r="32" ht="15.75" hidden="1" customHeight="1">
      <c r="A32" s="200">
        <v>45897.0</v>
      </c>
      <c r="B32" s="201">
        <v>1958653.0</v>
      </c>
      <c r="C32" s="202">
        <v>4.0</v>
      </c>
      <c r="D32" s="203">
        <v>489663.25</v>
      </c>
      <c r="E32" s="202">
        <v>90.0</v>
      </c>
      <c r="F32" s="202">
        <v>229.0</v>
      </c>
      <c r="G32" s="204">
        <v>0.0444</v>
      </c>
      <c r="H32" s="202">
        <v>1.0</v>
      </c>
      <c r="I32" s="201">
        <v>411800.0</v>
      </c>
      <c r="J32" s="202">
        <v>0.0</v>
      </c>
      <c r="K32" s="202">
        <v>0.0</v>
      </c>
      <c r="L32" s="202">
        <v>4.0</v>
      </c>
      <c r="M32" s="202">
        <v>4.0</v>
      </c>
      <c r="N32" s="202">
        <v>0.0</v>
      </c>
      <c r="O32" s="202">
        <v>10.0</v>
      </c>
      <c r="P32" s="204">
        <v>0.0</v>
      </c>
      <c r="Q32" s="193">
        <f t="shared" si="1"/>
        <v>8</v>
      </c>
      <c r="R32" s="109"/>
      <c r="S32" s="109"/>
      <c r="T32" s="109"/>
      <c r="U32" s="109"/>
      <c r="V32" s="109"/>
      <c r="W32" s="109"/>
      <c r="X32" s="109"/>
      <c r="Y32" s="109"/>
      <c r="Z32" s="109"/>
    </row>
    <row r="33" ht="15.75" hidden="1" customHeight="1">
      <c r="A33" s="200">
        <v>45898.0</v>
      </c>
      <c r="B33" s="201">
        <v>1144300.0</v>
      </c>
      <c r="C33" s="202">
        <v>2.0</v>
      </c>
      <c r="D33" s="203">
        <v>572150.0</v>
      </c>
      <c r="E33" s="202">
        <v>71.0</v>
      </c>
      <c r="F33" s="202">
        <v>220.0</v>
      </c>
      <c r="G33" s="204">
        <v>0.0282</v>
      </c>
      <c r="H33" s="202">
        <v>0.0</v>
      </c>
      <c r="I33" s="201">
        <v>0.0</v>
      </c>
      <c r="J33" s="202">
        <v>0.0</v>
      </c>
      <c r="K33" s="202">
        <v>0.0</v>
      </c>
      <c r="L33" s="202">
        <v>2.0</v>
      </c>
      <c r="M33" s="202">
        <v>0.0</v>
      </c>
      <c r="N33" s="202">
        <v>2.0</v>
      </c>
      <c r="O33" s="202">
        <v>7.0</v>
      </c>
      <c r="P33" s="204">
        <v>0.0</v>
      </c>
      <c r="Q33" s="193">
        <f t="shared" si="1"/>
        <v>8</v>
      </c>
      <c r="R33" s="109"/>
      <c r="S33" s="109"/>
      <c r="T33" s="109"/>
      <c r="U33" s="109"/>
      <c r="V33" s="109"/>
      <c r="W33" s="109"/>
      <c r="X33" s="109"/>
      <c r="Y33" s="109"/>
      <c r="Z33" s="109"/>
    </row>
    <row r="34" ht="15.75" hidden="1" customHeight="1">
      <c r="A34" s="200">
        <v>45899.0</v>
      </c>
      <c r="B34" s="201">
        <v>1489810.0</v>
      </c>
      <c r="C34" s="202">
        <v>3.0</v>
      </c>
      <c r="D34" s="203">
        <v>496603.33</v>
      </c>
      <c r="E34" s="202">
        <v>93.0</v>
      </c>
      <c r="F34" s="202">
        <v>158.0</v>
      </c>
      <c r="G34" s="204">
        <v>0.0323</v>
      </c>
      <c r="H34" s="202">
        <v>0.0</v>
      </c>
      <c r="I34" s="202">
        <v>0.0</v>
      </c>
      <c r="J34" s="202">
        <v>0.0</v>
      </c>
      <c r="K34" s="202">
        <v>0.0</v>
      </c>
      <c r="L34" s="202">
        <v>3.0</v>
      </c>
      <c r="M34" s="202">
        <v>3.0</v>
      </c>
      <c r="N34" s="202">
        <v>0.0</v>
      </c>
      <c r="O34" s="202">
        <v>9.0</v>
      </c>
      <c r="P34" s="204">
        <v>0.0</v>
      </c>
      <c r="Q34" s="193">
        <f t="shared" si="1"/>
        <v>8</v>
      </c>
      <c r="R34" s="109"/>
      <c r="S34" s="109"/>
      <c r="T34" s="109"/>
      <c r="U34" s="109"/>
      <c r="V34" s="109"/>
      <c r="W34" s="109"/>
      <c r="X34" s="109"/>
      <c r="Y34" s="109"/>
      <c r="Z34" s="109"/>
    </row>
    <row r="35" ht="15.75" hidden="1" customHeight="1">
      <c r="A35" s="200">
        <v>45900.0</v>
      </c>
      <c r="B35" s="202">
        <v>0.0</v>
      </c>
      <c r="C35" s="202">
        <v>0.0</v>
      </c>
      <c r="D35" s="202">
        <v>0.0</v>
      </c>
      <c r="E35" s="202">
        <v>60.0</v>
      </c>
      <c r="F35" s="202">
        <v>111.0</v>
      </c>
      <c r="G35" s="204">
        <v>0.0</v>
      </c>
      <c r="H35" s="202">
        <v>0.0</v>
      </c>
      <c r="I35" s="202">
        <v>0.0</v>
      </c>
      <c r="J35" s="202">
        <v>0.0</v>
      </c>
      <c r="K35" s="202">
        <v>0.0</v>
      </c>
      <c r="L35" s="202">
        <v>0.0</v>
      </c>
      <c r="M35" s="202">
        <v>0.0</v>
      </c>
      <c r="N35" s="202">
        <v>0.0</v>
      </c>
      <c r="O35" s="202">
        <v>4.0</v>
      </c>
      <c r="P35" s="204">
        <v>0.0</v>
      </c>
      <c r="Q35" s="193">
        <f t="shared" si="1"/>
        <v>8</v>
      </c>
      <c r="R35" s="109"/>
      <c r="S35" s="109"/>
      <c r="T35" s="109"/>
      <c r="U35" s="109"/>
      <c r="V35" s="109"/>
      <c r="W35" s="109"/>
      <c r="X35" s="109"/>
      <c r="Y35" s="109"/>
      <c r="Z35" s="109"/>
    </row>
    <row r="36" ht="15.75" hidden="1" customHeight="1">
      <c r="A36" s="205"/>
      <c r="B36" s="205"/>
      <c r="C36" s="205"/>
      <c r="D36" s="205"/>
      <c r="E36" s="205"/>
      <c r="F36" s="205"/>
      <c r="G36" s="205"/>
      <c r="H36" s="205"/>
      <c r="I36" s="205"/>
      <c r="J36" s="205"/>
      <c r="K36" s="205"/>
      <c r="L36" s="205"/>
      <c r="M36" s="205"/>
      <c r="N36" s="205"/>
      <c r="O36" s="205"/>
      <c r="P36" s="205"/>
      <c r="Q36" s="193"/>
      <c r="R36" s="206"/>
      <c r="S36" s="206"/>
      <c r="T36" s="206"/>
      <c r="U36" s="206"/>
      <c r="V36" s="206"/>
      <c r="W36" s="206"/>
      <c r="X36" s="206"/>
      <c r="Y36" s="206"/>
      <c r="Z36" s="206"/>
    </row>
    <row r="37" ht="15.75" hidden="1" customHeight="1">
      <c r="A37" s="205"/>
      <c r="B37" s="205"/>
      <c r="C37" s="205"/>
      <c r="D37" s="205"/>
      <c r="E37" s="205"/>
      <c r="F37" s="205"/>
      <c r="G37" s="205"/>
      <c r="H37" s="205"/>
      <c r="I37" s="205"/>
      <c r="J37" s="205"/>
      <c r="K37" s="205"/>
      <c r="L37" s="205"/>
      <c r="M37" s="205"/>
      <c r="N37" s="205"/>
      <c r="O37" s="205"/>
      <c r="P37" s="205"/>
      <c r="Q37" s="193"/>
      <c r="R37" s="206"/>
      <c r="S37" s="206"/>
      <c r="T37" s="206"/>
      <c r="U37" s="206"/>
      <c r="V37" s="206"/>
      <c r="W37" s="206"/>
      <c r="X37" s="206"/>
      <c r="Y37" s="206"/>
      <c r="Z37" s="206"/>
    </row>
    <row r="38" ht="15.75" hidden="1" customHeight="1">
      <c r="A38" s="191" t="s">
        <v>33</v>
      </c>
      <c r="B38" s="192" t="s">
        <v>669</v>
      </c>
      <c r="C38" s="192" t="s">
        <v>670</v>
      </c>
      <c r="D38" s="192" t="s">
        <v>671</v>
      </c>
      <c r="E38" s="192" t="s">
        <v>672</v>
      </c>
      <c r="F38" s="192" t="s">
        <v>673</v>
      </c>
      <c r="G38" s="192" t="s">
        <v>674</v>
      </c>
      <c r="H38" s="192" t="s">
        <v>37</v>
      </c>
      <c r="I38" s="192" t="s">
        <v>38</v>
      </c>
      <c r="J38" s="192" t="s">
        <v>39</v>
      </c>
      <c r="K38" s="192" t="s">
        <v>675</v>
      </c>
      <c r="L38" s="192" t="s">
        <v>676</v>
      </c>
      <c r="M38" s="192" t="s">
        <v>677</v>
      </c>
      <c r="N38" s="192" t="s">
        <v>678</v>
      </c>
      <c r="O38" s="192" t="s">
        <v>679</v>
      </c>
      <c r="P38" s="192" t="s">
        <v>680</v>
      </c>
      <c r="Q38" s="193"/>
      <c r="R38" s="207"/>
      <c r="S38" s="207"/>
      <c r="T38" s="207"/>
      <c r="U38" s="207"/>
      <c r="V38" s="207"/>
      <c r="W38" s="207"/>
      <c r="X38" s="207"/>
      <c r="Y38" s="207"/>
      <c r="Z38" s="207"/>
    </row>
    <row r="39" ht="15.75" hidden="1" customHeight="1">
      <c r="A39" s="194" t="s">
        <v>684</v>
      </c>
      <c r="B39" s="208">
        <f t="shared" ref="B39:P39" si="2">SUM(B42:B75)</f>
        <v>127157603</v>
      </c>
      <c r="C39" s="208">
        <f t="shared" si="2"/>
        <v>191</v>
      </c>
      <c r="D39" s="208">
        <f t="shared" si="2"/>
        <v>42415706.91</v>
      </c>
      <c r="E39" s="208">
        <f t="shared" si="2"/>
        <v>6393</v>
      </c>
      <c r="F39" s="208">
        <f t="shared" si="2"/>
        <v>36834</v>
      </c>
      <c r="G39" s="209">
        <f t="shared" si="2"/>
        <v>2.2677</v>
      </c>
      <c r="H39" s="208">
        <f t="shared" si="2"/>
        <v>53</v>
      </c>
      <c r="I39" s="208">
        <f t="shared" si="2"/>
        <v>42182229</v>
      </c>
      <c r="J39" s="208">
        <f t="shared" si="2"/>
        <v>4</v>
      </c>
      <c r="K39" s="208">
        <f t="shared" si="2"/>
        <v>416549</v>
      </c>
      <c r="L39" s="208">
        <f t="shared" si="2"/>
        <v>202</v>
      </c>
      <c r="M39" s="208">
        <f t="shared" si="2"/>
        <v>110</v>
      </c>
      <c r="N39" s="208">
        <f t="shared" si="2"/>
        <v>92</v>
      </c>
      <c r="O39" s="208">
        <f t="shared" si="2"/>
        <v>655</v>
      </c>
      <c r="P39" s="209">
        <f t="shared" si="2"/>
        <v>5.5304</v>
      </c>
      <c r="Q39" s="210"/>
      <c r="R39" s="211"/>
      <c r="S39" s="211"/>
      <c r="T39" s="211"/>
      <c r="U39" s="211"/>
      <c r="V39" s="211"/>
      <c r="W39" s="211"/>
      <c r="X39" s="211"/>
      <c r="Y39" s="211"/>
      <c r="Z39" s="211"/>
    </row>
    <row r="40" ht="15.75" hidden="1" customHeight="1">
      <c r="A40" s="212"/>
      <c r="B40" s="213"/>
      <c r="C40" s="213"/>
      <c r="D40" s="213"/>
      <c r="E40" s="213"/>
      <c r="F40" s="213"/>
      <c r="G40" s="213"/>
      <c r="H40" s="213"/>
      <c r="I40" s="213"/>
      <c r="J40" s="213"/>
      <c r="K40" s="213"/>
      <c r="L40" s="213"/>
      <c r="M40" s="213"/>
      <c r="N40" s="213"/>
      <c r="O40" s="213"/>
      <c r="P40" s="213"/>
      <c r="Q40" s="193"/>
      <c r="R40" s="214"/>
      <c r="S40" s="214"/>
      <c r="T40" s="214"/>
      <c r="U40" s="214"/>
      <c r="V40" s="214"/>
      <c r="W40" s="214"/>
      <c r="X40" s="214"/>
      <c r="Y40" s="214"/>
      <c r="Z40" s="214"/>
    </row>
    <row r="41" ht="15.75" hidden="1" customHeight="1">
      <c r="A41" s="109" t="s">
        <v>33</v>
      </c>
      <c r="B41" s="109" t="s">
        <v>669</v>
      </c>
      <c r="C41" s="109" t="s">
        <v>670</v>
      </c>
      <c r="D41" s="109" t="s">
        <v>671</v>
      </c>
      <c r="E41" s="109" t="s">
        <v>685</v>
      </c>
      <c r="F41" s="109" t="s">
        <v>673</v>
      </c>
      <c r="G41" s="109" t="s">
        <v>686</v>
      </c>
      <c r="H41" s="109" t="s">
        <v>37</v>
      </c>
      <c r="I41" s="109" t="s">
        <v>38</v>
      </c>
      <c r="J41" s="109" t="s">
        <v>39</v>
      </c>
      <c r="K41" s="109" t="s">
        <v>675</v>
      </c>
      <c r="L41" s="109" t="s">
        <v>676</v>
      </c>
      <c r="M41" s="109" t="s">
        <v>677</v>
      </c>
      <c r="N41" s="109" t="s">
        <v>678</v>
      </c>
      <c r="O41" s="109" t="s">
        <v>679</v>
      </c>
      <c r="P41" s="109" t="s">
        <v>680</v>
      </c>
      <c r="Q41" s="193" t="s">
        <v>681</v>
      </c>
      <c r="R41" s="214"/>
      <c r="S41" s="214"/>
      <c r="T41" s="214"/>
      <c r="U41" s="214"/>
      <c r="V41" s="214"/>
      <c r="W41" s="214"/>
      <c r="X41" s="214"/>
      <c r="Y41" s="214"/>
      <c r="Z41" s="214"/>
    </row>
    <row r="42" ht="15.75" hidden="1" customHeight="1">
      <c r="A42" s="215">
        <v>45901.0</v>
      </c>
      <c r="B42" s="216">
        <f t="shared" ref="B42:B71" si="3">R42-I42</f>
        <v>4281650</v>
      </c>
      <c r="C42" s="109">
        <v>5.0</v>
      </c>
      <c r="D42" s="217">
        <v>900230.0</v>
      </c>
      <c r="E42" s="109">
        <v>107.0</v>
      </c>
      <c r="F42" s="109">
        <v>140.0</v>
      </c>
      <c r="G42" s="218">
        <v>0.0467</v>
      </c>
      <c r="H42" s="109">
        <v>1.0</v>
      </c>
      <c r="I42" s="216">
        <v>219500.0</v>
      </c>
      <c r="J42" s="109">
        <v>0.0</v>
      </c>
      <c r="K42" s="109">
        <v>0.0</v>
      </c>
      <c r="L42" s="109">
        <v>5.0</v>
      </c>
      <c r="M42" s="109">
        <v>3.0</v>
      </c>
      <c r="N42" s="109">
        <v>2.0</v>
      </c>
      <c r="O42" s="109">
        <v>14.0</v>
      </c>
      <c r="P42" s="218">
        <v>0.0</v>
      </c>
      <c r="Q42" s="193">
        <f t="shared" ref="Q42:Q72" si="4">MONTH(A42)</f>
        <v>9</v>
      </c>
      <c r="R42" s="216">
        <v>4501150.0</v>
      </c>
      <c r="S42" s="109">
        <v>5.0</v>
      </c>
      <c r="U42" s="214"/>
      <c r="V42" s="214"/>
      <c r="W42" s="214"/>
      <c r="X42" s="214"/>
      <c r="Y42" s="214"/>
      <c r="Z42" s="214"/>
    </row>
    <row r="43" ht="15.75" hidden="1" customHeight="1">
      <c r="A43" s="215">
        <v>45902.0</v>
      </c>
      <c r="B43" s="216">
        <f t="shared" si="3"/>
        <v>1780500</v>
      </c>
      <c r="C43" s="109">
        <v>3.0</v>
      </c>
      <c r="D43" s="217">
        <v>593500.0</v>
      </c>
      <c r="E43" s="109">
        <v>79.0</v>
      </c>
      <c r="F43" s="109">
        <v>122.0</v>
      </c>
      <c r="G43" s="218">
        <v>0.038</v>
      </c>
      <c r="H43" s="109">
        <v>0.0</v>
      </c>
      <c r="I43" s="109">
        <v>0.0</v>
      </c>
      <c r="J43" s="109">
        <v>0.0</v>
      </c>
      <c r="K43" s="109">
        <v>0.0</v>
      </c>
      <c r="L43" s="109">
        <v>3.0</v>
      </c>
      <c r="M43" s="109">
        <v>2.0</v>
      </c>
      <c r="N43" s="109">
        <v>1.0</v>
      </c>
      <c r="O43" s="109">
        <v>10.0</v>
      </c>
      <c r="P43" s="218">
        <v>0.0</v>
      </c>
      <c r="Q43" s="193">
        <f t="shared" si="4"/>
        <v>9</v>
      </c>
      <c r="R43" s="216">
        <v>1780500.0</v>
      </c>
      <c r="S43" s="109">
        <v>3.0</v>
      </c>
      <c r="U43" s="214"/>
      <c r="V43" s="214"/>
      <c r="W43" s="214"/>
      <c r="X43" s="214"/>
      <c r="Y43" s="214"/>
      <c r="Z43" s="214"/>
    </row>
    <row r="44" ht="15.75" hidden="1" customHeight="1">
      <c r="A44" s="215">
        <v>45903.0</v>
      </c>
      <c r="B44" s="216">
        <f t="shared" si="3"/>
        <v>0</v>
      </c>
      <c r="C44" s="109">
        <v>1.0</v>
      </c>
      <c r="D44" s="217">
        <v>827200.0</v>
      </c>
      <c r="E44" s="109">
        <v>100.0</v>
      </c>
      <c r="F44" s="109">
        <v>131.0</v>
      </c>
      <c r="G44" s="218">
        <v>0.01</v>
      </c>
      <c r="H44" s="109">
        <v>1.0</v>
      </c>
      <c r="I44" s="216">
        <v>827200.0</v>
      </c>
      <c r="J44" s="109">
        <v>0.0</v>
      </c>
      <c r="K44" s="109">
        <v>0.0</v>
      </c>
      <c r="L44" s="109">
        <v>1.0</v>
      </c>
      <c r="M44" s="109">
        <v>1.0</v>
      </c>
      <c r="N44" s="109">
        <v>0.0</v>
      </c>
      <c r="O44" s="109">
        <v>9.0</v>
      </c>
      <c r="P44" s="218">
        <v>0.0</v>
      </c>
      <c r="Q44" s="193">
        <f t="shared" si="4"/>
        <v>9</v>
      </c>
      <c r="R44" s="216">
        <v>827200.0</v>
      </c>
      <c r="S44" s="109">
        <v>1.0</v>
      </c>
      <c r="U44" s="214"/>
      <c r="V44" s="214"/>
      <c r="W44" s="214"/>
      <c r="X44" s="214"/>
      <c r="Y44" s="214"/>
      <c r="Z44" s="214"/>
    </row>
    <row r="45" ht="15.75" hidden="1" customHeight="1">
      <c r="A45" s="215">
        <v>45904.0</v>
      </c>
      <c r="B45" s="216">
        <f t="shared" si="3"/>
        <v>1194720</v>
      </c>
      <c r="C45" s="109">
        <v>3.0</v>
      </c>
      <c r="D45" s="217">
        <v>398240.0</v>
      </c>
      <c r="E45" s="109">
        <v>128.0</v>
      </c>
      <c r="F45" s="109">
        <v>183.0</v>
      </c>
      <c r="G45" s="218">
        <v>0.0234</v>
      </c>
      <c r="H45" s="109">
        <v>0.0</v>
      </c>
      <c r="I45" s="216">
        <v>0.0</v>
      </c>
      <c r="J45" s="109">
        <v>0.0</v>
      </c>
      <c r="K45" s="109">
        <v>0.0</v>
      </c>
      <c r="L45" s="109">
        <v>3.0</v>
      </c>
      <c r="M45" s="109">
        <v>2.0</v>
      </c>
      <c r="N45" s="109">
        <v>1.0</v>
      </c>
      <c r="O45" s="109">
        <v>18.0</v>
      </c>
      <c r="P45" s="218">
        <v>0.0</v>
      </c>
      <c r="Q45" s="193">
        <f t="shared" si="4"/>
        <v>9</v>
      </c>
      <c r="R45" s="216">
        <v>1194720.0</v>
      </c>
      <c r="S45" s="109">
        <v>3.0</v>
      </c>
      <c r="U45" s="214"/>
      <c r="V45" s="214"/>
      <c r="W45" s="214"/>
      <c r="X45" s="214"/>
      <c r="Y45" s="214"/>
      <c r="Z45" s="214"/>
    </row>
    <row r="46" ht="15.75" hidden="1" customHeight="1">
      <c r="A46" s="215">
        <v>45905.0</v>
      </c>
      <c r="B46" s="216">
        <f t="shared" si="3"/>
        <v>1583200</v>
      </c>
      <c r="C46" s="109">
        <v>3.0</v>
      </c>
      <c r="D46" s="217">
        <v>620924.0</v>
      </c>
      <c r="E46" s="109">
        <v>152.0</v>
      </c>
      <c r="F46" s="109">
        <v>156.0</v>
      </c>
      <c r="G46" s="218">
        <v>0.0197</v>
      </c>
      <c r="H46" s="109">
        <v>1.0</v>
      </c>
      <c r="I46" s="216">
        <v>279572.0</v>
      </c>
      <c r="J46" s="109">
        <v>0.0</v>
      </c>
      <c r="K46" s="109">
        <v>0.0</v>
      </c>
      <c r="L46" s="109">
        <v>3.0</v>
      </c>
      <c r="M46" s="109">
        <v>2.0</v>
      </c>
      <c r="N46" s="109">
        <v>1.0</v>
      </c>
      <c r="O46" s="109">
        <v>9.0</v>
      </c>
      <c r="P46" s="218">
        <v>0.0</v>
      </c>
      <c r="Q46" s="193">
        <f t="shared" si="4"/>
        <v>9</v>
      </c>
      <c r="R46" s="216">
        <v>1862772.0</v>
      </c>
      <c r="S46" s="109">
        <v>3.0</v>
      </c>
      <c r="U46" s="214"/>
      <c r="V46" s="214"/>
      <c r="W46" s="214"/>
      <c r="X46" s="214"/>
      <c r="Y46" s="214"/>
      <c r="Z46" s="214"/>
    </row>
    <row r="47" ht="15.75" hidden="1" customHeight="1">
      <c r="A47" s="215">
        <v>45906.0</v>
      </c>
      <c r="B47" s="216">
        <f t="shared" si="3"/>
        <v>277743</v>
      </c>
      <c r="C47" s="109">
        <v>1.0</v>
      </c>
      <c r="D47" s="217">
        <v>277743.0</v>
      </c>
      <c r="E47" s="109">
        <v>120.0</v>
      </c>
      <c r="F47" s="109">
        <v>166.0</v>
      </c>
      <c r="G47" s="218">
        <v>0.0083</v>
      </c>
      <c r="H47" s="109">
        <v>0.0</v>
      </c>
      <c r="I47" s="216">
        <v>0.0</v>
      </c>
      <c r="J47" s="109">
        <v>0.0</v>
      </c>
      <c r="K47" s="109">
        <v>0.0</v>
      </c>
      <c r="L47" s="109">
        <v>1.0</v>
      </c>
      <c r="M47" s="109">
        <v>0.0</v>
      </c>
      <c r="N47" s="109">
        <v>1.0</v>
      </c>
      <c r="O47" s="109">
        <v>13.0</v>
      </c>
      <c r="P47" s="218">
        <v>0.0</v>
      </c>
      <c r="Q47" s="193">
        <f t="shared" si="4"/>
        <v>9</v>
      </c>
      <c r="R47" s="216">
        <v>277743.0</v>
      </c>
      <c r="S47" s="109">
        <v>1.0</v>
      </c>
      <c r="U47" s="214"/>
      <c r="V47" s="214"/>
      <c r="W47" s="214"/>
      <c r="X47" s="214"/>
      <c r="Y47" s="214"/>
      <c r="Z47" s="214"/>
    </row>
    <row r="48" ht="15.75" hidden="1" customHeight="1">
      <c r="A48" s="215">
        <v>45907.0</v>
      </c>
      <c r="B48" s="216">
        <f t="shared" si="3"/>
        <v>245064</v>
      </c>
      <c r="C48" s="109">
        <v>2.0</v>
      </c>
      <c r="D48" s="217">
        <v>381531.5</v>
      </c>
      <c r="E48" s="109">
        <v>132.0</v>
      </c>
      <c r="F48" s="109">
        <v>154.0</v>
      </c>
      <c r="G48" s="218">
        <v>0.0152</v>
      </c>
      <c r="H48" s="109">
        <v>1.0</v>
      </c>
      <c r="I48" s="216">
        <v>517999.0</v>
      </c>
      <c r="J48" s="109">
        <v>0.0</v>
      </c>
      <c r="K48" s="109">
        <v>0.0</v>
      </c>
      <c r="L48" s="109">
        <v>2.0</v>
      </c>
      <c r="M48" s="109">
        <v>1.0</v>
      </c>
      <c r="N48" s="109">
        <v>1.0</v>
      </c>
      <c r="O48" s="109">
        <v>13.0</v>
      </c>
      <c r="P48" s="218">
        <v>0.0</v>
      </c>
      <c r="Q48" s="193">
        <f t="shared" si="4"/>
        <v>9</v>
      </c>
      <c r="R48" s="216">
        <v>763063.0</v>
      </c>
      <c r="S48" s="109">
        <v>2.0</v>
      </c>
      <c r="U48" s="214"/>
      <c r="V48" s="214"/>
      <c r="W48" s="214"/>
      <c r="X48" s="214"/>
      <c r="Y48" s="214"/>
      <c r="Z48" s="214"/>
    </row>
    <row r="49" ht="15.75" hidden="1" customHeight="1">
      <c r="A49" s="215">
        <v>45908.0</v>
      </c>
      <c r="B49" s="216">
        <f t="shared" si="3"/>
        <v>0</v>
      </c>
      <c r="C49" s="109">
        <v>1.0</v>
      </c>
      <c r="D49" s="217">
        <v>883575.0</v>
      </c>
      <c r="E49" s="109">
        <v>145.0</v>
      </c>
      <c r="F49" s="109">
        <v>245.0</v>
      </c>
      <c r="G49" s="218">
        <v>0.0069</v>
      </c>
      <c r="H49" s="109">
        <v>1.0</v>
      </c>
      <c r="I49" s="216">
        <v>883575.0</v>
      </c>
      <c r="J49" s="109">
        <v>0.0</v>
      </c>
      <c r="K49" s="109">
        <v>0.0</v>
      </c>
      <c r="L49" s="109">
        <v>1.0</v>
      </c>
      <c r="M49" s="109">
        <v>0.0</v>
      </c>
      <c r="N49" s="109">
        <v>1.0</v>
      </c>
      <c r="O49" s="109">
        <v>12.0</v>
      </c>
      <c r="P49" s="218">
        <v>0.0</v>
      </c>
      <c r="Q49" s="193">
        <f t="shared" si="4"/>
        <v>9</v>
      </c>
      <c r="R49" s="216">
        <v>883575.0</v>
      </c>
      <c r="S49" s="109">
        <v>1.0</v>
      </c>
      <c r="U49" s="214"/>
      <c r="V49" s="214"/>
      <c r="W49" s="214"/>
      <c r="X49" s="214"/>
      <c r="Y49" s="214"/>
      <c r="Z49" s="214"/>
    </row>
    <row r="50" ht="15.75" hidden="1" customHeight="1">
      <c r="A50" s="215">
        <v>45909.0</v>
      </c>
      <c r="B50" s="216">
        <f t="shared" si="3"/>
        <v>11305684</v>
      </c>
      <c r="C50" s="109">
        <v>17.0</v>
      </c>
      <c r="D50" s="217">
        <v>729506.71</v>
      </c>
      <c r="E50" s="109">
        <v>183.0</v>
      </c>
      <c r="F50" s="109">
        <v>645.0</v>
      </c>
      <c r="G50" s="218">
        <v>0.0929</v>
      </c>
      <c r="H50" s="109">
        <v>1.0</v>
      </c>
      <c r="I50" s="216">
        <v>1095930.0</v>
      </c>
      <c r="J50" s="109">
        <v>1.0</v>
      </c>
      <c r="K50" s="109">
        <v>0.0</v>
      </c>
      <c r="L50" s="109">
        <v>16.0</v>
      </c>
      <c r="M50" s="109">
        <v>8.0</v>
      </c>
      <c r="N50" s="109">
        <v>8.0</v>
      </c>
      <c r="O50" s="109">
        <v>15.0</v>
      </c>
      <c r="P50" s="218">
        <v>0.0625</v>
      </c>
      <c r="Q50" s="193">
        <f t="shared" si="4"/>
        <v>9</v>
      </c>
      <c r="R50" s="216">
        <v>1.2401614E7</v>
      </c>
      <c r="S50" s="109">
        <v>17.0</v>
      </c>
      <c r="U50" s="214"/>
      <c r="V50" s="214"/>
      <c r="W50" s="214"/>
      <c r="X50" s="214"/>
      <c r="Y50" s="214"/>
      <c r="Z50" s="214"/>
    </row>
    <row r="51" ht="15.75" hidden="1" customHeight="1">
      <c r="A51" s="215">
        <v>45910.0</v>
      </c>
      <c r="B51" s="216">
        <f t="shared" si="3"/>
        <v>4824140</v>
      </c>
      <c r="C51" s="109">
        <v>7.0</v>
      </c>
      <c r="D51" s="217">
        <v>689162.86</v>
      </c>
      <c r="E51" s="109">
        <v>107.0</v>
      </c>
      <c r="F51" s="109">
        <v>110.0</v>
      </c>
      <c r="G51" s="218">
        <v>0.0654</v>
      </c>
      <c r="H51" s="109">
        <v>0.0</v>
      </c>
      <c r="I51" s="216">
        <v>0.0</v>
      </c>
      <c r="J51" s="109">
        <v>0.0</v>
      </c>
      <c r="K51" s="109">
        <v>0.0</v>
      </c>
      <c r="L51" s="109">
        <v>6.0</v>
      </c>
      <c r="M51" s="109">
        <v>6.0</v>
      </c>
      <c r="N51" s="109">
        <v>0.0</v>
      </c>
      <c r="O51" s="109">
        <v>9.0</v>
      </c>
      <c r="P51" s="218">
        <v>0.1667</v>
      </c>
      <c r="Q51" s="193">
        <f t="shared" si="4"/>
        <v>9</v>
      </c>
      <c r="R51" s="216">
        <v>4824140.0</v>
      </c>
      <c r="S51" s="109">
        <v>7.0</v>
      </c>
      <c r="U51" s="214"/>
      <c r="V51" s="214"/>
      <c r="W51" s="214"/>
      <c r="X51" s="214"/>
      <c r="Y51" s="214"/>
      <c r="Z51" s="214"/>
    </row>
    <row r="52" ht="15.75" hidden="1" customHeight="1">
      <c r="A52" s="215">
        <v>45911.0</v>
      </c>
      <c r="B52" s="216">
        <f t="shared" si="3"/>
        <v>2116600</v>
      </c>
      <c r="C52" s="109">
        <v>2.0</v>
      </c>
      <c r="D52" s="217">
        <v>1058300.0</v>
      </c>
      <c r="E52" s="109">
        <v>114.0</v>
      </c>
      <c r="F52" s="109">
        <v>227.0</v>
      </c>
      <c r="G52" s="218">
        <v>0.0175</v>
      </c>
      <c r="H52" s="109">
        <v>0.0</v>
      </c>
      <c r="I52" s="216">
        <v>0.0</v>
      </c>
      <c r="J52" s="109">
        <v>0.0</v>
      </c>
      <c r="K52" s="109">
        <v>0.0</v>
      </c>
      <c r="L52" s="109">
        <v>2.0</v>
      </c>
      <c r="M52" s="109">
        <v>1.0</v>
      </c>
      <c r="N52" s="109">
        <v>1.0</v>
      </c>
      <c r="O52" s="109">
        <v>12.0</v>
      </c>
      <c r="P52" s="218">
        <v>0.0</v>
      </c>
      <c r="Q52" s="193">
        <f t="shared" si="4"/>
        <v>9</v>
      </c>
      <c r="R52" s="216">
        <v>2116600.0</v>
      </c>
      <c r="S52" s="109">
        <v>2.0</v>
      </c>
      <c r="U52" s="214"/>
      <c r="V52" s="214"/>
      <c r="W52" s="214"/>
      <c r="X52" s="214"/>
      <c r="Y52" s="214"/>
      <c r="Z52" s="214"/>
    </row>
    <row r="53" ht="15.75" hidden="1" customHeight="1">
      <c r="A53" s="215">
        <v>45912.0</v>
      </c>
      <c r="B53" s="216">
        <f t="shared" si="3"/>
        <v>2514900</v>
      </c>
      <c r="C53" s="109">
        <v>2.0</v>
      </c>
      <c r="D53" s="217">
        <v>1257450.0</v>
      </c>
      <c r="E53" s="109">
        <v>72.0</v>
      </c>
      <c r="F53" s="109">
        <v>154.0</v>
      </c>
      <c r="G53" s="218">
        <v>0.0278</v>
      </c>
      <c r="H53" s="109">
        <v>0.0</v>
      </c>
      <c r="I53" s="216">
        <v>0.0</v>
      </c>
      <c r="J53" s="109">
        <v>1.0</v>
      </c>
      <c r="K53" s="109">
        <v>0.0</v>
      </c>
      <c r="L53" s="109">
        <v>2.0</v>
      </c>
      <c r="M53" s="109">
        <v>1.0</v>
      </c>
      <c r="N53" s="109">
        <v>1.0</v>
      </c>
      <c r="O53" s="109">
        <v>9.0</v>
      </c>
      <c r="P53" s="218">
        <v>0.0</v>
      </c>
      <c r="Q53" s="193">
        <f t="shared" si="4"/>
        <v>9</v>
      </c>
      <c r="R53" s="216">
        <v>2514900.0</v>
      </c>
      <c r="S53" s="109">
        <v>2.0</v>
      </c>
      <c r="U53" s="214"/>
      <c r="V53" s="214"/>
      <c r="W53" s="214"/>
      <c r="X53" s="214"/>
      <c r="Y53" s="214"/>
      <c r="Z53" s="214"/>
    </row>
    <row r="54" ht="15.75" hidden="1" customHeight="1">
      <c r="A54" s="215">
        <v>45913.0</v>
      </c>
      <c r="B54" s="216">
        <f t="shared" si="3"/>
        <v>0</v>
      </c>
      <c r="C54" s="109">
        <v>1.0</v>
      </c>
      <c r="D54" s="217">
        <v>704000.0</v>
      </c>
      <c r="E54" s="109">
        <v>118.0</v>
      </c>
      <c r="F54" s="109">
        <v>172.0</v>
      </c>
      <c r="G54" s="218">
        <v>0.0085</v>
      </c>
      <c r="H54" s="109">
        <v>1.0</v>
      </c>
      <c r="I54" s="216">
        <v>704000.0</v>
      </c>
      <c r="J54" s="109">
        <v>0.0</v>
      </c>
      <c r="K54" s="109">
        <v>0.0</v>
      </c>
      <c r="L54" s="109">
        <v>1.0</v>
      </c>
      <c r="M54" s="109">
        <v>1.0</v>
      </c>
      <c r="N54" s="109">
        <v>0.0</v>
      </c>
      <c r="O54" s="109">
        <v>20.0</v>
      </c>
      <c r="P54" s="218">
        <v>0.0</v>
      </c>
      <c r="Q54" s="193">
        <f t="shared" si="4"/>
        <v>9</v>
      </c>
      <c r="R54" s="216">
        <v>704000.0</v>
      </c>
      <c r="S54" s="109">
        <v>1.0</v>
      </c>
      <c r="U54" s="214"/>
      <c r="V54" s="214"/>
      <c r="W54" s="214"/>
      <c r="X54" s="214"/>
      <c r="Y54" s="214"/>
      <c r="Z54" s="214"/>
    </row>
    <row r="55" ht="15.75" hidden="1" customHeight="1">
      <c r="A55" s="215">
        <v>45914.0</v>
      </c>
      <c r="B55" s="216">
        <f t="shared" si="3"/>
        <v>2882020</v>
      </c>
      <c r="C55" s="109">
        <v>6.0</v>
      </c>
      <c r="D55" s="217">
        <v>612336.67</v>
      </c>
      <c r="E55" s="109">
        <v>120.0</v>
      </c>
      <c r="F55" s="109">
        <v>168.0</v>
      </c>
      <c r="G55" s="218">
        <v>0.05</v>
      </c>
      <c r="H55" s="109">
        <v>1.0</v>
      </c>
      <c r="I55" s="216">
        <v>792000.0</v>
      </c>
      <c r="J55" s="109">
        <v>1.0</v>
      </c>
      <c r="K55" s="109">
        <v>0.0</v>
      </c>
      <c r="L55" s="109">
        <v>6.0</v>
      </c>
      <c r="M55" s="109">
        <v>2.0</v>
      </c>
      <c r="N55" s="109">
        <v>4.0</v>
      </c>
      <c r="O55" s="109">
        <v>13.0</v>
      </c>
      <c r="P55" s="218">
        <v>0.0</v>
      </c>
      <c r="Q55" s="193">
        <f t="shared" si="4"/>
        <v>9</v>
      </c>
      <c r="R55" s="216">
        <v>3674020.0</v>
      </c>
      <c r="S55" s="109">
        <v>6.0</v>
      </c>
      <c r="U55" s="214"/>
      <c r="V55" s="214"/>
      <c r="W55" s="214"/>
      <c r="X55" s="214"/>
      <c r="Y55" s="214"/>
      <c r="Z55" s="214"/>
    </row>
    <row r="56" ht="15.75" hidden="1" customHeight="1">
      <c r="A56" s="215">
        <v>45915.0</v>
      </c>
      <c r="B56" s="216">
        <f t="shared" si="3"/>
        <v>5539445</v>
      </c>
      <c r="C56" s="109">
        <v>10.0</v>
      </c>
      <c r="D56" s="217">
        <v>948765.5</v>
      </c>
      <c r="E56" s="109">
        <v>125.0</v>
      </c>
      <c r="F56" s="109">
        <v>212.0</v>
      </c>
      <c r="G56" s="218">
        <v>0.08</v>
      </c>
      <c r="H56" s="109">
        <v>3.0</v>
      </c>
      <c r="I56" s="216">
        <v>3948210.0</v>
      </c>
      <c r="J56" s="109">
        <v>0.0</v>
      </c>
      <c r="K56" s="109">
        <v>0.0</v>
      </c>
      <c r="L56" s="109">
        <v>8.0</v>
      </c>
      <c r="M56" s="109">
        <v>2.0</v>
      </c>
      <c r="N56" s="109">
        <v>6.0</v>
      </c>
      <c r="O56" s="109">
        <v>9.0</v>
      </c>
      <c r="P56" s="218">
        <v>0.25</v>
      </c>
      <c r="Q56" s="193">
        <f t="shared" si="4"/>
        <v>9</v>
      </c>
      <c r="R56" s="216">
        <v>9487655.0</v>
      </c>
      <c r="S56" s="109">
        <v>10.0</v>
      </c>
      <c r="U56" s="214"/>
      <c r="V56" s="214"/>
      <c r="W56" s="214"/>
      <c r="X56" s="214"/>
      <c r="Y56" s="214"/>
      <c r="Z56" s="214"/>
    </row>
    <row r="57" ht="15.75" hidden="1" customHeight="1">
      <c r="A57" s="215">
        <v>45916.0</v>
      </c>
      <c r="B57" s="216">
        <f t="shared" si="3"/>
        <v>679400</v>
      </c>
      <c r="C57" s="109">
        <v>1.0</v>
      </c>
      <c r="D57" s="217">
        <v>679400.0</v>
      </c>
      <c r="E57" s="109">
        <v>166.0</v>
      </c>
      <c r="F57" s="109">
        <v>4039.0</v>
      </c>
      <c r="G57" s="218">
        <v>0.006</v>
      </c>
      <c r="H57" s="109">
        <v>0.0</v>
      </c>
      <c r="I57" s="216">
        <v>0.0</v>
      </c>
      <c r="J57" s="109">
        <v>0.0</v>
      </c>
      <c r="K57" s="109">
        <v>0.0</v>
      </c>
      <c r="L57" s="109">
        <v>1.0</v>
      </c>
      <c r="M57" s="109">
        <v>1.0</v>
      </c>
      <c r="N57" s="109">
        <v>0.0</v>
      </c>
      <c r="O57" s="109">
        <v>21.0</v>
      </c>
      <c r="P57" s="218">
        <v>0.0</v>
      </c>
      <c r="Q57" s="193">
        <f t="shared" si="4"/>
        <v>9</v>
      </c>
      <c r="R57" s="216">
        <v>679400.0</v>
      </c>
      <c r="S57" s="109">
        <v>1.0</v>
      </c>
      <c r="U57" s="214"/>
      <c r="V57" s="214"/>
      <c r="W57" s="214"/>
      <c r="X57" s="214"/>
      <c r="Y57" s="214"/>
      <c r="Z57" s="214"/>
    </row>
    <row r="58" ht="15.75" hidden="1" customHeight="1">
      <c r="A58" s="215">
        <v>45917.0</v>
      </c>
      <c r="B58" s="216">
        <f t="shared" si="3"/>
        <v>3231860</v>
      </c>
      <c r="C58" s="109">
        <v>5.0</v>
      </c>
      <c r="D58" s="217">
        <v>807192.0</v>
      </c>
      <c r="E58" s="109">
        <v>114.0</v>
      </c>
      <c r="F58" s="109">
        <v>1422.0</v>
      </c>
      <c r="G58" s="218">
        <v>0.0439</v>
      </c>
      <c r="H58" s="109">
        <v>1.0</v>
      </c>
      <c r="I58" s="216">
        <v>804100.0</v>
      </c>
      <c r="J58" s="109">
        <v>0.0</v>
      </c>
      <c r="K58" s="109">
        <v>0.0</v>
      </c>
      <c r="L58" s="109">
        <v>4.0</v>
      </c>
      <c r="M58" s="109">
        <v>2.0</v>
      </c>
      <c r="N58" s="109">
        <v>2.0</v>
      </c>
      <c r="O58" s="109">
        <v>18.0</v>
      </c>
      <c r="P58" s="218">
        <v>0.25</v>
      </c>
      <c r="Q58" s="193">
        <f t="shared" si="4"/>
        <v>9</v>
      </c>
      <c r="R58" s="216">
        <v>4035960.0</v>
      </c>
      <c r="S58" s="109">
        <v>5.0</v>
      </c>
      <c r="U58" s="214"/>
      <c r="V58" s="214"/>
      <c r="W58" s="214"/>
      <c r="X58" s="214"/>
      <c r="Y58" s="214"/>
      <c r="Z58" s="214"/>
    </row>
    <row r="59" ht="15.75" hidden="1" customHeight="1">
      <c r="A59" s="215">
        <v>45918.0</v>
      </c>
      <c r="B59" s="216">
        <f t="shared" si="3"/>
        <v>1736260</v>
      </c>
      <c r="C59" s="109">
        <v>2.0</v>
      </c>
      <c r="D59" s="217">
        <v>868130.0</v>
      </c>
      <c r="E59" s="109">
        <v>107.0</v>
      </c>
      <c r="F59" s="109">
        <v>4341.0</v>
      </c>
      <c r="G59" s="218">
        <v>0.0187</v>
      </c>
      <c r="H59" s="109">
        <v>0.0</v>
      </c>
      <c r="I59" s="216">
        <v>0.0</v>
      </c>
      <c r="J59" s="109">
        <v>0.0</v>
      </c>
      <c r="K59" s="109">
        <v>0.0</v>
      </c>
      <c r="L59" s="109">
        <v>2.0</v>
      </c>
      <c r="M59" s="109">
        <v>1.0</v>
      </c>
      <c r="N59" s="109">
        <v>1.0</v>
      </c>
      <c r="O59" s="109">
        <v>10.0</v>
      </c>
      <c r="P59" s="218">
        <v>0.0</v>
      </c>
      <c r="Q59" s="193">
        <f t="shared" si="4"/>
        <v>9</v>
      </c>
      <c r="R59" s="216">
        <v>1736260.0</v>
      </c>
      <c r="S59" s="109">
        <v>2.0</v>
      </c>
      <c r="U59" s="214"/>
      <c r="V59" s="214"/>
      <c r="W59" s="214"/>
      <c r="X59" s="214"/>
      <c r="Y59" s="214"/>
      <c r="Z59" s="214"/>
    </row>
    <row r="60" ht="15.75" hidden="1" customHeight="1">
      <c r="A60" s="215">
        <v>45919.0</v>
      </c>
      <c r="B60" s="216">
        <f t="shared" si="3"/>
        <v>2411200</v>
      </c>
      <c r="C60" s="109">
        <v>3.0</v>
      </c>
      <c r="D60" s="217">
        <v>1080933.33</v>
      </c>
      <c r="E60" s="109">
        <v>95.0</v>
      </c>
      <c r="F60" s="109">
        <v>1548.0</v>
      </c>
      <c r="G60" s="218">
        <v>0.0316</v>
      </c>
      <c r="H60" s="109">
        <v>1.0</v>
      </c>
      <c r="I60" s="216">
        <v>831600.0</v>
      </c>
      <c r="J60" s="109">
        <v>0.0</v>
      </c>
      <c r="K60" s="109">
        <v>0.0</v>
      </c>
      <c r="L60" s="109">
        <v>2.0</v>
      </c>
      <c r="M60" s="109">
        <v>2.0</v>
      </c>
      <c r="N60" s="109">
        <v>0.0</v>
      </c>
      <c r="O60" s="109">
        <v>14.0</v>
      </c>
      <c r="P60" s="218">
        <v>0.5</v>
      </c>
      <c r="Q60" s="193">
        <f t="shared" si="4"/>
        <v>9</v>
      </c>
      <c r="R60" s="216">
        <v>3242800.0</v>
      </c>
      <c r="S60" s="109">
        <v>3.0</v>
      </c>
      <c r="U60" s="214"/>
      <c r="V60" s="214"/>
      <c r="W60" s="214"/>
      <c r="X60" s="214"/>
      <c r="Y60" s="214"/>
      <c r="Z60" s="214"/>
    </row>
    <row r="61" ht="15.75" hidden="1" customHeight="1">
      <c r="A61" s="215">
        <v>45920.0</v>
      </c>
      <c r="B61" s="216">
        <f t="shared" si="3"/>
        <v>343140</v>
      </c>
      <c r="C61" s="109">
        <v>1.0</v>
      </c>
      <c r="D61" s="217">
        <v>343140.0</v>
      </c>
      <c r="E61" s="109">
        <v>122.0</v>
      </c>
      <c r="F61" s="109">
        <v>205.0</v>
      </c>
      <c r="G61" s="218">
        <v>0.0082</v>
      </c>
      <c r="H61" s="109">
        <v>0.0</v>
      </c>
      <c r="I61" s="216">
        <v>0.0</v>
      </c>
      <c r="J61" s="109">
        <v>0.0</v>
      </c>
      <c r="K61" s="109">
        <v>0.0</v>
      </c>
      <c r="L61" s="109">
        <v>1.0</v>
      </c>
      <c r="M61" s="109">
        <v>1.0</v>
      </c>
      <c r="N61" s="109">
        <v>0.0</v>
      </c>
      <c r="O61" s="109">
        <v>11.0</v>
      </c>
      <c r="P61" s="218">
        <v>0.0</v>
      </c>
      <c r="Q61" s="193">
        <f t="shared" si="4"/>
        <v>9</v>
      </c>
      <c r="R61" s="216">
        <v>343140.0</v>
      </c>
      <c r="S61" s="109">
        <v>1.0</v>
      </c>
      <c r="U61" s="214"/>
      <c r="V61" s="214"/>
      <c r="W61" s="214"/>
      <c r="X61" s="214"/>
      <c r="Y61" s="214"/>
      <c r="Z61" s="214"/>
    </row>
    <row r="62" ht="15.75" hidden="1" customHeight="1">
      <c r="A62" s="215">
        <v>45921.0</v>
      </c>
      <c r="B62" s="216">
        <f t="shared" si="3"/>
        <v>196080</v>
      </c>
      <c r="C62" s="109">
        <v>1.0</v>
      </c>
      <c r="D62" s="217">
        <v>196080.0</v>
      </c>
      <c r="E62" s="109">
        <v>43.0</v>
      </c>
      <c r="F62" s="109">
        <v>76.0</v>
      </c>
      <c r="G62" s="218">
        <v>0.0233</v>
      </c>
      <c r="H62" s="109">
        <v>0.0</v>
      </c>
      <c r="I62" s="109">
        <v>0.0</v>
      </c>
      <c r="J62" s="109">
        <v>0.0</v>
      </c>
      <c r="K62" s="109">
        <v>0.0</v>
      </c>
      <c r="L62" s="109">
        <v>1.0</v>
      </c>
      <c r="M62" s="109">
        <v>1.0</v>
      </c>
      <c r="N62" s="109">
        <v>0.0</v>
      </c>
      <c r="O62" s="109">
        <v>5.0</v>
      </c>
      <c r="P62" s="218">
        <v>0.0</v>
      </c>
      <c r="Q62" s="193">
        <f t="shared" si="4"/>
        <v>9</v>
      </c>
      <c r="R62" s="216">
        <v>196080.0</v>
      </c>
      <c r="S62" s="109">
        <v>1.0</v>
      </c>
      <c r="U62" s="214"/>
      <c r="V62" s="214"/>
      <c r="W62" s="214"/>
      <c r="X62" s="214"/>
      <c r="Y62" s="214"/>
      <c r="Z62" s="214"/>
    </row>
    <row r="63" ht="15.75" hidden="1" customHeight="1">
      <c r="A63" s="215">
        <v>45922.0</v>
      </c>
      <c r="B63" s="216">
        <f t="shared" si="3"/>
        <v>2520300</v>
      </c>
      <c r="C63" s="109">
        <v>3.0</v>
      </c>
      <c r="D63" s="217">
        <v>840100.0</v>
      </c>
      <c r="E63" s="109">
        <v>51.0</v>
      </c>
      <c r="F63" s="109">
        <v>85.0</v>
      </c>
      <c r="G63" s="218">
        <v>0.0588</v>
      </c>
      <c r="H63" s="109">
        <v>0.0</v>
      </c>
      <c r="I63" s="109">
        <v>0.0</v>
      </c>
      <c r="J63" s="109">
        <v>0.0</v>
      </c>
      <c r="K63" s="109">
        <v>0.0</v>
      </c>
      <c r="L63" s="109">
        <v>3.0</v>
      </c>
      <c r="M63" s="109">
        <v>0.0</v>
      </c>
      <c r="N63" s="109">
        <v>3.0</v>
      </c>
      <c r="O63" s="109">
        <v>3.0</v>
      </c>
      <c r="P63" s="218">
        <v>0.0</v>
      </c>
      <c r="Q63" s="193">
        <f t="shared" si="4"/>
        <v>9</v>
      </c>
      <c r="R63" s="216">
        <v>2520300.0</v>
      </c>
      <c r="S63" s="109">
        <v>3.0</v>
      </c>
      <c r="U63" s="214"/>
      <c r="V63" s="214"/>
      <c r="W63" s="214"/>
      <c r="X63" s="214"/>
      <c r="Y63" s="214"/>
      <c r="Z63" s="214"/>
    </row>
    <row r="64" ht="15.75" hidden="1" customHeight="1">
      <c r="A64" s="215">
        <v>45923.0</v>
      </c>
      <c r="B64" s="216">
        <f t="shared" si="3"/>
        <v>1142080</v>
      </c>
      <c r="C64" s="109">
        <v>2.0</v>
      </c>
      <c r="D64" s="217">
        <v>571040.0</v>
      </c>
      <c r="E64" s="109">
        <v>64.0</v>
      </c>
      <c r="F64" s="109">
        <v>112.0</v>
      </c>
      <c r="G64" s="218">
        <v>0.0312</v>
      </c>
      <c r="H64" s="109">
        <v>0.0</v>
      </c>
      <c r="I64" s="216">
        <v>0.0</v>
      </c>
      <c r="J64" s="109">
        <v>0.0</v>
      </c>
      <c r="K64" s="109">
        <v>0.0</v>
      </c>
      <c r="L64" s="109">
        <v>2.0</v>
      </c>
      <c r="M64" s="109">
        <v>2.0</v>
      </c>
      <c r="N64" s="109">
        <v>0.0</v>
      </c>
      <c r="O64" s="109">
        <v>9.0</v>
      </c>
      <c r="P64" s="218">
        <v>0.0</v>
      </c>
      <c r="Q64" s="193">
        <f t="shared" si="4"/>
        <v>9</v>
      </c>
      <c r="R64" s="216">
        <v>1142080.0</v>
      </c>
      <c r="S64" s="109">
        <v>2.0</v>
      </c>
      <c r="U64" s="214"/>
      <c r="V64" s="214"/>
      <c r="W64" s="214"/>
      <c r="X64" s="214"/>
      <c r="Y64" s="214"/>
      <c r="Z64" s="214"/>
    </row>
    <row r="65" ht="15.75" hidden="1" customHeight="1">
      <c r="A65" s="215">
        <v>45924.0</v>
      </c>
      <c r="B65" s="216">
        <f t="shared" si="3"/>
        <v>2073458</v>
      </c>
      <c r="C65" s="109">
        <v>4.0</v>
      </c>
      <c r="D65" s="217">
        <v>795864.5</v>
      </c>
      <c r="E65" s="109">
        <v>88.0</v>
      </c>
      <c r="F65" s="109">
        <v>181.0</v>
      </c>
      <c r="G65" s="218">
        <v>0.0455</v>
      </c>
      <c r="H65" s="109">
        <v>1.0</v>
      </c>
      <c r="I65" s="216">
        <v>1110000.0</v>
      </c>
      <c r="J65" s="109">
        <v>0.0</v>
      </c>
      <c r="K65" s="109">
        <v>0.0</v>
      </c>
      <c r="L65" s="109">
        <v>3.0</v>
      </c>
      <c r="M65" s="109">
        <v>2.0</v>
      </c>
      <c r="N65" s="109">
        <v>1.0</v>
      </c>
      <c r="O65" s="109">
        <v>13.0</v>
      </c>
      <c r="P65" s="218">
        <v>0.3333</v>
      </c>
      <c r="Q65" s="193">
        <f t="shared" si="4"/>
        <v>9</v>
      </c>
      <c r="R65" s="216">
        <v>3183458.0</v>
      </c>
      <c r="S65" s="109">
        <v>4.0</v>
      </c>
      <c r="U65" s="214"/>
      <c r="V65" s="214"/>
      <c r="W65" s="214"/>
      <c r="X65" s="214"/>
      <c r="Y65" s="214"/>
      <c r="Z65" s="214"/>
    </row>
    <row r="66" ht="15.75" hidden="1" customHeight="1">
      <c r="A66" s="215">
        <v>45925.0</v>
      </c>
      <c r="B66" s="216">
        <f t="shared" si="3"/>
        <v>10658283</v>
      </c>
      <c r="C66" s="109">
        <v>12.0</v>
      </c>
      <c r="D66" s="217">
        <v>1031987.75</v>
      </c>
      <c r="E66" s="109">
        <v>171.0</v>
      </c>
      <c r="F66" s="109">
        <v>229.0</v>
      </c>
      <c r="G66" s="218">
        <v>0.0702</v>
      </c>
      <c r="H66" s="109">
        <v>2.0</v>
      </c>
      <c r="I66" s="216">
        <v>1725570.0</v>
      </c>
      <c r="J66" s="109">
        <v>0.0</v>
      </c>
      <c r="K66" s="109">
        <v>0.0</v>
      </c>
      <c r="L66" s="109">
        <v>6.0</v>
      </c>
      <c r="M66" s="109">
        <v>3.0</v>
      </c>
      <c r="N66" s="109">
        <v>3.0</v>
      </c>
      <c r="O66" s="109">
        <v>13.0</v>
      </c>
      <c r="P66" s="218">
        <v>0.1667</v>
      </c>
      <c r="Q66" s="193">
        <f t="shared" si="4"/>
        <v>9</v>
      </c>
      <c r="R66" s="216">
        <v>1.2383853E7</v>
      </c>
      <c r="S66" s="109">
        <v>12.0</v>
      </c>
      <c r="U66" s="214"/>
      <c r="V66" s="214"/>
      <c r="W66" s="214"/>
      <c r="X66" s="214"/>
      <c r="Y66" s="214"/>
      <c r="Z66" s="214"/>
    </row>
    <row r="67" ht="15.75" hidden="1" customHeight="1">
      <c r="A67" s="215">
        <v>45926.0</v>
      </c>
      <c r="B67" s="216">
        <f t="shared" si="3"/>
        <v>294649</v>
      </c>
      <c r="C67" s="109">
        <v>1.0</v>
      </c>
      <c r="D67" s="217">
        <v>294649.0</v>
      </c>
      <c r="E67" s="109">
        <v>97.0</v>
      </c>
      <c r="F67" s="109">
        <v>166.0</v>
      </c>
      <c r="G67" s="218">
        <v>0.0103</v>
      </c>
      <c r="H67" s="109">
        <v>0.0</v>
      </c>
      <c r="I67" s="109">
        <v>0.0</v>
      </c>
      <c r="J67" s="109">
        <v>0.0</v>
      </c>
      <c r="K67" s="109">
        <v>0.0</v>
      </c>
      <c r="L67" s="109">
        <v>1.0</v>
      </c>
      <c r="M67" s="109">
        <v>1.0</v>
      </c>
      <c r="N67" s="109">
        <v>0.0</v>
      </c>
      <c r="O67" s="109">
        <v>9.0</v>
      </c>
      <c r="P67" s="218">
        <v>0.0</v>
      </c>
      <c r="Q67" s="193">
        <f t="shared" si="4"/>
        <v>9</v>
      </c>
      <c r="R67" s="216">
        <v>294649.0</v>
      </c>
      <c r="S67" s="109">
        <v>1.0</v>
      </c>
      <c r="U67" s="214"/>
      <c r="V67" s="214"/>
      <c r="W67" s="214"/>
      <c r="X67" s="214"/>
      <c r="Y67" s="214"/>
      <c r="Z67" s="214"/>
    </row>
    <row r="68" ht="15.75" hidden="1" customHeight="1">
      <c r="A68" s="215">
        <v>45927.0</v>
      </c>
      <c r="B68" s="216">
        <f t="shared" si="3"/>
        <v>2260897</v>
      </c>
      <c r="C68" s="109">
        <v>3.0</v>
      </c>
      <c r="D68" s="217">
        <v>753632.33</v>
      </c>
      <c r="E68" s="109">
        <v>150.0</v>
      </c>
      <c r="F68" s="109">
        <v>330.0</v>
      </c>
      <c r="G68" s="218">
        <v>0.02</v>
      </c>
      <c r="H68" s="109">
        <v>0.0</v>
      </c>
      <c r="I68" s="216">
        <v>0.0</v>
      </c>
      <c r="J68" s="109">
        <v>0.0</v>
      </c>
      <c r="K68" s="109">
        <v>0.0</v>
      </c>
      <c r="L68" s="109">
        <v>3.0</v>
      </c>
      <c r="M68" s="109">
        <v>0.0</v>
      </c>
      <c r="N68" s="109">
        <v>3.0</v>
      </c>
      <c r="O68" s="109">
        <v>21.0</v>
      </c>
      <c r="P68" s="218">
        <v>0.0</v>
      </c>
      <c r="Q68" s="193">
        <f t="shared" si="4"/>
        <v>9</v>
      </c>
      <c r="R68" s="216">
        <v>2260897.0</v>
      </c>
      <c r="S68" s="109">
        <v>3.0</v>
      </c>
      <c r="U68" s="214"/>
      <c r="V68" s="214"/>
      <c r="W68" s="214"/>
      <c r="X68" s="214"/>
      <c r="Y68" s="214"/>
      <c r="Z68" s="214"/>
    </row>
    <row r="69" ht="15.75" hidden="1" customHeight="1">
      <c r="A69" s="215">
        <v>45928.0</v>
      </c>
      <c r="B69" s="216">
        <f t="shared" si="3"/>
        <v>193800</v>
      </c>
      <c r="C69" s="109">
        <v>1.0</v>
      </c>
      <c r="D69" s="217">
        <v>193800.0</v>
      </c>
      <c r="E69" s="109">
        <v>135.0</v>
      </c>
      <c r="F69" s="109">
        <v>160.0</v>
      </c>
      <c r="G69" s="218">
        <v>0.0074</v>
      </c>
      <c r="H69" s="109">
        <v>0.0</v>
      </c>
      <c r="I69" s="216">
        <v>0.0</v>
      </c>
      <c r="J69" s="109">
        <v>0.0</v>
      </c>
      <c r="K69" s="109">
        <v>0.0</v>
      </c>
      <c r="L69" s="109">
        <v>1.0</v>
      </c>
      <c r="M69" s="109">
        <v>1.0</v>
      </c>
      <c r="N69" s="109">
        <v>0.0</v>
      </c>
      <c r="O69" s="109">
        <v>18.0</v>
      </c>
      <c r="P69" s="218">
        <v>0.0</v>
      </c>
      <c r="Q69" s="193">
        <f t="shared" si="4"/>
        <v>9</v>
      </c>
      <c r="R69" s="216">
        <v>193800.0</v>
      </c>
      <c r="S69" s="109">
        <v>1.0</v>
      </c>
      <c r="U69" s="214"/>
      <c r="V69" s="214"/>
      <c r="W69" s="214"/>
      <c r="X69" s="214"/>
      <c r="Y69" s="214"/>
      <c r="Z69" s="214"/>
    </row>
    <row r="70" ht="15.75" hidden="1" customHeight="1">
      <c r="A70" s="215">
        <v>45929.0</v>
      </c>
      <c r="B70" s="216">
        <f t="shared" si="3"/>
        <v>1275840</v>
      </c>
      <c r="C70" s="109">
        <v>3.0</v>
      </c>
      <c r="D70" s="217">
        <v>425280.0</v>
      </c>
      <c r="E70" s="109">
        <v>143.0</v>
      </c>
      <c r="F70" s="109">
        <v>218.0</v>
      </c>
      <c r="G70" s="218">
        <v>0.021</v>
      </c>
      <c r="H70" s="109">
        <v>0.0</v>
      </c>
      <c r="I70" s="216">
        <v>0.0</v>
      </c>
      <c r="J70" s="109">
        <v>0.0</v>
      </c>
      <c r="K70" s="109">
        <v>0.0</v>
      </c>
      <c r="L70" s="109">
        <v>3.0</v>
      </c>
      <c r="M70" s="109">
        <v>1.0</v>
      </c>
      <c r="N70" s="109">
        <v>2.0</v>
      </c>
      <c r="O70" s="109">
        <v>15.0</v>
      </c>
      <c r="P70" s="218">
        <v>0.0</v>
      </c>
      <c r="Q70" s="193">
        <f t="shared" si="4"/>
        <v>9</v>
      </c>
      <c r="R70" s="216">
        <v>1275840.0</v>
      </c>
      <c r="S70" s="109">
        <v>3.0</v>
      </c>
      <c r="T70" s="214"/>
      <c r="U70" s="214"/>
      <c r="V70" s="214"/>
      <c r="W70" s="214"/>
      <c r="X70" s="214"/>
      <c r="Y70" s="214"/>
      <c r="Z70" s="214"/>
    </row>
    <row r="71" ht="15.75" hidden="1" customHeight="1">
      <c r="A71" s="215">
        <v>45930.0</v>
      </c>
      <c r="B71" s="216">
        <f t="shared" si="3"/>
        <v>1333911</v>
      </c>
      <c r="C71" s="109">
        <v>2.0</v>
      </c>
      <c r="D71" s="217">
        <v>666955.5</v>
      </c>
      <c r="E71" s="109">
        <v>149.0</v>
      </c>
      <c r="F71" s="109">
        <v>232.0</v>
      </c>
      <c r="G71" s="218">
        <v>0.0134</v>
      </c>
      <c r="H71" s="109">
        <v>0.0</v>
      </c>
      <c r="I71" s="109">
        <v>0.0</v>
      </c>
      <c r="J71" s="109">
        <v>0.0</v>
      </c>
      <c r="K71" s="109">
        <v>0.0</v>
      </c>
      <c r="L71" s="109">
        <v>2.0</v>
      </c>
      <c r="M71" s="109">
        <v>1.0</v>
      </c>
      <c r="N71" s="109">
        <v>1.0</v>
      </c>
      <c r="O71" s="109">
        <v>18.0</v>
      </c>
      <c r="P71" s="218">
        <v>0.0</v>
      </c>
      <c r="Q71" s="193">
        <f t="shared" si="4"/>
        <v>9</v>
      </c>
      <c r="R71" s="216">
        <v>1333911.0</v>
      </c>
      <c r="S71" s="109">
        <v>2.0</v>
      </c>
      <c r="T71" s="214"/>
      <c r="U71" s="214"/>
      <c r="V71" s="214"/>
      <c r="W71" s="214"/>
      <c r="X71" s="214"/>
      <c r="Y71" s="214"/>
      <c r="Z71" s="214"/>
    </row>
    <row r="72" ht="15.75" hidden="1" customHeight="1">
      <c r="A72" s="215"/>
      <c r="B72" s="109"/>
      <c r="C72" s="109"/>
      <c r="D72" s="109"/>
      <c r="E72" s="109"/>
      <c r="F72" s="109"/>
      <c r="G72" s="218"/>
      <c r="H72" s="109"/>
      <c r="I72" s="109"/>
      <c r="J72" s="109"/>
      <c r="K72" s="109"/>
      <c r="L72" s="109"/>
      <c r="M72" s="109"/>
      <c r="N72" s="109"/>
      <c r="O72" s="109"/>
      <c r="P72" s="218"/>
      <c r="Q72" s="193">
        <f t="shared" si="4"/>
        <v>12</v>
      </c>
      <c r="R72" s="214"/>
      <c r="S72" s="214"/>
      <c r="T72" s="214"/>
      <c r="U72" s="214"/>
      <c r="V72" s="214"/>
      <c r="W72" s="214"/>
      <c r="X72" s="214"/>
      <c r="Y72" s="214"/>
      <c r="Z72" s="214"/>
    </row>
    <row r="73" ht="15.75" hidden="1" customHeight="1">
      <c r="A73" s="191" t="s">
        <v>33</v>
      </c>
      <c r="B73" s="192" t="s">
        <v>669</v>
      </c>
      <c r="C73" s="192" t="s">
        <v>670</v>
      </c>
      <c r="D73" s="192" t="s">
        <v>671</v>
      </c>
      <c r="E73" s="192" t="s">
        <v>672</v>
      </c>
      <c r="F73" s="192" t="s">
        <v>673</v>
      </c>
      <c r="G73" s="192" t="s">
        <v>674</v>
      </c>
      <c r="H73" s="192" t="s">
        <v>37</v>
      </c>
      <c r="I73" s="192" t="s">
        <v>38</v>
      </c>
      <c r="J73" s="192" t="s">
        <v>39</v>
      </c>
      <c r="K73" s="192" t="s">
        <v>675</v>
      </c>
      <c r="L73" s="192" t="s">
        <v>676</v>
      </c>
      <c r="M73" s="192" t="s">
        <v>677</v>
      </c>
      <c r="N73" s="192" t="s">
        <v>678</v>
      </c>
      <c r="O73" s="192" t="s">
        <v>679</v>
      </c>
      <c r="P73" s="192" t="s">
        <v>680</v>
      </c>
      <c r="Q73" s="193"/>
      <c r="R73" s="109"/>
      <c r="S73" s="109"/>
      <c r="T73" s="109"/>
      <c r="U73" s="109"/>
      <c r="V73" s="109"/>
      <c r="W73" s="109"/>
      <c r="X73" s="109"/>
      <c r="Y73" s="109"/>
      <c r="Z73" s="109"/>
    </row>
    <row r="74" ht="15.75" hidden="1" customHeight="1">
      <c r="A74" s="194"/>
      <c r="B74" s="195">
        <f t="shared" ref="B74:P74" si="5">SUM(B77:B110)</f>
        <v>58260779</v>
      </c>
      <c r="C74" s="195">
        <f t="shared" si="5"/>
        <v>83</v>
      </c>
      <c r="D74" s="195">
        <f t="shared" si="5"/>
        <v>21985057.26</v>
      </c>
      <c r="E74" s="195">
        <f t="shared" si="5"/>
        <v>2896</v>
      </c>
      <c r="F74" s="195">
        <f t="shared" si="5"/>
        <v>20505</v>
      </c>
      <c r="G74" s="198">
        <f t="shared" si="5"/>
        <v>1.3479</v>
      </c>
      <c r="H74" s="195">
        <f t="shared" si="5"/>
        <v>37</v>
      </c>
      <c r="I74" s="195">
        <f t="shared" si="5"/>
        <v>28442973</v>
      </c>
      <c r="J74" s="195">
        <f t="shared" si="5"/>
        <v>1</v>
      </c>
      <c r="K74" s="195">
        <f t="shared" si="5"/>
        <v>416549</v>
      </c>
      <c r="L74" s="195">
        <f t="shared" si="5"/>
        <v>107</v>
      </c>
      <c r="M74" s="195">
        <f t="shared" si="5"/>
        <v>59</v>
      </c>
      <c r="N74" s="195">
        <f t="shared" si="5"/>
        <v>48</v>
      </c>
      <c r="O74" s="195">
        <f t="shared" si="5"/>
        <v>272</v>
      </c>
      <c r="P74" s="198">
        <f t="shared" si="5"/>
        <v>3.8012</v>
      </c>
      <c r="Q74" s="193"/>
      <c r="R74" s="109"/>
      <c r="S74" s="109"/>
      <c r="T74" s="109"/>
      <c r="U74" s="109"/>
      <c r="V74" s="109"/>
      <c r="W74" s="109"/>
      <c r="X74" s="109"/>
      <c r="Y74" s="109"/>
      <c r="Z74" s="109"/>
    </row>
    <row r="75" ht="15.75" hidden="1" customHeight="1">
      <c r="A75" s="199"/>
      <c r="B75" s="109"/>
      <c r="C75" s="109"/>
      <c r="D75" s="109"/>
      <c r="E75" s="109"/>
      <c r="F75" s="109"/>
      <c r="G75" s="109"/>
      <c r="H75" s="109"/>
      <c r="I75" s="109"/>
      <c r="J75" s="109"/>
      <c r="K75" s="109"/>
      <c r="L75" s="109"/>
      <c r="M75" s="109"/>
      <c r="N75" s="109"/>
      <c r="O75" s="109"/>
      <c r="P75" s="109"/>
      <c r="Q75" s="193"/>
      <c r="R75" s="109"/>
      <c r="S75" s="109"/>
      <c r="T75" s="109"/>
      <c r="U75" s="109"/>
      <c r="V75" s="109"/>
      <c r="W75" s="109"/>
      <c r="X75" s="109"/>
      <c r="Y75" s="109"/>
      <c r="Z75" s="109"/>
    </row>
    <row r="76" ht="15.75" hidden="1" customHeight="1">
      <c r="A76" s="109" t="s">
        <v>33</v>
      </c>
      <c r="B76" s="109" t="s">
        <v>669</v>
      </c>
      <c r="C76" s="109" t="s">
        <v>670</v>
      </c>
      <c r="D76" s="109" t="s">
        <v>671</v>
      </c>
      <c r="E76" s="109" t="s">
        <v>685</v>
      </c>
      <c r="F76" s="109" t="s">
        <v>673</v>
      </c>
      <c r="G76" s="109" t="s">
        <v>686</v>
      </c>
      <c r="H76" s="109" t="s">
        <v>37</v>
      </c>
      <c r="I76" s="109" t="s">
        <v>38</v>
      </c>
      <c r="J76" s="109" t="s">
        <v>39</v>
      </c>
      <c r="K76" s="109" t="s">
        <v>675</v>
      </c>
      <c r="L76" s="109" t="s">
        <v>676</v>
      </c>
      <c r="M76" s="109" t="s">
        <v>677</v>
      </c>
      <c r="N76" s="109" t="s">
        <v>678</v>
      </c>
      <c r="O76" s="109" t="s">
        <v>679</v>
      </c>
      <c r="P76" s="109" t="s">
        <v>680</v>
      </c>
      <c r="Q76" s="193" t="s">
        <v>681</v>
      </c>
      <c r="R76" s="109"/>
      <c r="S76" s="109"/>
      <c r="T76" s="109"/>
      <c r="U76" s="109"/>
      <c r="V76" s="109"/>
      <c r="W76" s="109"/>
      <c r="X76" s="109"/>
      <c r="Y76" s="109"/>
      <c r="Z76" s="109"/>
    </row>
    <row r="77" ht="15.75" hidden="1" customHeight="1">
      <c r="A77" s="215">
        <v>45931.0</v>
      </c>
      <c r="B77" s="216">
        <f t="shared" ref="B77:B107" si="6">R77-I77</f>
        <v>852390</v>
      </c>
      <c r="C77" s="109">
        <f t="shared" ref="C77:C107" si="7">S77-H77</f>
        <v>1</v>
      </c>
      <c r="D77" s="217">
        <v>823095.0</v>
      </c>
      <c r="E77" s="109">
        <v>83.0</v>
      </c>
      <c r="F77" s="109">
        <v>154.0</v>
      </c>
      <c r="G77" s="218">
        <v>0.0241</v>
      </c>
      <c r="H77" s="109">
        <v>1.0</v>
      </c>
      <c r="I77" s="216">
        <v>793800.0</v>
      </c>
      <c r="J77" s="109">
        <v>0.0</v>
      </c>
      <c r="K77" s="109">
        <v>0.0</v>
      </c>
      <c r="L77" s="109">
        <v>2.0</v>
      </c>
      <c r="M77" s="109">
        <v>1.0</v>
      </c>
      <c r="N77" s="109">
        <v>1.0</v>
      </c>
      <c r="O77" s="109">
        <v>13.0</v>
      </c>
      <c r="P77" s="218">
        <v>0.0</v>
      </c>
      <c r="Q77" s="193">
        <f t="shared" ref="Q77:Q107" si="8">MONTH(A77)</f>
        <v>10</v>
      </c>
      <c r="R77" s="216">
        <v>1646190.0</v>
      </c>
      <c r="S77" s="109">
        <v>2.0</v>
      </c>
      <c r="T77" s="214"/>
      <c r="U77" s="214"/>
      <c r="V77" s="214"/>
      <c r="W77" s="214"/>
      <c r="X77" s="214"/>
      <c r="Y77" s="214"/>
      <c r="Z77" s="214"/>
    </row>
    <row r="78" ht="15.75" hidden="1" customHeight="1">
      <c r="A78" s="215">
        <v>45932.0</v>
      </c>
      <c r="B78" s="216">
        <f t="shared" si="6"/>
        <v>3072476</v>
      </c>
      <c r="C78" s="109">
        <f t="shared" si="7"/>
        <v>2</v>
      </c>
      <c r="D78" s="217">
        <v>1547012.75</v>
      </c>
      <c r="E78" s="109">
        <v>33.0</v>
      </c>
      <c r="F78" s="109">
        <v>131.0</v>
      </c>
      <c r="G78" s="218">
        <v>0.1212</v>
      </c>
      <c r="H78" s="109">
        <v>2.0</v>
      </c>
      <c r="I78" s="216">
        <v>3115575.0</v>
      </c>
      <c r="J78" s="109">
        <v>0.0</v>
      </c>
      <c r="K78" s="109">
        <v>0.0</v>
      </c>
      <c r="L78" s="109">
        <v>3.0</v>
      </c>
      <c r="M78" s="109">
        <v>3.0</v>
      </c>
      <c r="N78" s="109">
        <v>0.0</v>
      </c>
      <c r="O78" s="109">
        <v>4.0</v>
      </c>
      <c r="P78" s="218">
        <v>0.3333</v>
      </c>
      <c r="Q78" s="193">
        <f t="shared" si="8"/>
        <v>10</v>
      </c>
      <c r="R78" s="216">
        <v>6188051.0</v>
      </c>
      <c r="S78" s="109">
        <v>4.0</v>
      </c>
      <c r="T78" s="214"/>
      <c r="U78" s="214"/>
      <c r="V78" s="214"/>
      <c r="W78" s="214"/>
      <c r="X78" s="214"/>
      <c r="Y78" s="214"/>
      <c r="Z78" s="214"/>
    </row>
    <row r="79" ht="15.75" hidden="1" customHeight="1">
      <c r="A79" s="215">
        <v>45933.0</v>
      </c>
      <c r="B79" s="216">
        <f t="shared" si="6"/>
        <v>702240</v>
      </c>
      <c r="C79" s="109">
        <f t="shared" si="7"/>
        <v>1</v>
      </c>
      <c r="D79" s="217">
        <v>702240.0</v>
      </c>
      <c r="E79" s="109">
        <v>34.0</v>
      </c>
      <c r="F79" s="109">
        <v>164.0</v>
      </c>
      <c r="G79" s="218">
        <v>0.0294</v>
      </c>
      <c r="H79" s="109">
        <v>0.0</v>
      </c>
      <c r="I79" s="109">
        <v>0.0</v>
      </c>
      <c r="J79" s="109">
        <v>0.0</v>
      </c>
      <c r="K79" s="109">
        <v>0.0</v>
      </c>
      <c r="L79" s="109">
        <v>1.0</v>
      </c>
      <c r="M79" s="109">
        <v>1.0</v>
      </c>
      <c r="N79" s="109">
        <v>0.0</v>
      </c>
      <c r="O79" s="109">
        <v>4.0</v>
      </c>
      <c r="P79" s="218">
        <v>0.0</v>
      </c>
      <c r="Q79" s="193">
        <f t="shared" si="8"/>
        <v>10</v>
      </c>
      <c r="R79" s="216">
        <v>702240.0</v>
      </c>
      <c r="S79" s="109">
        <v>1.0</v>
      </c>
      <c r="T79" s="214"/>
      <c r="U79" s="214"/>
      <c r="V79" s="214"/>
      <c r="W79" s="214"/>
      <c r="X79" s="214"/>
      <c r="Y79" s="214"/>
      <c r="Z79" s="214"/>
    </row>
    <row r="80" ht="15.75" hidden="1" customHeight="1">
      <c r="A80" s="215">
        <v>45934.0</v>
      </c>
      <c r="B80" s="216">
        <f t="shared" si="6"/>
        <v>1430817</v>
      </c>
      <c r="C80" s="109">
        <f t="shared" si="7"/>
        <v>2</v>
      </c>
      <c r="D80" s="217">
        <v>715408.5</v>
      </c>
      <c r="E80" s="109">
        <v>48.0</v>
      </c>
      <c r="F80" s="109">
        <v>84.0</v>
      </c>
      <c r="G80" s="218">
        <v>0.0417</v>
      </c>
      <c r="H80" s="109">
        <v>0.0</v>
      </c>
      <c r="I80" s="109">
        <v>0.0</v>
      </c>
      <c r="J80" s="109">
        <v>0.0</v>
      </c>
      <c r="K80" s="109">
        <v>0.0</v>
      </c>
      <c r="L80" s="109">
        <v>2.0</v>
      </c>
      <c r="M80" s="109">
        <v>1.0</v>
      </c>
      <c r="N80" s="109">
        <v>1.0</v>
      </c>
      <c r="O80" s="109">
        <v>5.0</v>
      </c>
      <c r="P80" s="218">
        <v>0.0</v>
      </c>
      <c r="Q80" s="193">
        <f t="shared" si="8"/>
        <v>10</v>
      </c>
      <c r="R80" s="216">
        <v>1430817.0</v>
      </c>
      <c r="S80" s="109">
        <v>2.0</v>
      </c>
      <c r="T80" s="214"/>
      <c r="U80" s="214"/>
      <c r="V80" s="214"/>
      <c r="W80" s="214"/>
      <c r="X80" s="214"/>
      <c r="Y80" s="214"/>
      <c r="Z80" s="214"/>
    </row>
    <row r="81" ht="15.75" hidden="1" customHeight="1">
      <c r="A81" s="215">
        <v>45935.0</v>
      </c>
      <c r="B81" s="216">
        <f t="shared" si="6"/>
        <v>2363950</v>
      </c>
      <c r="C81" s="109">
        <f t="shared" si="7"/>
        <v>3</v>
      </c>
      <c r="D81" s="217">
        <v>787983.33</v>
      </c>
      <c r="E81" s="109">
        <v>52.0</v>
      </c>
      <c r="F81" s="109">
        <v>55.0</v>
      </c>
      <c r="G81" s="218">
        <v>0.0577</v>
      </c>
      <c r="H81" s="109">
        <v>0.0</v>
      </c>
      <c r="I81" s="109">
        <v>0.0</v>
      </c>
      <c r="J81" s="109">
        <v>0.0</v>
      </c>
      <c r="K81" s="109">
        <v>0.0</v>
      </c>
      <c r="L81" s="109">
        <v>3.0</v>
      </c>
      <c r="M81" s="109">
        <v>1.0</v>
      </c>
      <c r="N81" s="109">
        <v>2.0</v>
      </c>
      <c r="O81" s="109">
        <v>7.0</v>
      </c>
      <c r="P81" s="218">
        <v>0.0</v>
      </c>
      <c r="Q81" s="193">
        <f t="shared" si="8"/>
        <v>10</v>
      </c>
      <c r="R81" s="216">
        <v>2363950.0</v>
      </c>
      <c r="S81" s="109">
        <v>3.0</v>
      </c>
      <c r="T81" s="214"/>
      <c r="U81" s="214"/>
      <c r="V81" s="214"/>
      <c r="W81" s="214"/>
      <c r="X81" s="214"/>
      <c r="Y81" s="214"/>
      <c r="Z81" s="214"/>
    </row>
    <row r="82" ht="15.75" hidden="1" customHeight="1">
      <c r="A82" s="215">
        <v>45936.0</v>
      </c>
      <c r="B82" s="216">
        <f t="shared" si="6"/>
        <v>1877941</v>
      </c>
      <c r="C82" s="109">
        <f t="shared" si="7"/>
        <v>3</v>
      </c>
      <c r="D82" s="217">
        <v>625980.33</v>
      </c>
      <c r="E82" s="109">
        <v>34.0</v>
      </c>
      <c r="F82" s="109">
        <v>71.0</v>
      </c>
      <c r="G82" s="218">
        <v>0.0882</v>
      </c>
      <c r="H82" s="109">
        <v>0.0</v>
      </c>
      <c r="I82" s="109">
        <v>0.0</v>
      </c>
      <c r="J82" s="109">
        <v>0.0</v>
      </c>
      <c r="K82" s="109">
        <v>0.0</v>
      </c>
      <c r="L82" s="109">
        <v>3.0</v>
      </c>
      <c r="M82" s="109">
        <v>2.0</v>
      </c>
      <c r="N82" s="109">
        <v>1.0</v>
      </c>
      <c r="O82" s="109">
        <v>1.0</v>
      </c>
      <c r="P82" s="218">
        <v>0.0</v>
      </c>
      <c r="Q82" s="193">
        <f t="shared" si="8"/>
        <v>10</v>
      </c>
      <c r="R82" s="216">
        <v>1877941.0</v>
      </c>
      <c r="S82" s="109">
        <v>3.0</v>
      </c>
      <c r="T82" s="214"/>
      <c r="U82" s="214"/>
      <c r="V82" s="214"/>
      <c r="W82" s="214"/>
      <c r="X82" s="214"/>
      <c r="Y82" s="214"/>
      <c r="Z82" s="214"/>
    </row>
    <row r="83" ht="15.75" hidden="1" customHeight="1">
      <c r="A83" s="215">
        <v>45937.0</v>
      </c>
      <c r="B83" s="216">
        <f t="shared" si="6"/>
        <v>569492</v>
      </c>
      <c r="C83" s="109">
        <f t="shared" si="7"/>
        <v>1</v>
      </c>
      <c r="D83" s="217">
        <v>569492.0</v>
      </c>
      <c r="E83" s="109">
        <v>36.0</v>
      </c>
      <c r="F83" s="109">
        <v>66.0</v>
      </c>
      <c r="G83" s="218">
        <v>0.0278</v>
      </c>
      <c r="H83" s="109">
        <v>0.0</v>
      </c>
      <c r="I83" s="109">
        <v>0.0</v>
      </c>
      <c r="J83" s="109">
        <v>0.0</v>
      </c>
      <c r="K83" s="109">
        <v>0.0</v>
      </c>
      <c r="L83" s="109">
        <v>1.0</v>
      </c>
      <c r="M83" s="109">
        <v>0.0</v>
      </c>
      <c r="N83" s="109">
        <v>1.0</v>
      </c>
      <c r="O83" s="109">
        <v>7.0</v>
      </c>
      <c r="P83" s="218">
        <v>0.0</v>
      </c>
      <c r="Q83" s="193">
        <f t="shared" si="8"/>
        <v>10</v>
      </c>
      <c r="R83" s="216">
        <v>569492.0</v>
      </c>
      <c r="S83" s="109">
        <v>1.0</v>
      </c>
      <c r="T83" s="214"/>
      <c r="U83" s="214"/>
      <c r="V83" s="214"/>
      <c r="W83" s="214"/>
      <c r="X83" s="214"/>
      <c r="Y83" s="214"/>
      <c r="Z83" s="214"/>
    </row>
    <row r="84" ht="15.75" hidden="1" customHeight="1">
      <c r="A84" s="215">
        <v>45938.0</v>
      </c>
      <c r="B84" s="216">
        <f t="shared" si="6"/>
        <v>2891630</v>
      </c>
      <c r="C84" s="109">
        <f t="shared" si="7"/>
        <v>5</v>
      </c>
      <c r="D84" s="217">
        <v>578326.0</v>
      </c>
      <c r="E84" s="109">
        <v>73.0</v>
      </c>
      <c r="F84" s="109">
        <v>90.0</v>
      </c>
      <c r="G84" s="218">
        <v>0.0685</v>
      </c>
      <c r="H84" s="109">
        <v>0.0</v>
      </c>
      <c r="I84" s="109">
        <v>0.0</v>
      </c>
      <c r="J84" s="109">
        <v>0.0</v>
      </c>
      <c r="K84" s="109">
        <v>0.0</v>
      </c>
      <c r="L84" s="109">
        <v>4.0</v>
      </c>
      <c r="M84" s="109">
        <v>3.0</v>
      </c>
      <c r="N84" s="109">
        <v>1.0</v>
      </c>
      <c r="O84" s="109">
        <v>11.0</v>
      </c>
      <c r="P84" s="218">
        <v>0.25</v>
      </c>
      <c r="Q84" s="193">
        <f t="shared" si="8"/>
        <v>10</v>
      </c>
      <c r="R84" s="216">
        <v>2891630.0</v>
      </c>
      <c r="S84" s="109">
        <v>5.0</v>
      </c>
      <c r="T84" s="214"/>
      <c r="U84" s="214"/>
      <c r="V84" s="214"/>
      <c r="W84" s="214"/>
      <c r="X84" s="214"/>
      <c r="Y84" s="214"/>
      <c r="Z84" s="214"/>
    </row>
    <row r="85" ht="15.75" hidden="1" customHeight="1">
      <c r="A85" s="215">
        <v>45939.0</v>
      </c>
      <c r="B85" s="216">
        <f t="shared" si="6"/>
        <v>762420</v>
      </c>
      <c r="C85" s="109">
        <f t="shared" si="7"/>
        <v>1</v>
      </c>
      <c r="D85" s="217">
        <v>750128.0</v>
      </c>
      <c r="E85" s="109">
        <v>85.0</v>
      </c>
      <c r="F85" s="109">
        <v>145.0</v>
      </c>
      <c r="G85" s="218">
        <v>0.0471</v>
      </c>
      <c r="H85" s="109">
        <v>3.0</v>
      </c>
      <c r="I85" s="216">
        <v>2238092.0</v>
      </c>
      <c r="J85" s="109">
        <v>0.0</v>
      </c>
      <c r="K85" s="109">
        <v>0.0</v>
      </c>
      <c r="L85" s="109">
        <v>1.0</v>
      </c>
      <c r="M85" s="109">
        <v>0.0</v>
      </c>
      <c r="N85" s="109">
        <v>1.0</v>
      </c>
      <c r="O85" s="109">
        <v>7.0</v>
      </c>
      <c r="P85" s="218">
        <v>1.0</v>
      </c>
      <c r="Q85" s="193">
        <f t="shared" si="8"/>
        <v>10</v>
      </c>
      <c r="R85" s="216">
        <v>3000512.0</v>
      </c>
      <c r="S85" s="109">
        <v>4.0</v>
      </c>
      <c r="T85" s="214"/>
      <c r="U85" s="214"/>
      <c r="V85" s="214"/>
      <c r="W85" s="214"/>
      <c r="X85" s="214"/>
      <c r="Y85" s="214"/>
      <c r="Z85" s="214"/>
    </row>
    <row r="86" ht="15.75" hidden="1" customHeight="1">
      <c r="A86" s="219">
        <v>45940.0</v>
      </c>
      <c r="B86" s="216">
        <f t="shared" si="6"/>
        <v>5974178</v>
      </c>
      <c r="C86" s="109">
        <f t="shared" si="7"/>
        <v>6</v>
      </c>
      <c r="D86" s="217">
        <v>854514.22</v>
      </c>
      <c r="E86" s="109">
        <v>147.0</v>
      </c>
      <c r="F86" s="109">
        <v>273.0</v>
      </c>
      <c r="G86" s="218">
        <v>0.0612</v>
      </c>
      <c r="H86" s="109">
        <v>3.0</v>
      </c>
      <c r="I86" s="216">
        <v>1716450.0</v>
      </c>
      <c r="J86" s="109">
        <v>1.0</v>
      </c>
      <c r="K86" s="216">
        <v>416549.0</v>
      </c>
      <c r="L86" s="109">
        <v>8.0</v>
      </c>
      <c r="M86" s="109">
        <v>2.0</v>
      </c>
      <c r="N86" s="109">
        <v>6.0</v>
      </c>
      <c r="O86" s="109">
        <v>11.0</v>
      </c>
      <c r="P86" s="218">
        <v>0.125</v>
      </c>
      <c r="Q86" s="193">
        <f t="shared" si="8"/>
        <v>10</v>
      </c>
      <c r="R86" s="216">
        <v>7690628.0</v>
      </c>
      <c r="S86" s="109">
        <v>9.0</v>
      </c>
      <c r="T86" s="214"/>
      <c r="U86" s="214"/>
      <c r="V86" s="214"/>
      <c r="W86" s="214"/>
      <c r="X86" s="214"/>
      <c r="Y86" s="214"/>
      <c r="Z86" s="214"/>
    </row>
    <row r="87" ht="15.75" hidden="1" customHeight="1">
      <c r="A87" s="219">
        <v>45941.0</v>
      </c>
      <c r="B87" s="216">
        <f t="shared" si="6"/>
        <v>1035795</v>
      </c>
      <c r="C87" s="109">
        <f t="shared" si="7"/>
        <v>2</v>
      </c>
      <c r="D87" s="217">
        <v>629395.0</v>
      </c>
      <c r="E87" s="109">
        <v>104.0</v>
      </c>
      <c r="F87" s="109">
        <v>1317.0</v>
      </c>
      <c r="G87" s="218">
        <v>0.0288</v>
      </c>
      <c r="H87" s="109">
        <v>1.0</v>
      </c>
      <c r="I87" s="216">
        <v>852390.0</v>
      </c>
      <c r="J87" s="109">
        <v>0.0</v>
      </c>
      <c r="K87" s="109">
        <v>0.0</v>
      </c>
      <c r="L87" s="109">
        <v>3.0</v>
      </c>
      <c r="M87" s="109">
        <v>0.0</v>
      </c>
      <c r="N87" s="109">
        <v>3.0</v>
      </c>
      <c r="O87" s="109">
        <v>14.0</v>
      </c>
      <c r="P87" s="218">
        <v>0.0</v>
      </c>
      <c r="Q87" s="193">
        <f t="shared" si="8"/>
        <v>10</v>
      </c>
      <c r="R87" s="216">
        <v>1888185.0</v>
      </c>
      <c r="S87" s="109">
        <v>3.0</v>
      </c>
      <c r="T87" s="214"/>
      <c r="U87" s="214"/>
      <c r="V87" s="214"/>
      <c r="W87" s="214"/>
      <c r="X87" s="214"/>
      <c r="Y87" s="214"/>
      <c r="Z87" s="214"/>
    </row>
    <row r="88" ht="15.75" hidden="1" customHeight="1">
      <c r="A88" s="219">
        <v>45942.0</v>
      </c>
      <c r="B88" s="216">
        <f t="shared" si="6"/>
        <v>1440000</v>
      </c>
      <c r="C88" s="109">
        <f t="shared" si="7"/>
        <v>2</v>
      </c>
      <c r="D88" s="217">
        <v>771060.0</v>
      </c>
      <c r="E88" s="109">
        <v>139.0</v>
      </c>
      <c r="F88" s="109">
        <v>266.0</v>
      </c>
      <c r="G88" s="218">
        <v>0.0216</v>
      </c>
      <c r="H88" s="109">
        <v>1.0</v>
      </c>
      <c r="I88" s="216">
        <v>873180.0</v>
      </c>
      <c r="J88" s="109">
        <v>0.0</v>
      </c>
      <c r="K88" s="109">
        <v>0.0</v>
      </c>
      <c r="L88" s="109">
        <v>3.0</v>
      </c>
      <c r="M88" s="109">
        <v>2.0</v>
      </c>
      <c r="N88" s="109">
        <v>1.0</v>
      </c>
      <c r="O88" s="109">
        <v>18.0</v>
      </c>
      <c r="P88" s="218">
        <v>0.0</v>
      </c>
      <c r="Q88" s="193">
        <f t="shared" si="8"/>
        <v>10</v>
      </c>
      <c r="R88" s="216">
        <v>2313180.0</v>
      </c>
      <c r="S88" s="109">
        <v>3.0</v>
      </c>
      <c r="T88" s="214"/>
      <c r="U88" s="214"/>
      <c r="V88" s="214"/>
      <c r="W88" s="214"/>
      <c r="X88" s="214"/>
      <c r="Y88" s="214"/>
      <c r="Z88" s="214"/>
    </row>
    <row r="89" ht="15.75" hidden="1" customHeight="1">
      <c r="A89" s="219">
        <v>45943.0</v>
      </c>
      <c r="B89" s="216">
        <f t="shared" si="6"/>
        <v>1815550</v>
      </c>
      <c r="C89" s="109">
        <f t="shared" si="7"/>
        <v>2</v>
      </c>
      <c r="D89" s="217">
        <v>783539.17</v>
      </c>
      <c r="E89" s="109">
        <v>124.0</v>
      </c>
      <c r="F89" s="109">
        <v>224.0</v>
      </c>
      <c r="G89" s="218">
        <v>0.0484</v>
      </c>
      <c r="H89" s="109">
        <v>4.0</v>
      </c>
      <c r="I89" s="216">
        <v>2885685.0</v>
      </c>
      <c r="J89" s="109">
        <v>0.0</v>
      </c>
      <c r="K89" s="109">
        <v>0.0</v>
      </c>
      <c r="L89" s="109">
        <v>5.0</v>
      </c>
      <c r="M89" s="109">
        <v>4.0</v>
      </c>
      <c r="N89" s="109">
        <v>1.0</v>
      </c>
      <c r="O89" s="109">
        <v>12.0</v>
      </c>
      <c r="P89" s="218">
        <v>0.2</v>
      </c>
      <c r="Q89" s="193">
        <f t="shared" si="8"/>
        <v>10</v>
      </c>
      <c r="R89" s="216">
        <v>4701235.0</v>
      </c>
      <c r="S89" s="109">
        <v>6.0</v>
      </c>
      <c r="T89" s="214"/>
      <c r="U89" s="214"/>
      <c r="V89" s="214"/>
      <c r="W89" s="214"/>
      <c r="X89" s="214"/>
      <c r="Y89" s="214"/>
      <c r="Z89" s="214"/>
    </row>
    <row r="90" ht="15.75" hidden="1" customHeight="1">
      <c r="A90" s="219">
        <v>45944.0</v>
      </c>
      <c r="B90" s="216">
        <f t="shared" si="6"/>
        <v>3081072</v>
      </c>
      <c r="C90" s="109">
        <f t="shared" si="7"/>
        <v>6</v>
      </c>
      <c r="D90" s="217">
        <v>461581.71</v>
      </c>
      <c r="E90" s="109">
        <v>147.0</v>
      </c>
      <c r="F90" s="109">
        <v>442.0</v>
      </c>
      <c r="G90" s="218">
        <v>0.0476</v>
      </c>
      <c r="H90" s="109">
        <v>1.0</v>
      </c>
      <c r="I90" s="216">
        <v>150000.0</v>
      </c>
      <c r="J90" s="109">
        <v>0.0</v>
      </c>
      <c r="K90" s="109">
        <v>0.0</v>
      </c>
      <c r="L90" s="109">
        <v>7.0</v>
      </c>
      <c r="M90" s="109">
        <v>6.0</v>
      </c>
      <c r="N90" s="109">
        <v>1.0</v>
      </c>
      <c r="O90" s="109">
        <v>11.0</v>
      </c>
      <c r="P90" s="218">
        <v>0.0</v>
      </c>
      <c r="Q90" s="193">
        <f t="shared" si="8"/>
        <v>10</v>
      </c>
      <c r="R90" s="216">
        <v>3231072.0</v>
      </c>
      <c r="S90" s="109">
        <v>7.0</v>
      </c>
      <c r="T90" s="214"/>
      <c r="U90" s="214"/>
      <c r="V90" s="214"/>
      <c r="W90" s="214"/>
      <c r="X90" s="214"/>
      <c r="Y90" s="214"/>
      <c r="Z90" s="214"/>
    </row>
    <row r="91" ht="15.75" hidden="1" customHeight="1">
      <c r="A91" s="219">
        <v>45945.0</v>
      </c>
      <c r="B91" s="216">
        <f t="shared" si="6"/>
        <v>3443330</v>
      </c>
      <c r="C91" s="109">
        <f t="shared" si="7"/>
        <v>7</v>
      </c>
      <c r="D91" s="217">
        <v>409981.09</v>
      </c>
      <c r="E91" s="109">
        <v>157.0</v>
      </c>
      <c r="F91" s="109">
        <v>292.0</v>
      </c>
      <c r="G91" s="218">
        <v>0.0701</v>
      </c>
      <c r="H91" s="109">
        <v>4.0</v>
      </c>
      <c r="I91" s="216">
        <v>1066462.0</v>
      </c>
      <c r="J91" s="109">
        <v>0.0</v>
      </c>
      <c r="K91" s="109">
        <v>0.0</v>
      </c>
      <c r="L91" s="109">
        <v>11.0</v>
      </c>
      <c r="M91" s="109">
        <v>5.0</v>
      </c>
      <c r="N91" s="109">
        <v>6.0</v>
      </c>
      <c r="O91" s="109">
        <v>24.0</v>
      </c>
      <c r="P91" s="218">
        <v>0.0</v>
      </c>
      <c r="Q91" s="193">
        <f t="shared" si="8"/>
        <v>10</v>
      </c>
      <c r="R91" s="216">
        <v>4509792.0</v>
      </c>
      <c r="S91" s="109">
        <v>11.0</v>
      </c>
      <c r="T91" s="214"/>
      <c r="U91" s="214"/>
      <c r="V91" s="214"/>
      <c r="W91" s="214"/>
      <c r="X91" s="214"/>
      <c r="Y91" s="214"/>
      <c r="Z91" s="214"/>
    </row>
    <row r="92" ht="15.75" hidden="1" customHeight="1">
      <c r="A92" s="219">
        <v>45946.0</v>
      </c>
      <c r="B92" s="216">
        <f t="shared" si="6"/>
        <v>2806700</v>
      </c>
      <c r="C92" s="109">
        <f t="shared" si="7"/>
        <v>4</v>
      </c>
      <c r="D92" s="217">
        <v>562540.0</v>
      </c>
      <c r="E92" s="109">
        <v>109.0</v>
      </c>
      <c r="F92" s="109">
        <v>254.0</v>
      </c>
      <c r="G92" s="218">
        <v>0.0459</v>
      </c>
      <c r="H92" s="109">
        <v>1.0</v>
      </c>
      <c r="I92" s="216">
        <v>6000.0</v>
      </c>
      <c r="J92" s="109">
        <v>0.0</v>
      </c>
      <c r="K92" s="109">
        <v>0.0</v>
      </c>
      <c r="L92" s="109">
        <v>5.0</v>
      </c>
      <c r="M92" s="109">
        <v>3.0</v>
      </c>
      <c r="N92" s="109">
        <v>2.0</v>
      </c>
      <c r="O92" s="109">
        <v>14.0</v>
      </c>
      <c r="P92" s="218">
        <v>0.0</v>
      </c>
      <c r="Q92" s="193">
        <f t="shared" si="8"/>
        <v>10</v>
      </c>
      <c r="R92" s="216">
        <v>2812700.0</v>
      </c>
      <c r="S92" s="109">
        <v>5.0</v>
      </c>
      <c r="T92" s="214"/>
      <c r="U92" s="214"/>
      <c r="V92" s="214"/>
      <c r="W92" s="214"/>
      <c r="X92" s="214"/>
      <c r="Y92" s="214"/>
      <c r="Z92" s="214"/>
    </row>
    <row r="93" ht="15.75" hidden="1" customHeight="1">
      <c r="A93" s="219">
        <v>45947.0</v>
      </c>
      <c r="B93" s="216">
        <f t="shared" si="6"/>
        <v>0</v>
      </c>
      <c r="C93" s="109">
        <f t="shared" si="7"/>
        <v>0</v>
      </c>
      <c r="D93" s="109">
        <v>0.0</v>
      </c>
      <c r="E93" s="109">
        <v>59.0</v>
      </c>
      <c r="F93" s="109">
        <v>255.0</v>
      </c>
      <c r="G93" s="218">
        <v>0.0</v>
      </c>
      <c r="H93" s="109">
        <v>0.0</v>
      </c>
      <c r="I93" s="109">
        <v>0.0</v>
      </c>
      <c r="J93" s="109">
        <v>0.0</v>
      </c>
      <c r="K93" s="109">
        <v>0.0</v>
      </c>
      <c r="L93" s="109">
        <v>0.0</v>
      </c>
      <c r="M93" s="109">
        <v>0.0</v>
      </c>
      <c r="N93" s="109">
        <v>0.0</v>
      </c>
      <c r="O93" s="109">
        <v>7.0</v>
      </c>
      <c r="P93" s="218">
        <v>0.0</v>
      </c>
      <c r="Q93" s="193">
        <f t="shared" si="8"/>
        <v>10</v>
      </c>
      <c r="R93" s="109">
        <v>0.0</v>
      </c>
      <c r="S93" s="109">
        <v>0.0</v>
      </c>
      <c r="T93" s="214"/>
      <c r="U93" s="214"/>
      <c r="V93" s="214"/>
      <c r="W93" s="214"/>
      <c r="X93" s="214"/>
      <c r="Y93" s="214"/>
      <c r="Z93" s="214"/>
    </row>
    <row r="94" ht="15.75" hidden="1" customHeight="1">
      <c r="A94" s="219">
        <v>45948.0</v>
      </c>
      <c r="B94" s="216">
        <f t="shared" si="6"/>
        <v>1361698</v>
      </c>
      <c r="C94" s="109">
        <f t="shared" si="7"/>
        <v>2</v>
      </c>
      <c r="D94" s="217">
        <v>680849.0</v>
      </c>
      <c r="E94" s="109">
        <v>129.0</v>
      </c>
      <c r="F94" s="109">
        <v>13178.0</v>
      </c>
      <c r="G94" s="218">
        <v>0.0155</v>
      </c>
      <c r="H94" s="109">
        <v>0.0</v>
      </c>
      <c r="I94" s="109">
        <v>0.0</v>
      </c>
      <c r="J94" s="109">
        <v>0.0</v>
      </c>
      <c r="K94" s="109">
        <v>0.0</v>
      </c>
      <c r="L94" s="109">
        <v>2.0</v>
      </c>
      <c r="M94" s="109">
        <v>0.0</v>
      </c>
      <c r="N94" s="109">
        <v>2.0</v>
      </c>
      <c r="O94" s="109">
        <v>6.0</v>
      </c>
      <c r="P94" s="218">
        <v>0.0</v>
      </c>
      <c r="Q94" s="193">
        <f t="shared" si="8"/>
        <v>10</v>
      </c>
      <c r="R94" s="216">
        <v>1361698.0</v>
      </c>
      <c r="S94" s="109">
        <v>2.0</v>
      </c>
      <c r="T94" s="214"/>
      <c r="U94" s="214"/>
      <c r="V94" s="214"/>
      <c r="W94" s="214"/>
      <c r="X94" s="214"/>
      <c r="Y94" s="214"/>
      <c r="Z94" s="214"/>
    </row>
    <row r="95" ht="15.75" hidden="1" customHeight="1">
      <c r="A95" s="219">
        <v>45949.0</v>
      </c>
      <c r="B95" s="216">
        <f t="shared" si="6"/>
        <v>683256</v>
      </c>
      <c r="C95" s="109">
        <f t="shared" si="7"/>
        <v>1</v>
      </c>
      <c r="D95" s="217">
        <v>799639.0</v>
      </c>
      <c r="E95" s="109">
        <v>49.0</v>
      </c>
      <c r="F95" s="109">
        <v>190.0</v>
      </c>
      <c r="G95" s="218">
        <v>0.0816</v>
      </c>
      <c r="H95" s="109">
        <v>3.0</v>
      </c>
      <c r="I95" s="216">
        <v>2515300.0</v>
      </c>
      <c r="J95" s="109">
        <v>0.0</v>
      </c>
      <c r="K95" s="109">
        <v>0.0</v>
      </c>
      <c r="L95" s="109">
        <v>4.0</v>
      </c>
      <c r="M95" s="109">
        <v>1.0</v>
      </c>
      <c r="N95" s="109">
        <v>3.0</v>
      </c>
      <c r="O95" s="109">
        <v>1.0</v>
      </c>
      <c r="P95" s="218">
        <v>0.0</v>
      </c>
      <c r="Q95" s="193">
        <f t="shared" si="8"/>
        <v>10</v>
      </c>
      <c r="R95" s="216">
        <v>3198556.0</v>
      </c>
      <c r="S95" s="109">
        <v>4.0</v>
      </c>
      <c r="T95" s="214"/>
      <c r="U95" s="214"/>
      <c r="V95" s="214"/>
      <c r="W95" s="214"/>
      <c r="X95" s="214"/>
      <c r="Y95" s="214"/>
      <c r="Z95" s="214"/>
    </row>
    <row r="96" ht="15.75" hidden="1" customHeight="1">
      <c r="A96" s="219">
        <v>45950.0</v>
      </c>
      <c r="B96" s="216">
        <f t="shared" si="6"/>
        <v>2969842</v>
      </c>
      <c r="C96" s="109">
        <f t="shared" si="7"/>
        <v>2</v>
      </c>
      <c r="D96" s="217">
        <v>1764847.33</v>
      </c>
      <c r="E96" s="109">
        <v>76.0</v>
      </c>
      <c r="F96" s="109">
        <v>177.0</v>
      </c>
      <c r="G96" s="218">
        <v>0.0395</v>
      </c>
      <c r="H96" s="109">
        <v>1.0</v>
      </c>
      <c r="I96" s="216">
        <v>2324700.0</v>
      </c>
      <c r="J96" s="109">
        <v>0.0</v>
      </c>
      <c r="K96" s="109">
        <v>0.0</v>
      </c>
      <c r="L96" s="109">
        <v>2.0</v>
      </c>
      <c r="M96" s="109">
        <v>0.0</v>
      </c>
      <c r="N96" s="109">
        <v>2.0</v>
      </c>
      <c r="O96" s="109">
        <v>6.0</v>
      </c>
      <c r="P96" s="218">
        <v>0.5</v>
      </c>
      <c r="Q96" s="193">
        <f t="shared" si="8"/>
        <v>10</v>
      </c>
      <c r="R96" s="216">
        <v>5294542.0</v>
      </c>
      <c r="S96" s="109">
        <v>3.0</v>
      </c>
      <c r="T96" s="214"/>
      <c r="U96" s="214"/>
      <c r="V96" s="214"/>
      <c r="W96" s="214"/>
      <c r="X96" s="214"/>
      <c r="Y96" s="214"/>
      <c r="Z96" s="214"/>
    </row>
    <row r="97" ht="15.75" hidden="1" customHeight="1">
      <c r="A97" s="219">
        <v>45951.0</v>
      </c>
      <c r="B97" s="216">
        <f t="shared" si="6"/>
        <v>1174167</v>
      </c>
      <c r="C97" s="109">
        <f t="shared" si="7"/>
        <v>3</v>
      </c>
      <c r="D97" s="217">
        <v>423791.75</v>
      </c>
      <c r="E97" s="109">
        <v>84.0</v>
      </c>
      <c r="F97" s="109">
        <v>192.0</v>
      </c>
      <c r="G97" s="218">
        <v>0.0476</v>
      </c>
      <c r="H97" s="109">
        <v>1.0</v>
      </c>
      <c r="I97" s="216">
        <v>521000.0</v>
      </c>
      <c r="J97" s="109">
        <v>0.0</v>
      </c>
      <c r="K97" s="109">
        <v>0.0</v>
      </c>
      <c r="L97" s="109">
        <v>4.0</v>
      </c>
      <c r="M97" s="109">
        <v>3.0</v>
      </c>
      <c r="N97" s="109">
        <v>1.0</v>
      </c>
      <c r="O97" s="109">
        <v>7.0</v>
      </c>
      <c r="P97" s="218">
        <v>0.0</v>
      </c>
      <c r="Q97" s="193">
        <f t="shared" si="8"/>
        <v>10</v>
      </c>
      <c r="R97" s="216">
        <v>1695167.0</v>
      </c>
      <c r="S97" s="109">
        <v>4.0</v>
      </c>
      <c r="T97" s="214"/>
      <c r="U97" s="214"/>
      <c r="V97" s="214"/>
      <c r="W97" s="214"/>
      <c r="X97" s="214"/>
      <c r="Y97" s="214"/>
      <c r="Z97" s="214"/>
    </row>
    <row r="98" ht="15.75" hidden="1" customHeight="1">
      <c r="A98" s="219">
        <v>45952.0</v>
      </c>
      <c r="B98" s="216">
        <f t="shared" si="6"/>
        <v>1473840</v>
      </c>
      <c r="C98" s="109">
        <f t="shared" si="7"/>
        <v>3</v>
      </c>
      <c r="D98" s="217">
        <v>584156.25</v>
      </c>
      <c r="E98" s="109">
        <v>89.0</v>
      </c>
      <c r="F98" s="109">
        <v>156.0</v>
      </c>
      <c r="G98" s="218">
        <v>0.0449</v>
      </c>
      <c r="H98" s="109">
        <v>1.0</v>
      </c>
      <c r="I98" s="216">
        <v>862785.0</v>
      </c>
      <c r="J98" s="109">
        <v>0.0</v>
      </c>
      <c r="K98" s="109">
        <v>0.0</v>
      </c>
      <c r="L98" s="109">
        <v>4.0</v>
      </c>
      <c r="M98" s="109">
        <v>3.0</v>
      </c>
      <c r="N98" s="109">
        <v>1.0</v>
      </c>
      <c r="O98" s="109">
        <v>7.0</v>
      </c>
      <c r="P98" s="218">
        <v>0.0</v>
      </c>
      <c r="Q98" s="193">
        <f t="shared" si="8"/>
        <v>10</v>
      </c>
      <c r="R98" s="216">
        <v>2336625.0</v>
      </c>
      <c r="S98" s="109">
        <v>4.0</v>
      </c>
      <c r="T98" s="214"/>
      <c r="U98" s="214"/>
      <c r="V98" s="214"/>
      <c r="W98" s="214"/>
      <c r="X98" s="214"/>
      <c r="Y98" s="214"/>
      <c r="Z98" s="214"/>
    </row>
    <row r="99" ht="15.75" hidden="1" customHeight="1">
      <c r="A99" s="219">
        <v>45953.0</v>
      </c>
      <c r="B99" s="216">
        <f t="shared" si="6"/>
        <v>2909995</v>
      </c>
      <c r="C99" s="109">
        <f t="shared" si="7"/>
        <v>3</v>
      </c>
      <c r="D99" s="217">
        <v>969998.33</v>
      </c>
      <c r="E99" s="109">
        <v>110.0</v>
      </c>
      <c r="F99" s="109">
        <v>513.0</v>
      </c>
      <c r="G99" s="218">
        <v>0.0273</v>
      </c>
      <c r="H99" s="109">
        <v>0.0</v>
      </c>
      <c r="I99" s="109">
        <v>0.0</v>
      </c>
      <c r="J99" s="109">
        <v>0.0</v>
      </c>
      <c r="K99" s="109">
        <v>0.0</v>
      </c>
      <c r="L99" s="109">
        <v>3.0</v>
      </c>
      <c r="M99" s="109">
        <v>1.0</v>
      </c>
      <c r="N99" s="109">
        <v>2.0</v>
      </c>
      <c r="O99" s="109">
        <v>8.0</v>
      </c>
      <c r="P99" s="218">
        <v>0.0</v>
      </c>
      <c r="Q99" s="193">
        <f t="shared" si="8"/>
        <v>10</v>
      </c>
      <c r="R99" s="216">
        <v>2909995.0</v>
      </c>
      <c r="S99" s="109">
        <v>3.0</v>
      </c>
      <c r="T99" s="214"/>
      <c r="U99" s="214"/>
      <c r="V99" s="214"/>
      <c r="W99" s="214"/>
      <c r="X99" s="214"/>
      <c r="Y99" s="214"/>
      <c r="Z99" s="214"/>
    </row>
    <row r="100" ht="15.75" hidden="1" customHeight="1">
      <c r="A100" s="219">
        <v>45954.0</v>
      </c>
      <c r="B100" s="216">
        <f t="shared" si="6"/>
        <v>1095618</v>
      </c>
      <c r="C100" s="109">
        <f t="shared" si="7"/>
        <v>2</v>
      </c>
      <c r="D100" s="217">
        <v>547809.0</v>
      </c>
      <c r="E100" s="109">
        <v>90.0</v>
      </c>
      <c r="F100" s="109">
        <v>178.0</v>
      </c>
      <c r="G100" s="218">
        <v>0.0222</v>
      </c>
      <c r="H100" s="109">
        <v>0.0</v>
      </c>
      <c r="I100" s="109">
        <v>0.0</v>
      </c>
      <c r="J100" s="109">
        <v>0.0</v>
      </c>
      <c r="K100" s="109">
        <v>0.0</v>
      </c>
      <c r="L100" s="109">
        <v>2.0</v>
      </c>
      <c r="M100" s="109">
        <v>1.0</v>
      </c>
      <c r="N100" s="109">
        <v>1.0</v>
      </c>
      <c r="O100" s="109">
        <v>5.0</v>
      </c>
      <c r="P100" s="218">
        <v>0.0</v>
      </c>
      <c r="Q100" s="193">
        <f t="shared" si="8"/>
        <v>10</v>
      </c>
      <c r="R100" s="216">
        <v>1095618.0</v>
      </c>
      <c r="S100" s="109">
        <v>2.0</v>
      </c>
      <c r="T100" s="214"/>
      <c r="U100" s="214"/>
      <c r="V100" s="214"/>
      <c r="W100" s="214"/>
      <c r="X100" s="214"/>
      <c r="Y100" s="214"/>
      <c r="Z100" s="214"/>
    </row>
    <row r="101" ht="15.75" hidden="1" customHeight="1">
      <c r="A101" s="219">
        <v>45955.0</v>
      </c>
      <c r="B101" s="216">
        <f t="shared" si="6"/>
        <v>2085632</v>
      </c>
      <c r="C101" s="109">
        <f t="shared" si="7"/>
        <v>4</v>
      </c>
      <c r="D101" s="217">
        <v>601159.5</v>
      </c>
      <c r="E101" s="109">
        <v>128.0</v>
      </c>
      <c r="F101" s="109">
        <v>228.0</v>
      </c>
      <c r="G101" s="218">
        <v>0.0625</v>
      </c>
      <c r="H101" s="109">
        <v>4.0</v>
      </c>
      <c r="I101" s="216">
        <v>2723644.0</v>
      </c>
      <c r="J101" s="109">
        <v>0.0</v>
      </c>
      <c r="K101" s="109">
        <v>0.0</v>
      </c>
      <c r="L101" s="109">
        <v>7.0</v>
      </c>
      <c r="M101" s="109">
        <v>5.0</v>
      </c>
      <c r="N101" s="109">
        <v>2.0</v>
      </c>
      <c r="O101" s="109">
        <v>6.0</v>
      </c>
      <c r="P101" s="218">
        <v>0.1429</v>
      </c>
      <c r="Q101" s="193">
        <f t="shared" si="8"/>
        <v>10</v>
      </c>
      <c r="R101" s="216">
        <v>4809276.0</v>
      </c>
      <c r="S101" s="109">
        <v>8.0</v>
      </c>
      <c r="T101" s="214"/>
      <c r="U101" s="214"/>
      <c r="V101" s="214"/>
      <c r="W101" s="214"/>
      <c r="X101" s="214"/>
      <c r="Y101" s="214"/>
      <c r="Z101" s="214"/>
    </row>
    <row r="102" ht="15.75" hidden="1" customHeight="1">
      <c r="A102" s="219">
        <v>45956.0</v>
      </c>
      <c r="B102" s="216">
        <f t="shared" si="6"/>
        <v>2823420</v>
      </c>
      <c r="C102" s="109">
        <f t="shared" si="7"/>
        <v>4</v>
      </c>
      <c r="D102" s="217">
        <v>900316.0</v>
      </c>
      <c r="E102" s="109">
        <v>130.0</v>
      </c>
      <c r="F102" s="109">
        <v>258.0</v>
      </c>
      <c r="G102" s="218">
        <v>0.0385</v>
      </c>
      <c r="H102" s="109">
        <v>1.0</v>
      </c>
      <c r="I102" s="216">
        <v>1678160.0</v>
      </c>
      <c r="J102" s="109">
        <v>0.0</v>
      </c>
      <c r="K102" s="109">
        <v>0.0</v>
      </c>
      <c r="L102" s="109">
        <v>4.0</v>
      </c>
      <c r="M102" s="109">
        <v>3.0</v>
      </c>
      <c r="N102" s="109">
        <v>1.0</v>
      </c>
      <c r="O102" s="109">
        <v>8.0</v>
      </c>
      <c r="P102" s="218">
        <v>0.25</v>
      </c>
      <c r="Q102" s="193">
        <f t="shared" si="8"/>
        <v>10</v>
      </c>
      <c r="R102" s="216">
        <v>4501580.0</v>
      </c>
      <c r="S102" s="109">
        <v>5.0</v>
      </c>
      <c r="T102" s="214"/>
      <c r="U102" s="214"/>
      <c r="V102" s="214"/>
      <c r="W102" s="214"/>
      <c r="X102" s="214"/>
      <c r="Y102" s="214"/>
      <c r="Z102" s="214"/>
    </row>
    <row r="103" ht="15.75" hidden="1" customHeight="1">
      <c r="A103" s="219">
        <v>45957.0</v>
      </c>
      <c r="B103" s="216">
        <f t="shared" si="6"/>
        <v>308718</v>
      </c>
      <c r="C103" s="109">
        <f t="shared" si="7"/>
        <v>1</v>
      </c>
      <c r="D103" s="217">
        <v>308718.0</v>
      </c>
      <c r="E103" s="109">
        <v>94.0</v>
      </c>
      <c r="F103" s="109">
        <v>198.0</v>
      </c>
      <c r="G103" s="218">
        <v>0.0106</v>
      </c>
      <c r="H103" s="109">
        <v>0.0</v>
      </c>
      <c r="I103" s="109">
        <v>0.0</v>
      </c>
      <c r="J103" s="109">
        <v>0.0</v>
      </c>
      <c r="K103" s="109">
        <v>0.0</v>
      </c>
      <c r="L103" s="109">
        <v>1.0</v>
      </c>
      <c r="M103" s="109">
        <v>1.0</v>
      </c>
      <c r="N103" s="109">
        <v>0.0</v>
      </c>
      <c r="O103" s="109">
        <v>7.0</v>
      </c>
      <c r="P103" s="218">
        <v>0.0</v>
      </c>
      <c r="Q103" s="193">
        <f t="shared" si="8"/>
        <v>10</v>
      </c>
      <c r="R103" s="216">
        <v>308718.0</v>
      </c>
      <c r="S103" s="109">
        <v>1.0</v>
      </c>
      <c r="T103" s="214"/>
      <c r="U103" s="214"/>
      <c r="V103" s="214"/>
      <c r="W103" s="214"/>
      <c r="X103" s="214"/>
      <c r="Y103" s="214"/>
      <c r="Z103" s="214"/>
    </row>
    <row r="104" ht="15.75" hidden="1" customHeight="1">
      <c r="A104" s="219">
        <v>45958.0</v>
      </c>
      <c r="B104" s="216">
        <f t="shared" si="6"/>
        <v>770400</v>
      </c>
      <c r="C104" s="109">
        <f t="shared" si="7"/>
        <v>1</v>
      </c>
      <c r="D104" s="217">
        <v>394450.0</v>
      </c>
      <c r="E104" s="109">
        <v>91.0</v>
      </c>
      <c r="F104" s="109">
        <v>187.0</v>
      </c>
      <c r="G104" s="218">
        <v>0.022</v>
      </c>
      <c r="H104" s="109">
        <v>1.0</v>
      </c>
      <c r="I104" s="216">
        <v>18500.0</v>
      </c>
      <c r="J104" s="109">
        <v>0.0</v>
      </c>
      <c r="K104" s="109">
        <v>0.0</v>
      </c>
      <c r="L104" s="109">
        <v>2.0</v>
      </c>
      <c r="M104" s="109">
        <v>2.0</v>
      </c>
      <c r="N104" s="109">
        <v>0.0</v>
      </c>
      <c r="O104" s="109">
        <v>7.0</v>
      </c>
      <c r="P104" s="218">
        <v>0.0</v>
      </c>
      <c r="Q104" s="193">
        <f t="shared" si="8"/>
        <v>10</v>
      </c>
      <c r="R104" s="216">
        <v>788900.0</v>
      </c>
      <c r="S104" s="109">
        <v>2.0</v>
      </c>
      <c r="T104" s="214"/>
      <c r="U104" s="214"/>
      <c r="V104" s="214"/>
      <c r="W104" s="214"/>
      <c r="X104" s="214"/>
      <c r="Y104" s="214"/>
      <c r="Z104" s="214"/>
    </row>
    <row r="105" ht="15.75" hidden="1" customHeight="1">
      <c r="A105" s="219">
        <v>45959.0</v>
      </c>
      <c r="B105" s="216">
        <f t="shared" si="6"/>
        <v>2504660</v>
      </c>
      <c r="C105" s="109">
        <f t="shared" si="7"/>
        <v>4</v>
      </c>
      <c r="D105" s="217">
        <v>689932.0</v>
      </c>
      <c r="E105" s="109">
        <v>126.0</v>
      </c>
      <c r="F105" s="109">
        <v>397.0</v>
      </c>
      <c r="G105" s="218">
        <v>0.0397</v>
      </c>
      <c r="H105" s="109">
        <v>1.0</v>
      </c>
      <c r="I105" s="216">
        <v>945000.0</v>
      </c>
      <c r="J105" s="109">
        <v>0.0</v>
      </c>
      <c r="K105" s="109">
        <v>0.0</v>
      </c>
      <c r="L105" s="109">
        <v>4.0</v>
      </c>
      <c r="M105" s="109">
        <v>3.0</v>
      </c>
      <c r="N105" s="109">
        <v>1.0</v>
      </c>
      <c r="O105" s="109">
        <v>14.0</v>
      </c>
      <c r="P105" s="218">
        <v>0.25</v>
      </c>
      <c r="Q105" s="193">
        <f t="shared" si="8"/>
        <v>10</v>
      </c>
      <c r="R105" s="216">
        <v>3449660.0</v>
      </c>
      <c r="S105" s="109">
        <v>5.0</v>
      </c>
      <c r="T105" s="214"/>
      <c r="U105" s="214"/>
      <c r="V105" s="214"/>
      <c r="W105" s="214"/>
      <c r="X105" s="214"/>
      <c r="Y105" s="214"/>
      <c r="Z105" s="214"/>
    </row>
    <row r="106" ht="15.75" hidden="1" customHeight="1">
      <c r="A106" s="219">
        <v>45960.0</v>
      </c>
      <c r="B106" s="216">
        <f t="shared" si="6"/>
        <v>2485700</v>
      </c>
      <c r="C106" s="109">
        <f t="shared" si="7"/>
        <v>3</v>
      </c>
      <c r="D106" s="217">
        <v>947230.0</v>
      </c>
      <c r="E106" s="109">
        <v>135.0</v>
      </c>
      <c r="F106" s="109">
        <v>232.0</v>
      </c>
      <c r="G106" s="218">
        <v>0.037</v>
      </c>
      <c r="H106" s="109">
        <v>2.0</v>
      </c>
      <c r="I106" s="216">
        <v>2250450.0</v>
      </c>
      <c r="J106" s="109">
        <v>0.0</v>
      </c>
      <c r="K106" s="109">
        <v>0.0</v>
      </c>
      <c r="L106" s="109">
        <v>4.0</v>
      </c>
      <c r="M106" s="109">
        <v>2.0</v>
      </c>
      <c r="N106" s="109">
        <v>2.0</v>
      </c>
      <c r="O106" s="109">
        <v>11.0</v>
      </c>
      <c r="P106" s="218">
        <v>0.25</v>
      </c>
      <c r="Q106" s="193">
        <f t="shared" si="8"/>
        <v>10</v>
      </c>
      <c r="R106" s="216">
        <v>4736150.0</v>
      </c>
      <c r="S106" s="109">
        <v>5.0</v>
      </c>
      <c r="T106" s="214"/>
      <c r="U106" s="214"/>
      <c r="V106" s="214"/>
      <c r="W106" s="214"/>
      <c r="X106" s="214"/>
      <c r="Y106" s="214"/>
      <c r="Z106" s="214"/>
    </row>
    <row r="107" ht="15.75" hidden="1" customHeight="1">
      <c r="A107" s="219">
        <v>45961.0</v>
      </c>
      <c r="B107" s="216">
        <f t="shared" si="6"/>
        <v>1493852</v>
      </c>
      <c r="C107" s="109">
        <f t="shared" si="7"/>
        <v>2</v>
      </c>
      <c r="D107" s="217">
        <v>799884.0</v>
      </c>
      <c r="E107" s="109">
        <v>101.0</v>
      </c>
      <c r="F107" s="109">
        <v>138.0</v>
      </c>
      <c r="G107" s="218">
        <v>0.0297</v>
      </c>
      <c r="H107" s="109">
        <v>1.0</v>
      </c>
      <c r="I107" s="216">
        <v>905800.0</v>
      </c>
      <c r="J107" s="109">
        <v>0.0</v>
      </c>
      <c r="K107" s="109">
        <v>0.0</v>
      </c>
      <c r="L107" s="109">
        <v>2.0</v>
      </c>
      <c r="M107" s="109">
        <v>0.0</v>
      </c>
      <c r="N107" s="109">
        <v>2.0</v>
      </c>
      <c r="O107" s="109">
        <v>9.0</v>
      </c>
      <c r="P107" s="218">
        <v>0.5</v>
      </c>
      <c r="Q107" s="193">
        <f t="shared" si="8"/>
        <v>10</v>
      </c>
      <c r="R107" s="216">
        <v>2399652.0</v>
      </c>
      <c r="S107" s="109">
        <v>3.0</v>
      </c>
      <c r="T107" s="214"/>
      <c r="U107" s="214"/>
      <c r="V107" s="214"/>
      <c r="W107" s="214"/>
      <c r="X107" s="214"/>
      <c r="Y107" s="214"/>
      <c r="Z107" s="214"/>
    </row>
    <row r="108" ht="15.75" hidden="1" customHeight="1">
      <c r="A108" s="214"/>
      <c r="B108" s="214"/>
      <c r="C108" s="214"/>
      <c r="D108" s="214"/>
      <c r="E108" s="214"/>
      <c r="F108" s="214"/>
      <c r="G108" s="214"/>
      <c r="H108" s="214"/>
      <c r="I108" s="214"/>
      <c r="J108" s="214"/>
      <c r="K108" s="214"/>
      <c r="L108" s="214"/>
      <c r="M108" s="214"/>
      <c r="N108" s="214"/>
      <c r="O108" s="214"/>
      <c r="P108" s="214"/>
      <c r="Q108" s="156"/>
      <c r="R108" s="214"/>
      <c r="S108" s="214"/>
      <c r="T108" s="214"/>
      <c r="U108" s="214"/>
      <c r="V108" s="214"/>
      <c r="W108" s="214"/>
      <c r="X108" s="214"/>
      <c r="Y108" s="214"/>
      <c r="Z108" s="214"/>
    </row>
    <row r="109" ht="15.75" customHeight="1">
      <c r="A109" s="214"/>
      <c r="B109" s="214"/>
      <c r="C109" s="214"/>
      <c r="D109" s="214"/>
      <c r="E109" s="214"/>
      <c r="F109" s="214"/>
      <c r="G109" s="214"/>
      <c r="H109" s="214"/>
      <c r="I109" s="214"/>
      <c r="J109" s="214"/>
      <c r="K109" s="214"/>
      <c r="L109" s="214"/>
      <c r="M109" s="214"/>
      <c r="N109" s="214"/>
      <c r="O109" s="214"/>
      <c r="P109" s="214"/>
      <c r="Q109" s="156"/>
      <c r="R109" s="214"/>
      <c r="S109" s="214"/>
      <c r="T109" s="214"/>
      <c r="U109" s="214"/>
      <c r="V109" s="214"/>
      <c r="W109" s="214"/>
      <c r="X109" s="214"/>
      <c r="Y109" s="214"/>
      <c r="Z109" s="214"/>
    </row>
    <row r="110" ht="15.75" customHeight="1">
      <c r="A110" s="191" t="s">
        <v>33</v>
      </c>
      <c r="B110" s="192" t="s">
        <v>669</v>
      </c>
      <c r="C110" s="192" t="s">
        <v>670</v>
      </c>
      <c r="D110" s="192" t="s">
        <v>671</v>
      </c>
      <c r="E110" s="192" t="s">
        <v>672</v>
      </c>
      <c r="F110" s="192" t="s">
        <v>673</v>
      </c>
      <c r="G110" s="192" t="s">
        <v>674</v>
      </c>
      <c r="H110" s="192" t="s">
        <v>37</v>
      </c>
      <c r="I110" s="192" t="s">
        <v>38</v>
      </c>
      <c r="J110" s="192" t="s">
        <v>39</v>
      </c>
      <c r="K110" s="192" t="s">
        <v>675</v>
      </c>
      <c r="L110" s="192" t="s">
        <v>676</v>
      </c>
      <c r="M110" s="192" t="s">
        <v>677</v>
      </c>
      <c r="N110" s="192" t="s">
        <v>678</v>
      </c>
      <c r="O110" s="192" t="s">
        <v>679</v>
      </c>
      <c r="P110" s="192" t="s">
        <v>680</v>
      </c>
      <c r="Q110" s="193"/>
      <c r="R110" s="214"/>
      <c r="S110" s="214"/>
      <c r="T110" s="214"/>
      <c r="U110" s="214"/>
      <c r="V110" s="214"/>
      <c r="W110" s="214"/>
      <c r="X110" s="214"/>
      <c r="Y110" s="214"/>
      <c r="Z110" s="214"/>
    </row>
    <row r="111" ht="15.75" customHeight="1">
      <c r="A111" s="194"/>
      <c r="B111" s="195">
        <f t="shared" ref="B111:P111" si="9">SUM(B114:B147)</f>
        <v>121786335</v>
      </c>
      <c r="C111" s="195">
        <f t="shared" si="9"/>
        <v>181</v>
      </c>
      <c r="D111" s="195">
        <f t="shared" si="9"/>
        <v>36397756.41</v>
      </c>
      <c r="E111" s="195">
        <f t="shared" si="9"/>
        <v>8397</v>
      </c>
      <c r="F111" s="195">
        <f t="shared" si="9"/>
        <v>63484</v>
      </c>
      <c r="G111" s="198">
        <f t="shared" si="9"/>
        <v>1.5492</v>
      </c>
      <c r="H111" s="195">
        <f t="shared" si="9"/>
        <v>31</v>
      </c>
      <c r="I111" s="195">
        <f t="shared" si="9"/>
        <v>26727913</v>
      </c>
      <c r="J111" s="195">
        <f t="shared" si="9"/>
        <v>0</v>
      </c>
      <c r="K111" s="195">
        <f t="shared" si="9"/>
        <v>0</v>
      </c>
      <c r="L111" s="195">
        <f t="shared" si="9"/>
        <v>196</v>
      </c>
      <c r="M111" s="195">
        <f t="shared" si="9"/>
        <v>103</v>
      </c>
      <c r="N111" s="195">
        <f t="shared" si="9"/>
        <v>93</v>
      </c>
      <c r="O111" s="195">
        <f t="shared" si="9"/>
        <v>595</v>
      </c>
      <c r="P111" s="198">
        <f t="shared" si="9"/>
        <v>3.3145</v>
      </c>
      <c r="Q111" s="193"/>
      <c r="R111" s="214"/>
      <c r="S111" s="214"/>
      <c r="T111" s="214"/>
      <c r="U111" s="214"/>
      <c r="V111" s="214"/>
      <c r="W111" s="214"/>
      <c r="X111" s="214"/>
      <c r="Y111" s="214"/>
      <c r="Z111" s="214"/>
    </row>
    <row r="112" ht="15.75" customHeight="1">
      <c r="A112" s="214"/>
      <c r="B112" s="214"/>
      <c r="C112" s="214"/>
      <c r="D112" s="214"/>
      <c r="E112" s="214"/>
      <c r="F112" s="214"/>
      <c r="G112" s="214"/>
      <c r="H112" s="214"/>
      <c r="I112" s="214"/>
      <c r="J112" s="214"/>
      <c r="K112" s="214"/>
      <c r="L112" s="214"/>
      <c r="M112" s="214"/>
      <c r="N112" s="214"/>
      <c r="O112" s="214"/>
      <c r="P112" s="214"/>
      <c r="Q112" s="156"/>
      <c r="R112" s="214"/>
      <c r="S112" s="214"/>
      <c r="T112" s="214"/>
      <c r="U112" s="214"/>
      <c r="V112" s="214"/>
      <c r="W112" s="214"/>
      <c r="X112" s="214"/>
      <c r="Y112" s="214"/>
      <c r="Z112" s="214"/>
    </row>
    <row r="113" ht="15.75" customHeight="1">
      <c r="A113" s="109" t="s">
        <v>33</v>
      </c>
      <c r="B113" s="220" t="s">
        <v>669</v>
      </c>
      <c r="C113" s="220" t="s">
        <v>670</v>
      </c>
      <c r="D113" s="109" t="s">
        <v>671</v>
      </c>
      <c r="E113" s="109" t="s">
        <v>685</v>
      </c>
      <c r="F113" s="109" t="s">
        <v>673</v>
      </c>
      <c r="G113" s="109" t="s">
        <v>686</v>
      </c>
      <c r="H113" s="109" t="s">
        <v>37</v>
      </c>
      <c r="I113" s="109" t="s">
        <v>38</v>
      </c>
      <c r="J113" s="109" t="s">
        <v>39</v>
      </c>
      <c r="K113" s="109" t="s">
        <v>675</v>
      </c>
      <c r="L113" s="109" t="s">
        <v>676</v>
      </c>
      <c r="M113" s="109" t="s">
        <v>677</v>
      </c>
      <c r="N113" s="109" t="s">
        <v>678</v>
      </c>
      <c r="O113" s="109" t="s">
        <v>679</v>
      </c>
      <c r="P113" s="109" t="s">
        <v>680</v>
      </c>
      <c r="Q113" s="193" t="s">
        <v>681</v>
      </c>
      <c r="R113" s="214"/>
      <c r="S113" s="214"/>
      <c r="T113" s="214"/>
      <c r="U113" s="214"/>
      <c r="V113" s="214"/>
      <c r="W113" s="214"/>
      <c r="X113" s="214"/>
      <c r="Y113" s="214"/>
      <c r="Z113" s="214"/>
    </row>
    <row r="114" ht="15.75" customHeight="1">
      <c r="A114" s="215">
        <v>45962.0</v>
      </c>
      <c r="B114" s="221">
        <f t="shared" ref="B114:B143" si="10">R114-I114</f>
        <v>883680</v>
      </c>
      <c r="C114" s="220">
        <f t="shared" ref="C114:C143" si="11">S114-H114</f>
        <v>2</v>
      </c>
      <c r="D114" s="222">
        <v>1058637.5</v>
      </c>
      <c r="E114" s="223">
        <v>118.0</v>
      </c>
      <c r="F114" s="223">
        <v>73.0</v>
      </c>
      <c r="G114" s="224">
        <v>0.0339</v>
      </c>
      <c r="H114" s="223">
        <v>2.0</v>
      </c>
      <c r="I114" s="225">
        <v>3350870.0</v>
      </c>
      <c r="J114" s="223">
        <v>0.0</v>
      </c>
      <c r="K114" s="223">
        <v>0.0</v>
      </c>
      <c r="L114" s="223">
        <v>4.0</v>
      </c>
      <c r="M114" s="223">
        <v>3.0</v>
      </c>
      <c r="N114" s="223">
        <v>1.0</v>
      </c>
      <c r="O114" s="223">
        <v>13.0</v>
      </c>
      <c r="P114" s="224">
        <v>0.0</v>
      </c>
      <c r="Q114" s="193">
        <f t="shared" ref="Q114:Q143" si="12">MONTH(A114)</f>
        <v>11</v>
      </c>
      <c r="R114" s="225">
        <v>4234550.0</v>
      </c>
      <c r="S114" s="223">
        <v>4.0</v>
      </c>
      <c r="T114" s="214"/>
      <c r="U114" s="214"/>
      <c r="V114" s="214"/>
      <c r="W114" s="214"/>
      <c r="X114" s="214"/>
      <c r="Y114" s="214"/>
      <c r="Z114" s="214"/>
    </row>
    <row r="115" ht="15.75" customHeight="1">
      <c r="A115" s="215">
        <v>45963.0</v>
      </c>
      <c r="B115" s="221">
        <f t="shared" si="10"/>
        <v>727620</v>
      </c>
      <c r="C115" s="220">
        <f t="shared" si="11"/>
        <v>3</v>
      </c>
      <c r="D115" s="222">
        <v>242540.0</v>
      </c>
      <c r="E115" s="223">
        <v>77.0</v>
      </c>
      <c r="F115" s="223">
        <v>59.0</v>
      </c>
      <c r="G115" s="224">
        <v>0.039</v>
      </c>
      <c r="H115" s="223">
        <v>0.0</v>
      </c>
      <c r="I115" s="223">
        <v>0.0</v>
      </c>
      <c r="J115" s="223">
        <v>0.0</v>
      </c>
      <c r="K115" s="223">
        <v>0.0</v>
      </c>
      <c r="L115" s="223">
        <v>3.0</v>
      </c>
      <c r="M115" s="223">
        <v>2.0</v>
      </c>
      <c r="N115" s="223">
        <v>1.0</v>
      </c>
      <c r="O115" s="223">
        <v>7.0</v>
      </c>
      <c r="P115" s="224">
        <v>0.0</v>
      </c>
      <c r="Q115" s="193">
        <f t="shared" si="12"/>
        <v>11</v>
      </c>
      <c r="R115" s="225">
        <v>727620.0</v>
      </c>
      <c r="S115" s="223">
        <v>3.0</v>
      </c>
      <c r="T115" s="214"/>
      <c r="U115" s="214"/>
      <c r="V115" s="214"/>
      <c r="W115" s="214"/>
      <c r="X115" s="214"/>
      <c r="Y115" s="214"/>
      <c r="Z115" s="214"/>
    </row>
    <row r="116" ht="15.75" customHeight="1">
      <c r="A116" s="215">
        <v>45964.0</v>
      </c>
      <c r="B116" s="221">
        <f t="shared" si="10"/>
        <v>659119</v>
      </c>
      <c r="C116" s="220">
        <f t="shared" si="11"/>
        <v>1</v>
      </c>
      <c r="D116" s="222">
        <v>659119.0</v>
      </c>
      <c r="E116" s="223">
        <v>54.0</v>
      </c>
      <c r="F116" s="223">
        <v>56.0</v>
      </c>
      <c r="G116" s="224">
        <v>0.0185</v>
      </c>
      <c r="H116" s="223">
        <v>0.0</v>
      </c>
      <c r="I116" s="223">
        <v>0.0</v>
      </c>
      <c r="J116" s="223">
        <v>0.0</v>
      </c>
      <c r="K116" s="223">
        <v>0.0</v>
      </c>
      <c r="L116" s="223">
        <v>1.0</v>
      </c>
      <c r="M116" s="223">
        <v>1.0</v>
      </c>
      <c r="N116" s="223">
        <v>0.0</v>
      </c>
      <c r="O116" s="223">
        <v>2.0</v>
      </c>
      <c r="P116" s="224">
        <v>0.0</v>
      </c>
      <c r="Q116" s="193">
        <f t="shared" si="12"/>
        <v>11</v>
      </c>
      <c r="R116" s="225">
        <v>659119.0</v>
      </c>
      <c r="S116" s="223">
        <v>1.0</v>
      </c>
      <c r="T116" s="214"/>
      <c r="U116" s="214"/>
      <c r="V116" s="214"/>
      <c r="W116" s="214"/>
      <c r="X116" s="214"/>
      <c r="Y116" s="214"/>
      <c r="Z116" s="214"/>
    </row>
    <row r="117" ht="15.75" customHeight="1">
      <c r="A117" s="215">
        <v>45965.0</v>
      </c>
      <c r="B117" s="221">
        <f t="shared" si="10"/>
        <v>610660</v>
      </c>
      <c r="C117" s="220">
        <f t="shared" si="11"/>
        <v>2</v>
      </c>
      <c r="D117" s="222">
        <v>305330.0</v>
      </c>
      <c r="E117" s="223">
        <v>126.0</v>
      </c>
      <c r="F117" s="223">
        <v>304.0</v>
      </c>
      <c r="G117" s="224">
        <v>0.0159</v>
      </c>
      <c r="H117" s="223">
        <v>0.0</v>
      </c>
      <c r="I117" s="223">
        <v>0.0</v>
      </c>
      <c r="J117" s="223">
        <v>0.0</v>
      </c>
      <c r="K117" s="223">
        <v>0.0</v>
      </c>
      <c r="L117" s="223">
        <v>2.0</v>
      </c>
      <c r="M117" s="223">
        <v>0.0</v>
      </c>
      <c r="N117" s="223">
        <v>2.0</v>
      </c>
      <c r="O117" s="223">
        <v>9.0</v>
      </c>
      <c r="P117" s="224">
        <v>0.0</v>
      </c>
      <c r="Q117" s="193">
        <f t="shared" si="12"/>
        <v>11</v>
      </c>
      <c r="R117" s="225">
        <v>610660.0</v>
      </c>
      <c r="S117" s="223">
        <v>2.0</v>
      </c>
      <c r="T117" s="214"/>
      <c r="U117" s="214"/>
      <c r="V117" s="214"/>
      <c r="W117" s="214"/>
      <c r="X117" s="214"/>
      <c r="Y117" s="214"/>
      <c r="Z117" s="214"/>
    </row>
    <row r="118" ht="15.75" customHeight="1">
      <c r="A118" s="215">
        <v>45966.0</v>
      </c>
      <c r="B118" s="221">
        <f t="shared" si="10"/>
        <v>1290780</v>
      </c>
      <c r="C118" s="220">
        <f t="shared" si="11"/>
        <v>1</v>
      </c>
      <c r="D118" s="222">
        <v>1290780.0</v>
      </c>
      <c r="E118" s="223">
        <v>132.0</v>
      </c>
      <c r="F118" s="223">
        <v>339.0</v>
      </c>
      <c r="G118" s="224">
        <v>0.0076</v>
      </c>
      <c r="H118" s="223">
        <v>0.0</v>
      </c>
      <c r="I118" s="223">
        <v>0.0</v>
      </c>
      <c r="J118" s="223">
        <v>0.0</v>
      </c>
      <c r="K118" s="223">
        <v>0.0</v>
      </c>
      <c r="L118" s="223">
        <v>1.0</v>
      </c>
      <c r="M118" s="223">
        <v>1.0</v>
      </c>
      <c r="N118" s="223">
        <v>0.0</v>
      </c>
      <c r="O118" s="223">
        <v>10.0</v>
      </c>
      <c r="P118" s="224">
        <v>0.0</v>
      </c>
      <c r="Q118" s="193">
        <f t="shared" si="12"/>
        <v>11</v>
      </c>
      <c r="R118" s="225">
        <v>1290780.0</v>
      </c>
      <c r="S118" s="223">
        <v>1.0</v>
      </c>
      <c r="T118" s="214"/>
      <c r="U118" s="214"/>
      <c r="V118" s="214"/>
      <c r="W118" s="214"/>
      <c r="X118" s="214"/>
      <c r="Y118" s="214"/>
      <c r="Z118" s="214"/>
    </row>
    <row r="119" ht="15.75" customHeight="1">
      <c r="A119" s="215">
        <v>45967.0</v>
      </c>
      <c r="B119" s="221">
        <f t="shared" si="10"/>
        <v>643679</v>
      </c>
      <c r="C119" s="220">
        <f t="shared" si="11"/>
        <v>3</v>
      </c>
      <c r="D119" s="222">
        <v>214559.67</v>
      </c>
      <c r="E119" s="223">
        <v>146.0</v>
      </c>
      <c r="F119" s="223">
        <v>148.0</v>
      </c>
      <c r="G119" s="224">
        <v>0.0205</v>
      </c>
      <c r="H119" s="223">
        <v>0.0</v>
      </c>
      <c r="I119" s="223">
        <v>0.0</v>
      </c>
      <c r="J119" s="223">
        <v>0.0</v>
      </c>
      <c r="K119" s="223">
        <v>0.0</v>
      </c>
      <c r="L119" s="223">
        <v>3.0</v>
      </c>
      <c r="M119" s="223">
        <v>2.0</v>
      </c>
      <c r="N119" s="223">
        <v>1.0</v>
      </c>
      <c r="O119" s="223">
        <v>6.0</v>
      </c>
      <c r="P119" s="224">
        <v>0.0</v>
      </c>
      <c r="Q119" s="193">
        <f t="shared" si="12"/>
        <v>11</v>
      </c>
      <c r="R119" s="225">
        <v>643679.0</v>
      </c>
      <c r="S119" s="223">
        <v>3.0</v>
      </c>
      <c r="T119" s="214"/>
      <c r="U119" s="214"/>
      <c r="V119" s="214"/>
      <c r="W119" s="214"/>
      <c r="X119" s="214"/>
      <c r="Y119" s="214"/>
      <c r="Z119" s="214"/>
    </row>
    <row r="120" ht="15.75" customHeight="1">
      <c r="A120" s="215">
        <v>45968.0</v>
      </c>
      <c r="B120" s="221">
        <f t="shared" si="10"/>
        <v>3917120</v>
      </c>
      <c r="C120" s="220">
        <f t="shared" si="11"/>
        <v>2</v>
      </c>
      <c r="D120" s="222">
        <v>1958560.0</v>
      </c>
      <c r="E120" s="223">
        <v>116.0</v>
      </c>
      <c r="F120" s="223">
        <v>129.0</v>
      </c>
      <c r="G120" s="224">
        <v>0.0172</v>
      </c>
      <c r="H120" s="223">
        <v>0.0</v>
      </c>
      <c r="I120" s="223">
        <v>0.0</v>
      </c>
      <c r="J120" s="223">
        <v>0.0</v>
      </c>
      <c r="K120" s="223">
        <v>0.0</v>
      </c>
      <c r="L120" s="223">
        <v>2.0</v>
      </c>
      <c r="M120" s="223">
        <v>1.0</v>
      </c>
      <c r="N120" s="223">
        <v>1.0</v>
      </c>
      <c r="O120" s="223">
        <v>7.0</v>
      </c>
      <c r="P120" s="224">
        <v>0.0</v>
      </c>
      <c r="Q120" s="193">
        <f t="shared" si="12"/>
        <v>11</v>
      </c>
      <c r="R120" s="225">
        <v>3917120.0</v>
      </c>
      <c r="S120" s="223">
        <v>2.0</v>
      </c>
      <c r="T120" s="214"/>
      <c r="U120" s="214"/>
      <c r="V120" s="214"/>
      <c r="W120" s="214"/>
      <c r="X120" s="214"/>
      <c r="Y120" s="214"/>
      <c r="Z120" s="214"/>
    </row>
    <row r="121" ht="15.75" customHeight="1">
      <c r="A121" s="215">
        <v>45969.0</v>
      </c>
      <c r="B121" s="221">
        <f t="shared" si="10"/>
        <v>1925065</v>
      </c>
      <c r="C121" s="220">
        <f t="shared" si="11"/>
        <v>3</v>
      </c>
      <c r="D121" s="222">
        <v>641688.33</v>
      </c>
      <c r="E121" s="223">
        <v>118.0</v>
      </c>
      <c r="F121" s="223">
        <v>209.0</v>
      </c>
      <c r="G121" s="224">
        <v>0.0254</v>
      </c>
      <c r="H121" s="223">
        <v>0.0</v>
      </c>
      <c r="I121" s="223">
        <v>0.0</v>
      </c>
      <c r="J121" s="223">
        <v>0.0</v>
      </c>
      <c r="K121" s="223">
        <v>0.0</v>
      </c>
      <c r="L121" s="223">
        <v>3.0</v>
      </c>
      <c r="M121" s="223">
        <v>2.0</v>
      </c>
      <c r="N121" s="223">
        <v>1.0</v>
      </c>
      <c r="O121" s="223">
        <v>10.0</v>
      </c>
      <c r="P121" s="224">
        <v>0.0</v>
      </c>
      <c r="Q121" s="193">
        <f t="shared" si="12"/>
        <v>11</v>
      </c>
      <c r="R121" s="225">
        <v>1925065.0</v>
      </c>
      <c r="S121" s="223">
        <v>3.0</v>
      </c>
      <c r="T121" s="214"/>
      <c r="U121" s="214"/>
      <c r="V121" s="214"/>
      <c r="W121" s="214"/>
      <c r="X121" s="214"/>
      <c r="Y121" s="214"/>
      <c r="Z121" s="214"/>
    </row>
    <row r="122" ht="15.75" customHeight="1">
      <c r="A122" s="215">
        <v>45970.0</v>
      </c>
      <c r="B122" s="221">
        <f t="shared" si="10"/>
        <v>75000</v>
      </c>
      <c r="C122" s="220">
        <f t="shared" si="11"/>
        <v>1</v>
      </c>
      <c r="D122" s="222">
        <v>485250.0</v>
      </c>
      <c r="E122" s="223">
        <v>102.0</v>
      </c>
      <c r="F122" s="223">
        <v>217.0</v>
      </c>
      <c r="G122" s="224">
        <v>0.0196</v>
      </c>
      <c r="H122" s="223">
        <v>1.0</v>
      </c>
      <c r="I122" s="225">
        <v>895500.0</v>
      </c>
      <c r="J122" s="223">
        <v>0.0</v>
      </c>
      <c r="K122" s="223">
        <v>0.0</v>
      </c>
      <c r="L122" s="223">
        <v>2.0</v>
      </c>
      <c r="M122" s="223">
        <v>0.0</v>
      </c>
      <c r="N122" s="223">
        <v>2.0</v>
      </c>
      <c r="O122" s="223">
        <v>12.0</v>
      </c>
      <c r="P122" s="224">
        <v>0.0</v>
      </c>
      <c r="Q122" s="193">
        <f t="shared" si="12"/>
        <v>11</v>
      </c>
      <c r="R122" s="225">
        <v>970500.0</v>
      </c>
      <c r="S122" s="223">
        <v>2.0</v>
      </c>
      <c r="T122" s="214"/>
      <c r="U122" s="214"/>
      <c r="V122" s="214"/>
      <c r="W122" s="214"/>
      <c r="X122" s="214"/>
      <c r="Y122" s="214"/>
      <c r="Z122" s="214"/>
    </row>
    <row r="123" ht="15.75" customHeight="1">
      <c r="A123" s="215">
        <v>45971.0</v>
      </c>
      <c r="B123" s="221">
        <f t="shared" si="10"/>
        <v>1535262</v>
      </c>
      <c r="C123" s="220">
        <f t="shared" si="11"/>
        <v>3</v>
      </c>
      <c r="D123" s="222">
        <v>511754.0</v>
      </c>
      <c r="E123" s="223">
        <v>153.0</v>
      </c>
      <c r="F123" s="223">
        <v>231.0</v>
      </c>
      <c r="G123" s="224">
        <v>0.0196</v>
      </c>
      <c r="H123" s="223">
        <v>0.0</v>
      </c>
      <c r="I123" s="223">
        <v>0.0</v>
      </c>
      <c r="J123" s="223">
        <v>0.0</v>
      </c>
      <c r="K123" s="223">
        <v>0.0</v>
      </c>
      <c r="L123" s="223">
        <v>3.0</v>
      </c>
      <c r="M123" s="223">
        <v>2.0</v>
      </c>
      <c r="N123" s="223">
        <v>1.0</v>
      </c>
      <c r="O123" s="223">
        <v>15.0</v>
      </c>
      <c r="P123" s="224">
        <v>0.0</v>
      </c>
      <c r="Q123" s="193">
        <f t="shared" si="12"/>
        <v>11</v>
      </c>
      <c r="R123" s="225">
        <v>1535262.0</v>
      </c>
      <c r="S123" s="223">
        <v>3.0</v>
      </c>
      <c r="T123" s="214"/>
      <c r="U123" s="214"/>
      <c r="V123" s="214"/>
      <c r="W123" s="214"/>
      <c r="X123" s="214"/>
      <c r="Y123" s="214"/>
      <c r="Z123" s="214"/>
    </row>
    <row r="124" ht="15.75" customHeight="1">
      <c r="A124" s="215">
        <v>45972.0</v>
      </c>
      <c r="B124" s="221">
        <f t="shared" si="10"/>
        <v>9535714</v>
      </c>
      <c r="C124" s="220">
        <f t="shared" si="11"/>
        <v>12</v>
      </c>
      <c r="D124" s="222">
        <v>794642.83</v>
      </c>
      <c r="E124" s="223">
        <v>266.0</v>
      </c>
      <c r="F124" s="223">
        <v>558.0</v>
      </c>
      <c r="G124" s="224">
        <v>0.0451</v>
      </c>
      <c r="H124" s="223">
        <v>0.0</v>
      </c>
      <c r="I124" s="223">
        <v>0.0</v>
      </c>
      <c r="J124" s="223">
        <v>0.0</v>
      </c>
      <c r="K124" s="223">
        <v>0.0</v>
      </c>
      <c r="L124" s="223">
        <v>12.0</v>
      </c>
      <c r="M124" s="223">
        <v>5.0</v>
      </c>
      <c r="N124" s="223">
        <v>7.0</v>
      </c>
      <c r="O124" s="223">
        <v>22.0</v>
      </c>
      <c r="P124" s="224">
        <v>0.0</v>
      </c>
      <c r="Q124" s="193">
        <f t="shared" si="12"/>
        <v>11</v>
      </c>
      <c r="R124" s="225">
        <v>9535714.0</v>
      </c>
      <c r="S124" s="223">
        <v>12.0</v>
      </c>
      <c r="T124" s="214"/>
      <c r="U124" s="214"/>
      <c r="V124" s="214"/>
      <c r="W124" s="214"/>
      <c r="X124" s="214"/>
      <c r="Y124" s="214"/>
      <c r="Z124" s="214"/>
    </row>
    <row r="125" ht="15.75" customHeight="1">
      <c r="A125" s="215">
        <v>45973.0</v>
      </c>
      <c r="B125" s="221">
        <f t="shared" si="10"/>
        <v>1498928</v>
      </c>
      <c r="C125" s="220">
        <f t="shared" si="11"/>
        <v>4</v>
      </c>
      <c r="D125" s="222">
        <v>374732.0</v>
      </c>
      <c r="E125" s="223">
        <v>177.0</v>
      </c>
      <c r="F125" s="223">
        <v>390.0</v>
      </c>
      <c r="G125" s="224">
        <v>0.0226</v>
      </c>
      <c r="H125" s="223">
        <v>0.0</v>
      </c>
      <c r="I125" s="223">
        <v>0.0</v>
      </c>
      <c r="J125" s="223">
        <v>0.0</v>
      </c>
      <c r="K125" s="223">
        <v>0.0</v>
      </c>
      <c r="L125" s="223">
        <v>3.0</v>
      </c>
      <c r="M125" s="223">
        <v>2.0</v>
      </c>
      <c r="N125" s="223">
        <v>1.0</v>
      </c>
      <c r="O125" s="223">
        <v>4.0</v>
      </c>
      <c r="P125" s="224">
        <v>0.3333</v>
      </c>
      <c r="Q125" s="193">
        <f t="shared" si="12"/>
        <v>11</v>
      </c>
      <c r="R125" s="225">
        <v>1498928.0</v>
      </c>
      <c r="S125" s="223">
        <v>4.0</v>
      </c>
      <c r="T125" s="214"/>
      <c r="U125" s="214"/>
      <c r="V125" s="214"/>
      <c r="W125" s="214"/>
      <c r="X125" s="214"/>
      <c r="Y125" s="214"/>
      <c r="Z125" s="214"/>
    </row>
    <row r="126" ht="15.75" customHeight="1">
      <c r="A126" s="215">
        <v>45974.0</v>
      </c>
      <c r="B126" s="221">
        <f t="shared" si="10"/>
        <v>1316340</v>
      </c>
      <c r="C126" s="220">
        <f t="shared" si="11"/>
        <v>4</v>
      </c>
      <c r="D126" s="222">
        <v>329085.0</v>
      </c>
      <c r="E126" s="223">
        <v>187.0</v>
      </c>
      <c r="F126" s="223">
        <v>374.0</v>
      </c>
      <c r="G126" s="224">
        <v>0.0214</v>
      </c>
      <c r="H126" s="223">
        <v>0.0</v>
      </c>
      <c r="I126" s="223">
        <v>0.0</v>
      </c>
      <c r="J126" s="223">
        <v>0.0</v>
      </c>
      <c r="K126" s="223">
        <v>0.0</v>
      </c>
      <c r="L126" s="223">
        <v>4.0</v>
      </c>
      <c r="M126" s="223">
        <v>4.0</v>
      </c>
      <c r="N126" s="223">
        <v>0.0</v>
      </c>
      <c r="O126" s="223">
        <v>12.0</v>
      </c>
      <c r="P126" s="224">
        <v>0.0</v>
      </c>
      <c r="Q126" s="193">
        <f t="shared" si="12"/>
        <v>11</v>
      </c>
      <c r="R126" s="225">
        <v>1316340.0</v>
      </c>
      <c r="S126" s="223">
        <v>4.0</v>
      </c>
      <c r="T126" s="214"/>
      <c r="U126" s="214"/>
      <c r="V126" s="214"/>
      <c r="W126" s="214"/>
      <c r="X126" s="214"/>
      <c r="Y126" s="214"/>
      <c r="Z126" s="214"/>
    </row>
    <row r="127" ht="15.75" customHeight="1">
      <c r="A127" s="215">
        <v>45975.0</v>
      </c>
      <c r="B127" s="221">
        <f t="shared" si="10"/>
        <v>0</v>
      </c>
      <c r="C127" s="220">
        <f t="shared" si="11"/>
        <v>0</v>
      </c>
      <c r="D127" s="223">
        <v>0.0</v>
      </c>
      <c r="E127" s="223">
        <v>146.0</v>
      </c>
      <c r="F127" s="223">
        <v>631.0</v>
      </c>
      <c r="G127" s="224">
        <v>0.0</v>
      </c>
      <c r="H127" s="223">
        <v>0.0</v>
      </c>
      <c r="I127" s="223">
        <v>0.0</v>
      </c>
      <c r="J127" s="223">
        <v>0.0</v>
      </c>
      <c r="K127" s="223">
        <v>0.0</v>
      </c>
      <c r="L127" s="223">
        <v>0.0</v>
      </c>
      <c r="M127" s="223">
        <v>0.0</v>
      </c>
      <c r="N127" s="223">
        <v>0.0</v>
      </c>
      <c r="O127" s="223">
        <v>10.0</v>
      </c>
      <c r="P127" s="224">
        <v>0.0</v>
      </c>
      <c r="Q127" s="193">
        <f t="shared" si="12"/>
        <v>11</v>
      </c>
      <c r="R127" s="223">
        <v>0.0</v>
      </c>
      <c r="S127" s="223">
        <v>0.0</v>
      </c>
      <c r="T127" s="214"/>
      <c r="U127" s="214"/>
      <c r="V127" s="214"/>
      <c r="W127" s="214"/>
      <c r="X127" s="214"/>
      <c r="Y127" s="214"/>
      <c r="Z127" s="214"/>
    </row>
    <row r="128" ht="15.75" customHeight="1">
      <c r="A128" s="215">
        <v>45976.0</v>
      </c>
      <c r="B128" s="221">
        <f t="shared" si="10"/>
        <v>727440</v>
      </c>
      <c r="C128" s="220">
        <f t="shared" si="11"/>
        <v>1</v>
      </c>
      <c r="D128" s="222">
        <v>371220.0</v>
      </c>
      <c r="E128" s="223">
        <v>219.0</v>
      </c>
      <c r="F128" s="223">
        <v>35177.0</v>
      </c>
      <c r="G128" s="224">
        <v>0.0091</v>
      </c>
      <c r="H128" s="223">
        <v>1.0</v>
      </c>
      <c r="I128" s="225">
        <v>15000.0</v>
      </c>
      <c r="J128" s="223">
        <v>0.0</v>
      </c>
      <c r="K128" s="223">
        <v>0.0</v>
      </c>
      <c r="L128" s="223">
        <v>2.0</v>
      </c>
      <c r="M128" s="223">
        <v>1.0</v>
      </c>
      <c r="N128" s="223">
        <v>1.0</v>
      </c>
      <c r="O128" s="223">
        <v>14.0</v>
      </c>
      <c r="P128" s="224">
        <v>0.0</v>
      </c>
      <c r="Q128" s="193">
        <f t="shared" si="12"/>
        <v>11</v>
      </c>
      <c r="R128" s="225">
        <v>742440.0</v>
      </c>
      <c r="S128" s="223">
        <v>2.0</v>
      </c>
      <c r="T128" s="214"/>
      <c r="U128" s="214"/>
      <c r="V128" s="214"/>
      <c r="W128" s="214"/>
      <c r="X128" s="214"/>
      <c r="Y128" s="214"/>
      <c r="Z128" s="214"/>
    </row>
    <row r="129" ht="15.75" customHeight="1">
      <c r="A129" s="215">
        <v>45977.0</v>
      </c>
      <c r="B129" s="221">
        <f t="shared" si="10"/>
        <v>301454</v>
      </c>
      <c r="C129" s="220">
        <f t="shared" si="11"/>
        <v>1</v>
      </c>
      <c r="D129" s="222">
        <v>301454.0</v>
      </c>
      <c r="E129" s="223">
        <v>212.0</v>
      </c>
      <c r="F129" s="223">
        <v>15969.0</v>
      </c>
      <c r="G129" s="224">
        <v>0.0047</v>
      </c>
      <c r="H129" s="223">
        <v>0.0</v>
      </c>
      <c r="I129" s="223">
        <v>0.0</v>
      </c>
      <c r="J129" s="223">
        <v>0.0</v>
      </c>
      <c r="K129" s="223">
        <v>0.0</v>
      </c>
      <c r="L129" s="223">
        <v>1.0</v>
      </c>
      <c r="M129" s="223">
        <v>0.0</v>
      </c>
      <c r="N129" s="223">
        <v>1.0</v>
      </c>
      <c r="O129" s="223">
        <v>18.0</v>
      </c>
      <c r="P129" s="224">
        <v>0.0</v>
      </c>
      <c r="Q129" s="193">
        <f t="shared" si="12"/>
        <v>11</v>
      </c>
      <c r="R129" s="225">
        <v>301454.0</v>
      </c>
      <c r="S129" s="223">
        <v>1.0</v>
      </c>
      <c r="T129" s="214"/>
      <c r="U129" s="214"/>
      <c r="V129" s="214"/>
      <c r="W129" s="214"/>
      <c r="X129" s="214"/>
      <c r="Y129" s="214"/>
      <c r="Z129" s="214"/>
    </row>
    <row r="130" ht="15.75" customHeight="1">
      <c r="A130" s="215">
        <v>45978.0</v>
      </c>
      <c r="B130" s="221">
        <f t="shared" si="10"/>
        <v>0</v>
      </c>
      <c r="C130" s="220">
        <f t="shared" si="11"/>
        <v>0</v>
      </c>
      <c r="D130" s="223">
        <v>0.0</v>
      </c>
      <c r="E130" s="223">
        <v>119.0</v>
      </c>
      <c r="F130" s="223">
        <v>300.0</v>
      </c>
      <c r="G130" s="224">
        <v>0.0</v>
      </c>
      <c r="H130" s="223">
        <v>0.0</v>
      </c>
      <c r="I130" s="223">
        <v>0.0</v>
      </c>
      <c r="J130" s="223">
        <v>0.0</v>
      </c>
      <c r="K130" s="223">
        <v>0.0</v>
      </c>
      <c r="L130" s="223">
        <v>0.0</v>
      </c>
      <c r="M130" s="223">
        <v>0.0</v>
      </c>
      <c r="N130" s="223">
        <v>0.0</v>
      </c>
      <c r="O130" s="223">
        <v>10.0</v>
      </c>
      <c r="P130" s="224">
        <v>0.0</v>
      </c>
      <c r="Q130" s="193">
        <f t="shared" si="12"/>
        <v>11</v>
      </c>
      <c r="R130" s="223">
        <v>0.0</v>
      </c>
      <c r="S130" s="223">
        <v>0.0</v>
      </c>
      <c r="T130" s="214"/>
      <c r="U130" s="214"/>
      <c r="V130" s="214"/>
      <c r="W130" s="214"/>
      <c r="X130" s="214"/>
      <c r="Y130" s="214"/>
      <c r="Z130" s="214"/>
    </row>
    <row r="131" ht="15.75" customHeight="1">
      <c r="A131" s="215">
        <v>45979.0</v>
      </c>
      <c r="B131" s="221">
        <f t="shared" si="10"/>
        <v>3506000</v>
      </c>
      <c r="C131" s="220">
        <f t="shared" si="11"/>
        <v>2</v>
      </c>
      <c r="D131" s="222">
        <v>2196500.0</v>
      </c>
      <c r="E131" s="223">
        <v>118.0</v>
      </c>
      <c r="F131" s="223">
        <v>202.0</v>
      </c>
      <c r="G131" s="224">
        <v>0.0339</v>
      </c>
      <c r="H131" s="223">
        <v>2.0</v>
      </c>
      <c r="I131" s="225">
        <v>5280000.0</v>
      </c>
      <c r="J131" s="223">
        <v>0.0</v>
      </c>
      <c r="K131" s="223">
        <v>0.0</v>
      </c>
      <c r="L131" s="223">
        <v>2.0</v>
      </c>
      <c r="M131" s="223">
        <v>2.0</v>
      </c>
      <c r="N131" s="223">
        <v>0.0</v>
      </c>
      <c r="O131" s="223">
        <v>12.0</v>
      </c>
      <c r="P131" s="224">
        <v>0.5</v>
      </c>
      <c r="Q131" s="193">
        <f t="shared" si="12"/>
        <v>11</v>
      </c>
      <c r="R131" s="225">
        <v>8786000.0</v>
      </c>
      <c r="S131" s="223">
        <v>4.0</v>
      </c>
      <c r="T131" s="214"/>
      <c r="U131" s="214"/>
      <c r="V131" s="214"/>
      <c r="W131" s="214"/>
      <c r="X131" s="214"/>
      <c r="Y131" s="214"/>
      <c r="Z131" s="214"/>
    </row>
    <row r="132" ht="15.75" customHeight="1">
      <c r="A132" s="215">
        <v>45980.0</v>
      </c>
      <c r="B132" s="221">
        <f t="shared" si="10"/>
        <v>623917</v>
      </c>
      <c r="C132" s="220">
        <f t="shared" si="11"/>
        <v>1</v>
      </c>
      <c r="D132" s="222">
        <v>820547.5</v>
      </c>
      <c r="E132" s="223">
        <v>142.0</v>
      </c>
      <c r="F132" s="223">
        <v>134.0</v>
      </c>
      <c r="G132" s="224">
        <v>0.0282</v>
      </c>
      <c r="H132" s="223">
        <v>3.0</v>
      </c>
      <c r="I132" s="225">
        <v>2658273.0</v>
      </c>
      <c r="J132" s="223">
        <v>0.0</v>
      </c>
      <c r="K132" s="223">
        <v>0.0</v>
      </c>
      <c r="L132" s="223">
        <v>3.0</v>
      </c>
      <c r="M132" s="223">
        <v>2.0</v>
      </c>
      <c r="N132" s="223">
        <v>1.0</v>
      </c>
      <c r="O132" s="223">
        <v>14.0</v>
      </c>
      <c r="P132" s="224">
        <v>0.3333</v>
      </c>
      <c r="Q132" s="193">
        <f t="shared" si="12"/>
        <v>11</v>
      </c>
      <c r="R132" s="225">
        <v>3282190.0</v>
      </c>
      <c r="S132" s="223">
        <v>4.0</v>
      </c>
      <c r="T132" s="214"/>
      <c r="U132" s="214"/>
      <c r="V132" s="214"/>
      <c r="W132" s="214"/>
      <c r="X132" s="214"/>
      <c r="Y132" s="214"/>
      <c r="Z132" s="214"/>
    </row>
    <row r="133" ht="15.75" customHeight="1">
      <c r="A133" s="215">
        <v>45981.0</v>
      </c>
      <c r="B133" s="221">
        <f t="shared" si="10"/>
        <v>4310472</v>
      </c>
      <c r="C133" s="220">
        <f t="shared" si="11"/>
        <v>6</v>
      </c>
      <c r="D133" s="222">
        <v>718412.0</v>
      </c>
      <c r="E133" s="223">
        <v>164.0</v>
      </c>
      <c r="F133" s="223">
        <v>335.0</v>
      </c>
      <c r="G133" s="224">
        <v>0.0366</v>
      </c>
      <c r="H133" s="223">
        <v>0.0</v>
      </c>
      <c r="I133" s="223">
        <v>0.0</v>
      </c>
      <c r="J133" s="223">
        <v>0.0</v>
      </c>
      <c r="K133" s="223">
        <v>0.0</v>
      </c>
      <c r="L133" s="223">
        <v>6.0</v>
      </c>
      <c r="M133" s="223">
        <v>4.0</v>
      </c>
      <c r="N133" s="223">
        <v>2.0</v>
      </c>
      <c r="O133" s="223">
        <v>5.0</v>
      </c>
      <c r="P133" s="224">
        <v>0.0</v>
      </c>
      <c r="Q133" s="193">
        <f t="shared" si="12"/>
        <v>11</v>
      </c>
      <c r="R133" s="225">
        <v>4310472.0</v>
      </c>
      <c r="S133" s="223">
        <v>6.0</v>
      </c>
      <c r="T133" s="214"/>
      <c r="U133" s="214"/>
      <c r="V133" s="214"/>
      <c r="W133" s="214"/>
      <c r="X133" s="214"/>
      <c r="Y133" s="214"/>
      <c r="Z133" s="214"/>
    </row>
    <row r="134" ht="15.75" customHeight="1">
      <c r="A134" s="215">
        <v>45982.0</v>
      </c>
      <c r="B134" s="221">
        <f t="shared" si="10"/>
        <v>1682000</v>
      </c>
      <c r="C134" s="220">
        <f t="shared" si="11"/>
        <v>2</v>
      </c>
      <c r="D134" s="222">
        <v>841000.0</v>
      </c>
      <c r="E134" s="223">
        <v>122.0</v>
      </c>
      <c r="F134" s="223">
        <v>336.0</v>
      </c>
      <c r="G134" s="224">
        <v>0.0164</v>
      </c>
      <c r="H134" s="223">
        <v>0.0</v>
      </c>
      <c r="I134" s="223">
        <v>0.0</v>
      </c>
      <c r="J134" s="223">
        <v>0.0</v>
      </c>
      <c r="K134" s="223">
        <v>0.0</v>
      </c>
      <c r="L134" s="223">
        <v>2.0</v>
      </c>
      <c r="M134" s="223">
        <v>2.0</v>
      </c>
      <c r="N134" s="223">
        <v>0.0</v>
      </c>
      <c r="O134" s="223">
        <v>10.0</v>
      </c>
      <c r="P134" s="224">
        <v>0.0</v>
      </c>
      <c r="Q134" s="193">
        <f t="shared" si="12"/>
        <v>11</v>
      </c>
      <c r="R134" s="225">
        <v>1682000.0</v>
      </c>
      <c r="S134" s="223">
        <v>2.0</v>
      </c>
      <c r="T134" s="214"/>
      <c r="U134" s="214"/>
      <c r="V134" s="214"/>
      <c r="W134" s="214"/>
      <c r="X134" s="214"/>
      <c r="Y134" s="214"/>
      <c r="Z134" s="214"/>
    </row>
    <row r="135" ht="15.75" customHeight="1">
      <c r="A135" s="215">
        <v>45983.0</v>
      </c>
      <c r="B135" s="221">
        <f t="shared" si="10"/>
        <v>0</v>
      </c>
      <c r="C135" s="220">
        <f t="shared" si="11"/>
        <v>0</v>
      </c>
      <c r="D135" s="223">
        <v>0.0</v>
      </c>
      <c r="E135" s="223">
        <v>129.0</v>
      </c>
      <c r="F135" s="223">
        <v>209.0</v>
      </c>
      <c r="G135" s="224">
        <v>0.0</v>
      </c>
      <c r="H135" s="223">
        <v>0.0</v>
      </c>
      <c r="I135" s="223">
        <v>0.0</v>
      </c>
      <c r="J135" s="223">
        <v>0.0</v>
      </c>
      <c r="K135" s="223">
        <v>0.0</v>
      </c>
      <c r="L135" s="223">
        <v>0.0</v>
      </c>
      <c r="M135" s="223">
        <v>0.0</v>
      </c>
      <c r="N135" s="223">
        <v>0.0</v>
      </c>
      <c r="O135" s="223">
        <v>9.0</v>
      </c>
      <c r="P135" s="224">
        <v>0.0</v>
      </c>
      <c r="Q135" s="193">
        <f t="shared" si="12"/>
        <v>11</v>
      </c>
      <c r="R135" s="223">
        <v>0.0</v>
      </c>
      <c r="S135" s="223">
        <v>0.0</v>
      </c>
      <c r="T135" s="214"/>
      <c r="U135" s="214"/>
      <c r="V135" s="214"/>
      <c r="W135" s="214"/>
      <c r="X135" s="214"/>
      <c r="Y135" s="214"/>
      <c r="Z135" s="214"/>
    </row>
    <row r="136" ht="15.75" customHeight="1">
      <c r="A136" s="215">
        <v>45984.0</v>
      </c>
      <c r="B136" s="221">
        <f t="shared" si="10"/>
        <v>466954</v>
      </c>
      <c r="C136" s="220">
        <f t="shared" si="11"/>
        <v>2</v>
      </c>
      <c r="D136" s="222">
        <v>362734.0</v>
      </c>
      <c r="E136" s="223">
        <v>152.0</v>
      </c>
      <c r="F136" s="223">
        <v>141.0</v>
      </c>
      <c r="G136" s="224">
        <v>0.0263</v>
      </c>
      <c r="H136" s="223">
        <v>2.0</v>
      </c>
      <c r="I136" s="225">
        <v>983982.0</v>
      </c>
      <c r="J136" s="223">
        <v>0.0</v>
      </c>
      <c r="K136" s="223">
        <v>0.0</v>
      </c>
      <c r="L136" s="223">
        <v>3.0</v>
      </c>
      <c r="M136" s="223">
        <v>1.0</v>
      </c>
      <c r="N136" s="223">
        <v>2.0</v>
      </c>
      <c r="O136" s="223">
        <v>9.0</v>
      </c>
      <c r="P136" s="224">
        <v>0.3333</v>
      </c>
      <c r="Q136" s="193">
        <f t="shared" si="12"/>
        <v>11</v>
      </c>
      <c r="R136" s="225">
        <v>1450936.0</v>
      </c>
      <c r="S136" s="223">
        <v>4.0</v>
      </c>
      <c r="T136" s="214"/>
      <c r="U136" s="214"/>
      <c r="V136" s="214"/>
      <c r="W136" s="214"/>
      <c r="X136" s="214"/>
      <c r="Y136" s="214"/>
      <c r="Z136" s="214"/>
    </row>
    <row r="137" ht="15.75" customHeight="1">
      <c r="A137" s="215">
        <v>45985.0</v>
      </c>
      <c r="B137" s="221">
        <f t="shared" si="10"/>
        <v>1103808</v>
      </c>
      <c r="C137" s="220">
        <f t="shared" si="11"/>
        <v>2</v>
      </c>
      <c r="D137" s="222">
        <v>531986.0</v>
      </c>
      <c r="E137" s="223">
        <v>180.0</v>
      </c>
      <c r="F137" s="223">
        <v>168.0</v>
      </c>
      <c r="G137" s="224">
        <v>0.0167</v>
      </c>
      <c r="H137" s="223">
        <v>1.0</v>
      </c>
      <c r="I137" s="225">
        <v>492150.0</v>
      </c>
      <c r="J137" s="223">
        <v>0.0</v>
      </c>
      <c r="K137" s="223">
        <v>0.0</v>
      </c>
      <c r="L137" s="223">
        <v>3.0</v>
      </c>
      <c r="M137" s="223">
        <v>2.0</v>
      </c>
      <c r="N137" s="223">
        <v>1.0</v>
      </c>
      <c r="O137" s="223">
        <v>12.0</v>
      </c>
      <c r="P137" s="224">
        <v>0.0</v>
      </c>
      <c r="Q137" s="193">
        <f t="shared" si="12"/>
        <v>11</v>
      </c>
      <c r="R137" s="225">
        <v>1595958.0</v>
      </c>
      <c r="S137" s="223">
        <v>3.0</v>
      </c>
      <c r="T137" s="214"/>
      <c r="U137" s="214"/>
      <c r="V137" s="214"/>
      <c r="W137" s="214"/>
      <c r="X137" s="214"/>
      <c r="Y137" s="214"/>
      <c r="Z137" s="214"/>
    </row>
    <row r="138" ht="15.75" customHeight="1">
      <c r="A138" s="215">
        <v>45986.0</v>
      </c>
      <c r="B138" s="221">
        <f t="shared" si="10"/>
        <v>1371792</v>
      </c>
      <c r="C138" s="220">
        <f t="shared" si="11"/>
        <v>2</v>
      </c>
      <c r="D138" s="222">
        <v>685896.0</v>
      </c>
      <c r="E138" s="223">
        <v>205.0</v>
      </c>
      <c r="F138" s="223">
        <v>426.0</v>
      </c>
      <c r="G138" s="224">
        <v>0.0098</v>
      </c>
      <c r="H138" s="223">
        <v>0.0</v>
      </c>
      <c r="I138" s="223">
        <v>0.0</v>
      </c>
      <c r="J138" s="223">
        <v>0.0</v>
      </c>
      <c r="K138" s="223">
        <v>0.0</v>
      </c>
      <c r="L138" s="223">
        <v>2.0</v>
      </c>
      <c r="M138" s="223">
        <v>1.0</v>
      </c>
      <c r="N138" s="223">
        <v>1.0</v>
      </c>
      <c r="O138" s="223">
        <v>12.0</v>
      </c>
      <c r="P138" s="224">
        <v>0.0</v>
      </c>
      <c r="Q138" s="193">
        <f t="shared" si="12"/>
        <v>11</v>
      </c>
      <c r="R138" s="225">
        <v>1371792.0</v>
      </c>
      <c r="S138" s="223">
        <v>2.0</v>
      </c>
      <c r="T138" s="214"/>
      <c r="U138" s="214"/>
      <c r="V138" s="214"/>
      <c r="W138" s="214"/>
      <c r="X138" s="214"/>
      <c r="Y138" s="214"/>
      <c r="Z138" s="214"/>
    </row>
    <row r="139" ht="15.75" customHeight="1">
      <c r="A139" s="215">
        <v>45987.0</v>
      </c>
      <c r="B139" s="221">
        <f t="shared" si="10"/>
        <v>1670756</v>
      </c>
      <c r="C139" s="220">
        <f t="shared" si="11"/>
        <v>2</v>
      </c>
      <c r="D139" s="222">
        <v>835378.0</v>
      </c>
      <c r="E139" s="223">
        <v>145.0</v>
      </c>
      <c r="F139" s="223">
        <v>388.0</v>
      </c>
      <c r="G139" s="224">
        <v>0.0138</v>
      </c>
      <c r="H139" s="223">
        <v>0.0</v>
      </c>
      <c r="I139" s="223">
        <v>0.0</v>
      </c>
      <c r="J139" s="223">
        <v>0.0</v>
      </c>
      <c r="K139" s="223">
        <v>0.0</v>
      </c>
      <c r="L139" s="223">
        <v>2.0</v>
      </c>
      <c r="M139" s="223">
        <v>2.0</v>
      </c>
      <c r="N139" s="223">
        <v>0.0</v>
      </c>
      <c r="O139" s="223">
        <v>13.0</v>
      </c>
      <c r="P139" s="224">
        <v>0.0</v>
      </c>
      <c r="Q139" s="193">
        <f t="shared" si="12"/>
        <v>11</v>
      </c>
      <c r="R139" s="225">
        <v>1670756.0</v>
      </c>
      <c r="S139" s="223">
        <v>2.0</v>
      </c>
      <c r="T139" s="214"/>
      <c r="U139" s="214"/>
      <c r="V139" s="214"/>
      <c r="W139" s="214"/>
      <c r="X139" s="214"/>
      <c r="Y139" s="214"/>
      <c r="Z139" s="214"/>
    </row>
    <row r="140" ht="15.75" customHeight="1">
      <c r="A140" s="215">
        <v>45988.0</v>
      </c>
      <c r="B140" s="221">
        <f t="shared" si="10"/>
        <v>2615364</v>
      </c>
      <c r="C140" s="220">
        <f t="shared" si="11"/>
        <v>4</v>
      </c>
      <c r="D140" s="222">
        <v>653841.0</v>
      </c>
      <c r="E140" s="223">
        <v>191.0</v>
      </c>
      <c r="F140" s="223">
        <v>749.0</v>
      </c>
      <c r="G140" s="224">
        <v>0.0209</v>
      </c>
      <c r="H140" s="223">
        <v>0.0</v>
      </c>
      <c r="I140" s="223">
        <v>0.0</v>
      </c>
      <c r="J140" s="223">
        <v>0.0</v>
      </c>
      <c r="K140" s="223">
        <v>0.0</v>
      </c>
      <c r="L140" s="223">
        <v>4.0</v>
      </c>
      <c r="M140" s="223">
        <v>3.0</v>
      </c>
      <c r="N140" s="223">
        <v>1.0</v>
      </c>
      <c r="O140" s="223">
        <v>19.0</v>
      </c>
      <c r="P140" s="224">
        <v>0.0</v>
      </c>
      <c r="Q140" s="193">
        <f t="shared" si="12"/>
        <v>11</v>
      </c>
      <c r="R140" s="225">
        <v>2615364.0</v>
      </c>
      <c r="S140" s="223">
        <v>4.0</v>
      </c>
      <c r="T140" s="214"/>
      <c r="U140" s="214"/>
      <c r="V140" s="214"/>
      <c r="W140" s="214"/>
      <c r="X140" s="214"/>
      <c r="Y140" s="214"/>
      <c r="Z140" s="214"/>
    </row>
    <row r="141" ht="15.75" customHeight="1">
      <c r="A141" s="215">
        <v>45989.0</v>
      </c>
      <c r="B141" s="221">
        <f t="shared" si="10"/>
        <v>6421405</v>
      </c>
      <c r="C141" s="220">
        <f t="shared" si="11"/>
        <v>7</v>
      </c>
      <c r="D141" s="222">
        <v>917343.57</v>
      </c>
      <c r="E141" s="223">
        <v>205.0</v>
      </c>
      <c r="F141" s="223">
        <v>483.0</v>
      </c>
      <c r="G141" s="224">
        <v>0.0341</v>
      </c>
      <c r="H141" s="223">
        <v>0.0</v>
      </c>
      <c r="I141" s="223">
        <v>0.0</v>
      </c>
      <c r="J141" s="223">
        <v>0.0</v>
      </c>
      <c r="K141" s="223">
        <v>0.0</v>
      </c>
      <c r="L141" s="223">
        <v>7.0</v>
      </c>
      <c r="M141" s="223">
        <v>2.0</v>
      </c>
      <c r="N141" s="223">
        <v>5.0</v>
      </c>
      <c r="O141" s="223">
        <v>18.0</v>
      </c>
      <c r="P141" s="224">
        <v>0.0</v>
      </c>
      <c r="Q141" s="193">
        <f t="shared" si="12"/>
        <v>11</v>
      </c>
      <c r="R141" s="225">
        <v>6421405.0</v>
      </c>
      <c r="S141" s="223">
        <v>7.0</v>
      </c>
      <c r="T141" s="214"/>
      <c r="U141" s="214"/>
      <c r="V141" s="214"/>
      <c r="W141" s="214"/>
      <c r="X141" s="214"/>
      <c r="Y141" s="214"/>
      <c r="Z141" s="214"/>
    </row>
    <row r="142" ht="15.75" customHeight="1">
      <c r="A142" s="215">
        <v>45990.0</v>
      </c>
      <c r="B142" s="221">
        <f t="shared" si="10"/>
        <v>3685983</v>
      </c>
      <c r="C142" s="220">
        <f t="shared" si="11"/>
        <v>6</v>
      </c>
      <c r="D142" s="222">
        <v>614330.5</v>
      </c>
      <c r="E142" s="223">
        <v>147.0</v>
      </c>
      <c r="F142" s="223">
        <v>270.0</v>
      </c>
      <c r="G142" s="224">
        <v>0.0408</v>
      </c>
      <c r="H142" s="223">
        <v>0.0</v>
      </c>
      <c r="I142" s="223">
        <v>0.0</v>
      </c>
      <c r="J142" s="223">
        <v>0.0</v>
      </c>
      <c r="K142" s="223">
        <v>0.0</v>
      </c>
      <c r="L142" s="223">
        <v>6.0</v>
      </c>
      <c r="M142" s="223">
        <v>2.0</v>
      </c>
      <c r="N142" s="223">
        <v>4.0</v>
      </c>
      <c r="O142" s="223">
        <v>9.0</v>
      </c>
      <c r="P142" s="224">
        <v>0.0</v>
      </c>
      <c r="Q142" s="193">
        <f t="shared" si="12"/>
        <v>11</v>
      </c>
      <c r="R142" s="225">
        <v>3685983.0</v>
      </c>
      <c r="S142" s="223">
        <v>6.0</v>
      </c>
      <c r="T142" s="214"/>
      <c r="U142" s="214"/>
      <c r="V142" s="214"/>
      <c r="W142" s="214"/>
      <c r="X142" s="214"/>
      <c r="Y142" s="214"/>
      <c r="Z142" s="214"/>
    </row>
    <row r="143" ht="15.75" customHeight="1">
      <c r="A143" s="215">
        <v>45991.0</v>
      </c>
      <c r="B143" s="221">
        <f t="shared" si="10"/>
        <v>3093514</v>
      </c>
      <c r="C143" s="220">
        <f t="shared" si="11"/>
        <v>4</v>
      </c>
      <c r="D143" s="222">
        <v>880391.86</v>
      </c>
      <c r="E143" s="223">
        <v>162.0</v>
      </c>
      <c r="F143" s="223">
        <v>224.0</v>
      </c>
      <c r="G143" s="224">
        <v>0.0432</v>
      </c>
      <c r="H143" s="223">
        <v>3.0</v>
      </c>
      <c r="I143" s="225">
        <v>3069229.0</v>
      </c>
      <c r="J143" s="223">
        <v>0.0</v>
      </c>
      <c r="K143" s="223">
        <v>0.0</v>
      </c>
      <c r="L143" s="223">
        <v>6.0</v>
      </c>
      <c r="M143" s="223">
        <v>5.0</v>
      </c>
      <c r="N143" s="223">
        <v>1.0</v>
      </c>
      <c r="O143" s="223">
        <v>9.0</v>
      </c>
      <c r="P143" s="224">
        <v>0.1667</v>
      </c>
      <c r="Q143" s="193">
        <f t="shared" si="12"/>
        <v>11</v>
      </c>
      <c r="R143" s="225">
        <v>6162743.0</v>
      </c>
      <c r="S143" s="223">
        <v>7.0</v>
      </c>
      <c r="T143" s="214"/>
      <c r="U143" s="214"/>
      <c r="V143" s="214"/>
      <c r="W143" s="214"/>
      <c r="X143" s="214"/>
      <c r="Y143" s="214"/>
      <c r="Z143" s="214"/>
    </row>
    <row r="144" ht="15.75" customHeight="1">
      <c r="A144" s="215"/>
      <c r="B144" s="214"/>
      <c r="C144" s="214"/>
      <c r="D144" s="214"/>
      <c r="E144" s="214"/>
      <c r="F144" s="214"/>
      <c r="G144" s="214"/>
      <c r="H144" s="214"/>
      <c r="I144" s="214"/>
      <c r="J144" s="214"/>
      <c r="K144" s="214"/>
      <c r="L144" s="214"/>
      <c r="M144" s="214"/>
      <c r="N144" s="214"/>
      <c r="O144" s="214"/>
      <c r="P144" s="214"/>
      <c r="Q144" s="193"/>
      <c r="R144" s="214"/>
      <c r="S144" s="214"/>
      <c r="T144" s="214"/>
      <c r="U144" s="214"/>
      <c r="V144" s="214"/>
      <c r="W144" s="214"/>
      <c r="X144" s="214"/>
      <c r="Y144" s="214"/>
      <c r="Z144" s="214"/>
    </row>
    <row r="145" ht="15.75" customHeight="1">
      <c r="A145" s="215"/>
      <c r="B145" s="214"/>
      <c r="C145" s="214"/>
      <c r="D145" s="214"/>
      <c r="E145" s="214"/>
      <c r="F145" s="214"/>
      <c r="G145" s="214"/>
      <c r="H145" s="214"/>
      <c r="I145" s="214"/>
      <c r="J145" s="214"/>
      <c r="K145" s="214"/>
      <c r="L145" s="214"/>
      <c r="M145" s="214"/>
      <c r="N145" s="214"/>
      <c r="O145" s="214"/>
      <c r="P145" s="214"/>
      <c r="Q145" s="156"/>
      <c r="R145" s="214"/>
      <c r="S145" s="214"/>
      <c r="T145" s="214"/>
      <c r="U145" s="214"/>
      <c r="V145" s="214"/>
      <c r="W145" s="214"/>
      <c r="X145" s="214"/>
      <c r="Y145" s="214"/>
      <c r="Z145" s="214"/>
    </row>
    <row r="146" ht="15.75" customHeight="1">
      <c r="A146" s="191" t="s">
        <v>33</v>
      </c>
      <c r="B146" s="192" t="s">
        <v>669</v>
      </c>
      <c r="C146" s="192" t="s">
        <v>670</v>
      </c>
      <c r="D146" s="192" t="s">
        <v>671</v>
      </c>
      <c r="E146" s="192" t="s">
        <v>672</v>
      </c>
      <c r="F146" s="192" t="s">
        <v>673</v>
      </c>
      <c r="G146" s="192" t="s">
        <v>674</v>
      </c>
      <c r="H146" s="192" t="s">
        <v>37</v>
      </c>
      <c r="I146" s="192" t="s">
        <v>38</v>
      </c>
      <c r="J146" s="192" t="s">
        <v>39</v>
      </c>
      <c r="K146" s="192" t="s">
        <v>675</v>
      </c>
      <c r="L146" s="192" t="s">
        <v>676</v>
      </c>
      <c r="M146" s="192" t="s">
        <v>677</v>
      </c>
      <c r="N146" s="192" t="s">
        <v>678</v>
      </c>
      <c r="O146" s="192" t="s">
        <v>679</v>
      </c>
      <c r="P146" s="192" t="s">
        <v>680</v>
      </c>
      <c r="Q146" s="193"/>
      <c r="R146" s="214"/>
      <c r="S146" s="214"/>
      <c r="T146" s="214"/>
      <c r="U146" s="214"/>
      <c r="V146" s="214"/>
      <c r="W146" s="214"/>
      <c r="X146" s="214"/>
      <c r="Y146" s="214"/>
      <c r="Z146" s="214"/>
    </row>
    <row r="147" ht="15.75" customHeight="1">
      <c r="A147" s="194"/>
      <c r="B147" s="195">
        <f t="shared" ref="B147:P147" si="13">SUM(B150:B183)</f>
        <v>65586509</v>
      </c>
      <c r="C147" s="195">
        <f t="shared" si="13"/>
        <v>98</v>
      </c>
      <c r="D147" s="195">
        <f t="shared" si="13"/>
        <v>16800043.65</v>
      </c>
      <c r="E147" s="195">
        <f t="shared" si="13"/>
        <v>3867</v>
      </c>
      <c r="F147" s="195">
        <f t="shared" si="13"/>
        <v>4255</v>
      </c>
      <c r="G147" s="198">
        <f t="shared" si="13"/>
        <v>0.9084</v>
      </c>
      <c r="H147" s="195">
        <f t="shared" si="13"/>
        <v>16</v>
      </c>
      <c r="I147" s="195">
        <f t="shared" si="13"/>
        <v>9982909</v>
      </c>
      <c r="J147" s="195">
        <f t="shared" si="13"/>
        <v>0</v>
      </c>
      <c r="K147" s="195">
        <f t="shared" si="13"/>
        <v>0</v>
      </c>
      <c r="L147" s="195">
        <f t="shared" si="13"/>
        <v>104</v>
      </c>
      <c r="M147" s="195">
        <f t="shared" si="13"/>
        <v>49</v>
      </c>
      <c r="N147" s="195">
        <f t="shared" si="13"/>
        <v>55</v>
      </c>
      <c r="O147" s="195">
        <f t="shared" si="13"/>
        <v>263</v>
      </c>
      <c r="P147" s="198">
        <f t="shared" si="13"/>
        <v>1.6479</v>
      </c>
      <c r="Q147" s="193"/>
      <c r="R147" s="214"/>
      <c r="S147" s="214"/>
      <c r="T147" s="214"/>
      <c r="U147" s="214"/>
      <c r="V147" s="214"/>
      <c r="W147" s="214"/>
      <c r="X147" s="214"/>
      <c r="Y147" s="214"/>
      <c r="Z147" s="214"/>
    </row>
    <row r="148" ht="15.75" customHeight="1">
      <c r="A148" s="214"/>
      <c r="B148" s="214"/>
      <c r="C148" s="214"/>
      <c r="D148" s="214"/>
      <c r="E148" s="214"/>
      <c r="F148" s="214"/>
      <c r="G148" s="214"/>
      <c r="H148" s="214"/>
      <c r="I148" s="214"/>
      <c r="J148" s="214"/>
      <c r="K148" s="214"/>
      <c r="L148" s="214"/>
      <c r="M148" s="214"/>
      <c r="N148" s="214"/>
      <c r="O148" s="214"/>
      <c r="P148" s="214"/>
      <c r="Q148" s="156"/>
      <c r="R148" s="214"/>
      <c r="S148" s="214"/>
      <c r="T148" s="214"/>
      <c r="U148" s="214"/>
      <c r="V148" s="214"/>
      <c r="W148" s="214"/>
      <c r="X148" s="214"/>
      <c r="Y148" s="214"/>
      <c r="Z148" s="214"/>
    </row>
    <row r="149" ht="15.75" customHeight="1">
      <c r="A149" s="109" t="s">
        <v>33</v>
      </c>
      <c r="B149" s="220" t="s">
        <v>669</v>
      </c>
      <c r="C149" s="220" t="s">
        <v>670</v>
      </c>
      <c r="D149" s="109" t="s">
        <v>671</v>
      </c>
      <c r="E149" s="109" t="s">
        <v>685</v>
      </c>
      <c r="F149" s="109" t="s">
        <v>673</v>
      </c>
      <c r="G149" s="109" t="s">
        <v>686</v>
      </c>
      <c r="H149" s="109" t="s">
        <v>37</v>
      </c>
      <c r="I149" s="109" t="s">
        <v>38</v>
      </c>
      <c r="J149" s="109" t="s">
        <v>39</v>
      </c>
      <c r="K149" s="109" t="s">
        <v>675</v>
      </c>
      <c r="L149" s="109" t="s">
        <v>676</v>
      </c>
      <c r="M149" s="109" t="s">
        <v>677</v>
      </c>
      <c r="N149" s="109" t="s">
        <v>678</v>
      </c>
      <c r="O149" s="109" t="s">
        <v>679</v>
      </c>
      <c r="P149" s="109" t="s">
        <v>680</v>
      </c>
      <c r="Q149" s="193" t="s">
        <v>681</v>
      </c>
      <c r="R149" s="214"/>
      <c r="S149" s="214"/>
      <c r="T149" s="214"/>
      <c r="U149" s="214"/>
      <c r="V149" s="214"/>
      <c r="W149" s="214"/>
      <c r="X149" s="214"/>
      <c r="Y149" s="214"/>
      <c r="Z149" s="214"/>
    </row>
    <row r="150" ht="15.75" customHeight="1">
      <c r="A150" s="215">
        <v>45992.0</v>
      </c>
      <c r="B150" s="221">
        <f t="shared" ref="B150:B180" si="14">R150-I150</f>
        <v>652719</v>
      </c>
      <c r="C150" s="220">
        <f t="shared" ref="C150:C180" si="15">S150-H150</f>
        <v>1</v>
      </c>
      <c r="D150" s="222">
        <v>652719.0</v>
      </c>
      <c r="E150" s="223">
        <v>134.0</v>
      </c>
      <c r="F150" s="223">
        <v>194.0</v>
      </c>
      <c r="G150" s="224">
        <v>0.0075</v>
      </c>
      <c r="H150" s="223">
        <v>0.0</v>
      </c>
      <c r="I150" s="225">
        <v>0.0</v>
      </c>
      <c r="J150" s="223">
        <v>0.0</v>
      </c>
      <c r="K150" s="223">
        <v>0.0</v>
      </c>
      <c r="L150" s="223">
        <v>1.0</v>
      </c>
      <c r="M150" s="223">
        <v>0.0</v>
      </c>
      <c r="N150" s="223">
        <v>1.0</v>
      </c>
      <c r="O150" s="223">
        <v>11.0</v>
      </c>
      <c r="P150" s="224">
        <v>0.0</v>
      </c>
      <c r="Q150" s="193">
        <f t="shared" ref="Q150:Q179" si="16">MONTH(A150)</f>
        <v>12</v>
      </c>
      <c r="R150" s="225">
        <v>652719.0</v>
      </c>
      <c r="S150" s="223">
        <v>1.0</v>
      </c>
      <c r="T150" s="214"/>
      <c r="U150" s="214"/>
      <c r="V150" s="214"/>
      <c r="W150" s="214"/>
      <c r="X150" s="214"/>
      <c r="Y150" s="214"/>
      <c r="Z150" s="214"/>
    </row>
    <row r="151" ht="15.75" customHeight="1">
      <c r="A151" s="215">
        <v>45993.0</v>
      </c>
      <c r="B151" s="221">
        <f t="shared" si="14"/>
        <v>278346</v>
      </c>
      <c r="C151" s="220">
        <f t="shared" si="15"/>
        <v>2</v>
      </c>
      <c r="D151" s="222">
        <v>139173.0</v>
      </c>
      <c r="E151" s="223">
        <v>132.0</v>
      </c>
      <c r="F151" s="223">
        <v>215.0</v>
      </c>
      <c r="G151" s="224">
        <v>0.0152</v>
      </c>
      <c r="H151" s="223">
        <v>0.0</v>
      </c>
      <c r="I151" s="223">
        <v>0.0</v>
      </c>
      <c r="J151" s="223">
        <v>0.0</v>
      </c>
      <c r="K151" s="223">
        <v>0.0</v>
      </c>
      <c r="L151" s="223">
        <v>2.0</v>
      </c>
      <c r="M151" s="223">
        <v>1.0</v>
      </c>
      <c r="N151" s="223">
        <v>1.0</v>
      </c>
      <c r="O151" s="223">
        <v>10.0</v>
      </c>
      <c r="P151" s="224">
        <v>0.0</v>
      </c>
      <c r="Q151" s="193">
        <f t="shared" si="16"/>
        <v>12</v>
      </c>
      <c r="R151" s="225">
        <v>278346.0</v>
      </c>
      <c r="S151" s="223">
        <v>2.0</v>
      </c>
      <c r="T151" s="214"/>
      <c r="U151" s="214"/>
      <c r="V151" s="214"/>
      <c r="W151" s="214"/>
      <c r="X151" s="214"/>
      <c r="Y151" s="214"/>
      <c r="Z151" s="214"/>
    </row>
    <row r="152" ht="15.75" customHeight="1">
      <c r="A152" s="215">
        <v>45994.0</v>
      </c>
      <c r="B152" s="221">
        <f t="shared" si="14"/>
        <v>3279333</v>
      </c>
      <c r="C152" s="220">
        <f t="shared" si="15"/>
        <v>5</v>
      </c>
      <c r="D152" s="222">
        <v>697976.0</v>
      </c>
      <c r="E152" s="223">
        <v>206.0</v>
      </c>
      <c r="F152" s="223">
        <v>169.0</v>
      </c>
      <c r="G152" s="224">
        <v>0.034</v>
      </c>
      <c r="H152" s="223">
        <v>2.0</v>
      </c>
      <c r="I152" s="225">
        <v>1606499.0</v>
      </c>
      <c r="J152" s="223">
        <v>0.0</v>
      </c>
      <c r="K152" s="223">
        <v>0.0</v>
      </c>
      <c r="L152" s="223">
        <v>6.0</v>
      </c>
      <c r="M152" s="223">
        <v>2.0</v>
      </c>
      <c r="N152" s="223">
        <v>4.0</v>
      </c>
      <c r="O152" s="223">
        <v>9.0</v>
      </c>
      <c r="P152" s="224">
        <v>0.1667</v>
      </c>
      <c r="Q152" s="193">
        <f t="shared" si="16"/>
        <v>12</v>
      </c>
      <c r="R152" s="225">
        <v>4885832.0</v>
      </c>
      <c r="S152" s="223">
        <v>7.0</v>
      </c>
      <c r="T152" s="214"/>
      <c r="U152" s="214"/>
      <c r="V152" s="214"/>
      <c r="W152" s="214"/>
      <c r="X152" s="214"/>
      <c r="Y152" s="214"/>
      <c r="Z152" s="214"/>
    </row>
    <row r="153" ht="15.75" customHeight="1">
      <c r="A153" s="215">
        <v>45995.0</v>
      </c>
      <c r="B153" s="221">
        <f t="shared" si="14"/>
        <v>0</v>
      </c>
      <c r="C153" s="220">
        <f t="shared" si="15"/>
        <v>0</v>
      </c>
      <c r="D153" s="222">
        <v>0.0</v>
      </c>
      <c r="E153" s="223">
        <v>179.0</v>
      </c>
      <c r="F153" s="223">
        <v>188.0</v>
      </c>
      <c r="G153" s="224">
        <v>0.0</v>
      </c>
      <c r="H153" s="223">
        <v>0.0</v>
      </c>
      <c r="I153" s="223">
        <v>0.0</v>
      </c>
      <c r="J153" s="223">
        <v>0.0</v>
      </c>
      <c r="K153" s="223">
        <v>0.0</v>
      </c>
      <c r="L153" s="223">
        <v>0.0</v>
      </c>
      <c r="M153" s="223">
        <v>0.0</v>
      </c>
      <c r="N153" s="223">
        <v>0.0</v>
      </c>
      <c r="O153" s="223">
        <v>14.0</v>
      </c>
      <c r="P153" s="224">
        <v>0.0</v>
      </c>
      <c r="Q153" s="193">
        <f t="shared" si="16"/>
        <v>12</v>
      </c>
      <c r="R153" s="225">
        <v>0.0</v>
      </c>
      <c r="S153" s="223">
        <v>0.0</v>
      </c>
      <c r="T153" s="214"/>
      <c r="U153" s="214"/>
      <c r="V153" s="214"/>
      <c r="W153" s="214"/>
      <c r="X153" s="214"/>
      <c r="Y153" s="214"/>
      <c r="Z153" s="214"/>
    </row>
    <row r="154" ht="15.75" customHeight="1">
      <c r="A154" s="215">
        <v>45996.0</v>
      </c>
      <c r="B154" s="221">
        <f t="shared" si="14"/>
        <v>0</v>
      </c>
      <c r="C154" s="220">
        <f t="shared" si="15"/>
        <v>0</v>
      </c>
      <c r="D154" s="222">
        <v>0.0</v>
      </c>
      <c r="E154" s="223">
        <v>200.0</v>
      </c>
      <c r="F154" s="223">
        <v>156.0</v>
      </c>
      <c r="G154" s="224">
        <v>0.0</v>
      </c>
      <c r="H154" s="223">
        <v>0.0</v>
      </c>
      <c r="I154" s="223">
        <v>0.0</v>
      </c>
      <c r="J154" s="223">
        <v>0.0</v>
      </c>
      <c r="K154" s="223">
        <v>0.0</v>
      </c>
      <c r="L154" s="223">
        <v>0.0</v>
      </c>
      <c r="M154" s="223">
        <v>0.0</v>
      </c>
      <c r="N154" s="223">
        <v>0.0</v>
      </c>
      <c r="O154" s="223">
        <v>11.0</v>
      </c>
      <c r="P154" s="224">
        <v>0.0</v>
      </c>
      <c r="Q154" s="193">
        <f t="shared" si="16"/>
        <v>12</v>
      </c>
      <c r="R154" s="225">
        <v>0.0</v>
      </c>
      <c r="S154" s="223">
        <v>0.0</v>
      </c>
      <c r="T154" s="214"/>
      <c r="U154" s="214"/>
      <c r="V154" s="214"/>
      <c r="W154" s="214"/>
      <c r="X154" s="214"/>
      <c r="Y154" s="214"/>
      <c r="Z154" s="214"/>
    </row>
    <row r="155" ht="15.75" customHeight="1">
      <c r="A155" s="215">
        <v>45997.0</v>
      </c>
      <c r="B155" s="221">
        <f t="shared" si="14"/>
        <v>922142</v>
      </c>
      <c r="C155" s="220">
        <f t="shared" si="15"/>
        <v>2</v>
      </c>
      <c r="D155" s="222">
        <v>461071.0</v>
      </c>
      <c r="E155" s="223">
        <v>153.0</v>
      </c>
      <c r="F155" s="223">
        <v>144.0</v>
      </c>
      <c r="G155" s="224">
        <v>0.0131</v>
      </c>
      <c r="H155" s="223">
        <v>0.0</v>
      </c>
      <c r="I155" s="223">
        <v>0.0</v>
      </c>
      <c r="J155" s="223">
        <v>0.0</v>
      </c>
      <c r="K155" s="223">
        <v>0.0</v>
      </c>
      <c r="L155" s="223">
        <v>2.0</v>
      </c>
      <c r="M155" s="223">
        <v>2.0</v>
      </c>
      <c r="N155" s="223">
        <v>0.0</v>
      </c>
      <c r="O155" s="223">
        <v>7.0</v>
      </c>
      <c r="P155" s="224">
        <v>0.0</v>
      </c>
      <c r="Q155" s="193">
        <f t="shared" si="16"/>
        <v>12</v>
      </c>
      <c r="R155" s="225">
        <v>922142.0</v>
      </c>
      <c r="S155" s="223">
        <v>2.0</v>
      </c>
      <c r="T155" s="214"/>
      <c r="U155" s="214"/>
      <c r="V155" s="214"/>
      <c r="W155" s="214"/>
      <c r="X155" s="214"/>
      <c r="Y155" s="214"/>
      <c r="Z155" s="214"/>
    </row>
    <row r="156" ht="15.75" customHeight="1">
      <c r="A156" s="215">
        <v>45998.0</v>
      </c>
      <c r="B156" s="221">
        <f t="shared" si="14"/>
        <v>527639</v>
      </c>
      <c r="C156" s="220">
        <f t="shared" si="15"/>
        <v>2</v>
      </c>
      <c r="D156" s="222">
        <v>263819.5</v>
      </c>
      <c r="E156" s="223">
        <v>119.0</v>
      </c>
      <c r="F156" s="223">
        <v>123.0</v>
      </c>
      <c r="G156" s="224">
        <v>0.0168</v>
      </c>
      <c r="H156" s="223">
        <v>0.0</v>
      </c>
      <c r="I156" s="223">
        <v>0.0</v>
      </c>
      <c r="J156" s="223">
        <v>0.0</v>
      </c>
      <c r="K156" s="223">
        <v>0.0</v>
      </c>
      <c r="L156" s="223">
        <v>2.0</v>
      </c>
      <c r="M156" s="223">
        <v>1.0</v>
      </c>
      <c r="N156" s="223">
        <v>1.0</v>
      </c>
      <c r="O156" s="223">
        <v>6.0</v>
      </c>
      <c r="P156" s="224">
        <v>0.0</v>
      </c>
      <c r="Q156" s="193">
        <f t="shared" si="16"/>
        <v>12</v>
      </c>
      <c r="R156" s="225">
        <v>527639.0</v>
      </c>
      <c r="S156" s="223">
        <v>2.0</v>
      </c>
      <c r="T156" s="214"/>
      <c r="U156" s="214"/>
      <c r="V156" s="214"/>
      <c r="W156" s="214"/>
      <c r="X156" s="214"/>
      <c r="Y156" s="214"/>
      <c r="Z156" s="214"/>
    </row>
    <row r="157" ht="15.75" customHeight="1">
      <c r="A157" s="215">
        <v>45999.0</v>
      </c>
      <c r="B157" s="221">
        <f t="shared" si="14"/>
        <v>2681166</v>
      </c>
      <c r="C157" s="220">
        <f t="shared" si="15"/>
        <v>4</v>
      </c>
      <c r="D157" s="222">
        <v>646511.33</v>
      </c>
      <c r="E157" s="223">
        <v>111.0</v>
      </c>
      <c r="F157" s="223">
        <v>102.0</v>
      </c>
      <c r="G157" s="224">
        <v>0.0541</v>
      </c>
      <c r="H157" s="223">
        <v>2.0</v>
      </c>
      <c r="I157" s="225">
        <v>1197902.0</v>
      </c>
      <c r="J157" s="223">
        <v>0.0</v>
      </c>
      <c r="K157" s="223">
        <v>0.0</v>
      </c>
      <c r="L157" s="223">
        <v>4.0</v>
      </c>
      <c r="M157" s="223">
        <v>3.0</v>
      </c>
      <c r="N157" s="223">
        <v>1.0</v>
      </c>
      <c r="O157" s="223">
        <v>7.0</v>
      </c>
      <c r="P157" s="224">
        <v>0.25</v>
      </c>
      <c r="Q157" s="193">
        <f t="shared" si="16"/>
        <v>12</v>
      </c>
      <c r="R157" s="225">
        <v>3879068.0</v>
      </c>
      <c r="S157" s="223">
        <v>6.0</v>
      </c>
      <c r="T157" s="214"/>
      <c r="U157" s="214"/>
      <c r="V157" s="214"/>
      <c r="W157" s="214"/>
      <c r="X157" s="214"/>
      <c r="Y157" s="214"/>
      <c r="Z157" s="214"/>
    </row>
    <row r="158" ht="15.75" customHeight="1">
      <c r="A158" s="215">
        <v>46000.0</v>
      </c>
      <c r="B158" s="221">
        <f t="shared" si="14"/>
        <v>1310644</v>
      </c>
      <c r="C158" s="220">
        <f t="shared" si="15"/>
        <v>3</v>
      </c>
      <c r="D158" s="222">
        <v>436881.33</v>
      </c>
      <c r="E158" s="223">
        <v>100.0</v>
      </c>
      <c r="F158" s="223">
        <v>114.0</v>
      </c>
      <c r="G158" s="224">
        <v>0.03</v>
      </c>
      <c r="H158" s="223">
        <v>0.0</v>
      </c>
      <c r="I158" s="225">
        <v>0.0</v>
      </c>
      <c r="J158" s="223">
        <v>0.0</v>
      </c>
      <c r="K158" s="223">
        <v>0.0</v>
      </c>
      <c r="L158" s="223">
        <v>3.0</v>
      </c>
      <c r="M158" s="223">
        <v>2.0</v>
      </c>
      <c r="N158" s="223">
        <v>1.0</v>
      </c>
      <c r="O158" s="223">
        <v>8.0</v>
      </c>
      <c r="P158" s="224">
        <v>0.0</v>
      </c>
      <c r="Q158" s="193">
        <f t="shared" si="16"/>
        <v>12</v>
      </c>
      <c r="R158" s="225">
        <v>1310644.0</v>
      </c>
      <c r="S158" s="223">
        <v>3.0</v>
      </c>
      <c r="T158" s="214"/>
      <c r="U158" s="214"/>
      <c r="V158" s="214"/>
      <c r="W158" s="214"/>
      <c r="X158" s="214"/>
      <c r="Y158" s="214"/>
      <c r="Z158" s="214"/>
    </row>
    <row r="159" ht="15.75" customHeight="1">
      <c r="A159" s="215">
        <v>46001.0</v>
      </c>
      <c r="B159" s="221">
        <f t="shared" si="14"/>
        <v>4025969</v>
      </c>
      <c r="C159" s="220">
        <f t="shared" si="15"/>
        <v>6</v>
      </c>
      <c r="D159" s="222">
        <v>717066.43</v>
      </c>
      <c r="E159" s="223">
        <v>134.0</v>
      </c>
      <c r="F159" s="223">
        <v>122.0</v>
      </c>
      <c r="G159" s="224">
        <v>0.0522</v>
      </c>
      <c r="H159" s="223">
        <v>1.0</v>
      </c>
      <c r="I159" s="225">
        <v>993496.0</v>
      </c>
      <c r="J159" s="223">
        <v>0.0</v>
      </c>
      <c r="K159" s="223">
        <v>0.0</v>
      </c>
      <c r="L159" s="223">
        <v>7.0</v>
      </c>
      <c r="M159" s="223">
        <v>5.0</v>
      </c>
      <c r="N159" s="223">
        <v>2.0</v>
      </c>
      <c r="O159" s="223">
        <v>11.0</v>
      </c>
      <c r="P159" s="224">
        <v>0.0</v>
      </c>
      <c r="Q159" s="193">
        <f t="shared" si="16"/>
        <v>12</v>
      </c>
      <c r="R159" s="225">
        <v>5019465.0</v>
      </c>
      <c r="S159" s="223">
        <v>7.0</v>
      </c>
      <c r="T159" s="214"/>
      <c r="U159" s="214"/>
      <c r="V159" s="214"/>
      <c r="W159" s="214"/>
      <c r="X159" s="214"/>
      <c r="Y159" s="214"/>
      <c r="Z159" s="214"/>
    </row>
    <row r="160" ht="15.75" customHeight="1">
      <c r="A160" s="215">
        <v>46002.0</v>
      </c>
      <c r="B160" s="221">
        <f t="shared" si="14"/>
        <v>2447749</v>
      </c>
      <c r="C160" s="220">
        <f t="shared" si="15"/>
        <v>4</v>
      </c>
      <c r="D160" s="222">
        <v>633357.8</v>
      </c>
      <c r="E160" s="223">
        <v>156.0</v>
      </c>
      <c r="F160" s="223">
        <v>266.0</v>
      </c>
      <c r="G160" s="224">
        <v>0.0321</v>
      </c>
      <c r="H160" s="223">
        <v>1.0</v>
      </c>
      <c r="I160" s="225">
        <v>719040.0</v>
      </c>
      <c r="J160" s="223">
        <v>0.0</v>
      </c>
      <c r="K160" s="223">
        <v>0.0</v>
      </c>
      <c r="L160" s="223">
        <v>5.0</v>
      </c>
      <c r="M160" s="223">
        <v>2.0</v>
      </c>
      <c r="N160" s="223">
        <v>3.0</v>
      </c>
      <c r="O160" s="223">
        <v>12.0</v>
      </c>
      <c r="P160" s="224">
        <v>0.0</v>
      </c>
      <c r="Q160" s="193">
        <f t="shared" si="16"/>
        <v>12</v>
      </c>
      <c r="R160" s="225">
        <v>3166789.0</v>
      </c>
      <c r="S160" s="223">
        <v>5.0</v>
      </c>
      <c r="T160" s="214"/>
      <c r="U160" s="214"/>
      <c r="V160" s="214"/>
      <c r="W160" s="214"/>
      <c r="X160" s="214"/>
      <c r="Y160" s="214"/>
      <c r="Z160" s="214"/>
    </row>
    <row r="161" ht="15.75" customHeight="1">
      <c r="A161" s="215">
        <v>46003.0</v>
      </c>
      <c r="B161" s="221">
        <f t="shared" si="14"/>
        <v>10021030</v>
      </c>
      <c r="C161" s="220">
        <f t="shared" si="15"/>
        <v>13</v>
      </c>
      <c r="D161" s="222">
        <v>736183.27</v>
      </c>
      <c r="E161" s="223">
        <v>238.0</v>
      </c>
      <c r="F161" s="223">
        <v>229.0</v>
      </c>
      <c r="G161" s="224">
        <v>0.063</v>
      </c>
      <c r="H161" s="223">
        <v>2.0</v>
      </c>
      <c r="I161" s="225">
        <v>1021719.0</v>
      </c>
      <c r="J161" s="223">
        <v>0.0</v>
      </c>
      <c r="K161" s="223">
        <v>0.0</v>
      </c>
      <c r="L161" s="223">
        <v>13.0</v>
      </c>
      <c r="M161" s="223">
        <v>5.0</v>
      </c>
      <c r="N161" s="223">
        <v>8.0</v>
      </c>
      <c r="O161" s="223">
        <v>18.0</v>
      </c>
      <c r="P161" s="224">
        <v>0.1538</v>
      </c>
      <c r="Q161" s="193">
        <f t="shared" si="16"/>
        <v>12</v>
      </c>
      <c r="R161" s="225">
        <v>1.1042749E7</v>
      </c>
      <c r="S161" s="223">
        <v>15.0</v>
      </c>
      <c r="T161" s="214"/>
      <c r="U161" s="214"/>
      <c r="V161" s="214"/>
      <c r="W161" s="214"/>
      <c r="X161" s="214"/>
      <c r="Y161" s="214"/>
      <c r="Z161" s="214"/>
    </row>
    <row r="162" ht="15.75" customHeight="1">
      <c r="A162" s="215">
        <v>46004.0</v>
      </c>
      <c r="B162" s="221">
        <f t="shared" si="14"/>
        <v>4059674</v>
      </c>
      <c r="C162" s="220">
        <f t="shared" si="15"/>
        <v>4</v>
      </c>
      <c r="D162" s="222">
        <v>1014918.5</v>
      </c>
      <c r="E162" s="223">
        <v>110.0</v>
      </c>
      <c r="F162" s="223">
        <v>105.0</v>
      </c>
      <c r="G162" s="224">
        <v>0.0364</v>
      </c>
      <c r="H162" s="223">
        <v>0.0</v>
      </c>
      <c r="I162" s="223">
        <v>0.0</v>
      </c>
      <c r="J162" s="223">
        <v>0.0</v>
      </c>
      <c r="K162" s="223">
        <v>0.0</v>
      </c>
      <c r="L162" s="223">
        <v>4.0</v>
      </c>
      <c r="M162" s="223">
        <v>1.0</v>
      </c>
      <c r="N162" s="223">
        <v>3.0</v>
      </c>
      <c r="O162" s="223">
        <v>16.0</v>
      </c>
      <c r="P162" s="224">
        <v>0.0</v>
      </c>
      <c r="Q162" s="193">
        <f t="shared" si="16"/>
        <v>12</v>
      </c>
      <c r="R162" s="225">
        <v>4059674.0</v>
      </c>
      <c r="S162" s="223">
        <v>4.0</v>
      </c>
      <c r="T162" s="214"/>
      <c r="U162" s="214"/>
      <c r="V162" s="214"/>
      <c r="W162" s="214"/>
      <c r="X162" s="214"/>
      <c r="Y162" s="214"/>
      <c r="Z162" s="214"/>
    </row>
    <row r="163" ht="15.75" customHeight="1">
      <c r="A163" s="215">
        <v>46005.0</v>
      </c>
      <c r="B163" s="221">
        <f t="shared" si="14"/>
        <v>2032418</v>
      </c>
      <c r="C163" s="220">
        <f t="shared" si="15"/>
        <v>3</v>
      </c>
      <c r="D163" s="222">
        <v>677472.67</v>
      </c>
      <c r="E163" s="223">
        <v>128.0</v>
      </c>
      <c r="F163" s="223">
        <v>140.0</v>
      </c>
      <c r="G163" s="224">
        <v>0.0234</v>
      </c>
      <c r="H163" s="223">
        <v>0.0</v>
      </c>
      <c r="I163" s="223">
        <v>0.0</v>
      </c>
      <c r="J163" s="223">
        <v>0.0</v>
      </c>
      <c r="K163" s="223">
        <v>0.0</v>
      </c>
      <c r="L163" s="223">
        <v>3.0</v>
      </c>
      <c r="M163" s="223">
        <v>1.0</v>
      </c>
      <c r="N163" s="223">
        <v>2.0</v>
      </c>
      <c r="O163" s="223">
        <v>10.0</v>
      </c>
      <c r="P163" s="224">
        <v>0.0</v>
      </c>
      <c r="Q163" s="193">
        <f t="shared" si="16"/>
        <v>12</v>
      </c>
      <c r="R163" s="225">
        <v>2032418.0</v>
      </c>
      <c r="S163" s="223">
        <v>3.0</v>
      </c>
      <c r="T163" s="214"/>
      <c r="U163" s="214"/>
      <c r="V163" s="214"/>
      <c r="W163" s="214"/>
      <c r="X163" s="214"/>
      <c r="Y163" s="214"/>
      <c r="Z163" s="214"/>
    </row>
    <row r="164" ht="15.75" customHeight="1">
      <c r="A164" s="215">
        <v>46006.0</v>
      </c>
      <c r="B164" s="221">
        <f t="shared" si="14"/>
        <v>4972281</v>
      </c>
      <c r="C164" s="220">
        <f t="shared" si="15"/>
        <v>7</v>
      </c>
      <c r="D164" s="222">
        <v>604386.67</v>
      </c>
      <c r="E164" s="223">
        <v>171.0</v>
      </c>
      <c r="F164" s="223">
        <v>119.0</v>
      </c>
      <c r="G164" s="224">
        <v>0.0526</v>
      </c>
      <c r="H164" s="223">
        <v>2.0</v>
      </c>
      <c r="I164" s="225">
        <v>467199.0</v>
      </c>
      <c r="J164" s="223">
        <v>0.0</v>
      </c>
      <c r="K164" s="223">
        <v>0.0</v>
      </c>
      <c r="L164" s="223">
        <v>7.0</v>
      </c>
      <c r="M164" s="223">
        <v>5.0</v>
      </c>
      <c r="N164" s="223">
        <v>2.0</v>
      </c>
      <c r="O164" s="223">
        <v>12.0</v>
      </c>
      <c r="P164" s="224">
        <v>0.2857</v>
      </c>
      <c r="Q164" s="193">
        <f t="shared" si="16"/>
        <v>12</v>
      </c>
      <c r="R164" s="225">
        <v>5439480.0</v>
      </c>
      <c r="S164" s="223">
        <v>9.0</v>
      </c>
      <c r="T164" s="214"/>
      <c r="U164" s="214"/>
      <c r="V164" s="214"/>
      <c r="W164" s="214"/>
      <c r="X164" s="214"/>
      <c r="Y164" s="214"/>
      <c r="Z164" s="214"/>
    </row>
    <row r="165" ht="15.75" customHeight="1">
      <c r="A165" s="215">
        <v>46007.0</v>
      </c>
      <c r="B165" s="221">
        <f t="shared" si="14"/>
        <v>988211</v>
      </c>
      <c r="C165" s="220">
        <f t="shared" si="15"/>
        <v>2</v>
      </c>
      <c r="D165" s="222">
        <v>412403.67</v>
      </c>
      <c r="E165" s="223">
        <v>84.0</v>
      </c>
      <c r="F165" s="223">
        <v>169.0</v>
      </c>
      <c r="G165" s="224">
        <v>0.0357</v>
      </c>
      <c r="H165" s="223">
        <v>1.0</v>
      </c>
      <c r="I165" s="225">
        <v>249000.0</v>
      </c>
      <c r="J165" s="223">
        <v>0.0</v>
      </c>
      <c r="K165" s="223">
        <v>0.0</v>
      </c>
      <c r="L165" s="223">
        <v>3.0</v>
      </c>
      <c r="M165" s="223">
        <v>1.0</v>
      </c>
      <c r="N165" s="223">
        <v>2.0</v>
      </c>
      <c r="O165" s="223">
        <v>10.0</v>
      </c>
      <c r="P165" s="224">
        <v>0.0</v>
      </c>
      <c r="Q165" s="193">
        <f t="shared" si="16"/>
        <v>12</v>
      </c>
      <c r="R165" s="225">
        <v>1237211.0</v>
      </c>
      <c r="S165" s="223">
        <v>3.0</v>
      </c>
      <c r="T165" s="214"/>
      <c r="U165" s="214"/>
      <c r="V165" s="214"/>
      <c r="W165" s="214"/>
      <c r="X165" s="214"/>
      <c r="Y165" s="214"/>
      <c r="Z165" s="214"/>
    </row>
    <row r="166" ht="15.75" customHeight="1">
      <c r="A166" s="215">
        <v>46008.0</v>
      </c>
      <c r="B166" s="221">
        <f t="shared" si="14"/>
        <v>1511060</v>
      </c>
      <c r="C166" s="220">
        <f t="shared" si="15"/>
        <v>2</v>
      </c>
      <c r="D166" s="222">
        <v>755530.0</v>
      </c>
      <c r="E166" s="223">
        <v>76.0</v>
      </c>
      <c r="F166" s="223">
        <v>107.0</v>
      </c>
      <c r="G166" s="224">
        <v>0.0263</v>
      </c>
      <c r="H166" s="223">
        <v>0.0</v>
      </c>
      <c r="I166" s="223">
        <v>0.0</v>
      </c>
      <c r="J166" s="223">
        <v>0.0</v>
      </c>
      <c r="K166" s="223">
        <v>0.0</v>
      </c>
      <c r="L166" s="223">
        <v>2.0</v>
      </c>
      <c r="M166" s="223">
        <v>2.0</v>
      </c>
      <c r="N166" s="223">
        <v>0.0</v>
      </c>
      <c r="O166" s="223">
        <v>6.0</v>
      </c>
      <c r="P166" s="224">
        <v>0.0</v>
      </c>
      <c r="Q166" s="193">
        <f t="shared" si="16"/>
        <v>12</v>
      </c>
      <c r="R166" s="225">
        <v>1511060.0</v>
      </c>
      <c r="S166" s="223">
        <v>2.0</v>
      </c>
      <c r="T166" s="214"/>
      <c r="U166" s="214"/>
      <c r="V166" s="214"/>
      <c r="W166" s="214"/>
      <c r="X166" s="214"/>
      <c r="Y166" s="214"/>
      <c r="Z166" s="214"/>
    </row>
    <row r="167" ht="15.75" customHeight="1">
      <c r="A167" s="215">
        <v>46009.0</v>
      </c>
      <c r="B167" s="221">
        <f t="shared" si="14"/>
        <v>0</v>
      </c>
      <c r="C167" s="220">
        <f t="shared" si="15"/>
        <v>0</v>
      </c>
      <c r="D167" s="222">
        <v>0.0</v>
      </c>
      <c r="E167" s="223">
        <v>80.0</v>
      </c>
      <c r="F167" s="223">
        <v>104.0</v>
      </c>
      <c r="G167" s="224">
        <v>0.0</v>
      </c>
      <c r="H167" s="223">
        <v>0.0</v>
      </c>
      <c r="I167" s="225">
        <v>0.0</v>
      </c>
      <c r="J167" s="223">
        <v>0.0</v>
      </c>
      <c r="K167" s="223">
        <v>0.0</v>
      </c>
      <c r="L167" s="223">
        <v>0.0</v>
      </c>
      <c r="M167" s="223">
        <v>0.0</v>
      </c>
      <c r="N167" s="223">
        <v>0.0</v>
      </c>
      <c r="O167" s="223">
        <v>4.0</v>
      </c>
      <c r="P167" s="224">
        <v>0.0</v>
      </c>
      <c r="Q167" s="193">
        <f t="shared" si="16"/>
        <v>12</v>
      </c>
      <c r="R167" s="225">
        <v>0.0</v>
      </c>
      <c r="S167" s="223">
        <v>0.0</v>
      </c>
      <c r="T167" s="214"/>
      <c r="U167" s="214"/>
      <c r="V167" s="214"/>
      <c r="W167" s="214"/>
      <c r="X167" s="214"/>
      <c r="Y167" s="214"/>
      <c r="Z167" s="214"/>
    </row>
    <row r="168" ht="15.75" customHeight="1">
      <c r="A168" s="215">
        <v>46010.0</v>
      </c>
      <c r="B168" s="221">
        <f t="shared" si="14"/>
        <v>4253338</v>
      </c>
      <c r="C168" s="220">
        <f t="shared" si="15"/>
        <v>5</v>
      </c>
      <c r="D168" s="222">
        <v>782739.14</v>
      </c>
      <c r="E168" s="223">
        <v>91.0</v>
      </c>
      <c r="F168" s="223">
        <v>99.0</v>
      </c>
      <c r="G168" s="224">
        <v>0.0769</v>
      </c>
      <c r="H168" s="223">
        <v>2.0</v>
      </c>
      <c r="I168" s="225">
        <v>1225836.0</v>
      </c>
      <c r="J168" s="223">
        <v>0.0</v>
      </c>
      <c r="K168" s="223">
        <v>0.0</v>
      </c>
      <c r="L168" s="223">
        <v>6.0</v>
      </c>
      <c r="M168" s="223">
        <v>4.0</v>
      </c>
      <c r="N168" s="223">
        <v>2.0</v>
      </c>
      <c r="O168" s="223">
        <v>4.0</v>
      </c>
      <c r="P168" s="224">
        <v>0.1667</v>
      </c>
      <c r="Q168" s="193">
        <f t="shared" si="16"/>
        <v>12</v>
      </c>
      <c r="R168" s="225">
        <v>5479174.0</v>
      </c>
      <c r="S168" s="223">
        <v>7.0</v>
      </c>
      <c r="T168" s="214"/>
      <c r="U168" s="214"/>
      <c r="V168" s="214"/>
      <c r="W168" s="214"/>
      <c r="X168" s="214"/>
      <c r="Y168" s="214"/>
      <c r="Z168" s="214"/>
    </row>
    <row r="169" ht="15.75" customHeight="1">
      <c r="A169" s="215">
        <v>46011.0</v>
      </c>
      <c r="B169" s="221">
        <f t="shared" si="14"/>
        <v>4469398</v>
      </c>
      <c r="C169" s="220">
        <f t="shared" si="15"/>
        <v>8</v>
      </c>
      <c r="D169" s="222">
        <v>584379.67</v>
      </c>
      <c r="E169" s="223">
        <v>108.0</v>
      </c>
      <c r="F169" s="223">
        <v>100.0</v>
      </c>
      <c r="G169" s="224">
        <v>0.0833</v>
      </c>
      <c r="H169" s="223">
        <v>1.0</v>
      </c>
      <c r="I169" s="225">
        <v>790019.0</v>
      </c>
      <c r="J169" s="223">
        <v>0.0</v>
      </c>
      <c r="K169" s="223">
        <v>0.0</v>
      </c>
      <c r="L169" s="223">
        <v>8.0</v>
      </c>
      <c r="M169" s="223">
        <v>3.0</v>
      </c>
      <c r="N169" s="223">
        <v>5.0</v>
      </c>
      <c r="O169" s="223">
        <v>9.0</v>
      </c>
      <c r="P169" s="224">
        <v>0.125</v>
      </c>
      <c r="Q169" s="193">
        <f t="shared" si="16"/>
        <v>12</v>
      </c>
      <c r="R169" s="225">
        <v>5259417.0</v>
      </c>
      <c r="S169" s="223">
        <v>9.0</v>
      </c>
      <c r="T169" s="214"/>
      <c r="U169" s="214"/>
      <c r="V169" s="214"/>
      <c r="W169" s="214"/>
      <c r="X169" s="214"/>
      <c r="Y169" s="214"/>
      <c r="Z169" s="214"/>
    </row>
    <row r="170" ht="15.75" customHeight="1">
      <c r="A170" s="215">
        <v>46012.0</v>
      </c>
      <c r="B170" s="221">
        <f t="shared" si="14"/>
        <v>408999</v>
      </c>
      <c r="C170" s="220">
        <f t="shared" si="15"/>
        <v>1</v>
      </c>
      <c r="D170" s="222">
        <v>408999.0</v>
      </c>
      <c r="E170" s="223">
        <v>97.0</v>
      </c>
      <c r="F170" s="223">
        <v>94.0</v>
      </c>
      <c r="G170" s="224">
        <v>0.0103</v>
      </c>
      <c r="H170" s="223">
        <v>0.0</v>
      </c>
      <c r="I170" s="223">
        <v>0.0</v>
      </c>
      <c r="J170" s="223">
        <v>0.0</v>
      </c>
      <c r="K170" s="223">
        <v>0.0</v>
      </c>
      <c r="L170" s="223">
        <v>1.0</v>
      </c>
      <c r="M170" s="223">
        <v>1.0</v>
      </c>
      <c r="N170" s="223">
        <v>0.0</v>
      </c>
      <c r="O170" s="223">
        <v>6.0</v>
      </c>
      <c r="P170" s="224">
        <v>0.0</v>
      </c>
      <c r="Q170" s="193">
        <f t="shared" si="16"/>
        <v>12</v>
      </c>
      <c r="R170" s="225">
        <v>408999.0</v>
      </c>
      <c r="S170" s="223">
        <v>1.0</v>
      </c>
      <c r="T170" s="214"/>
      <c r="U170" s="214"/>
      <c r="V170" s="214"/>
      <c r="W170" s="214"/>
      <c r="X170" s="214"/>
      <c r="Y170" s="214"/>
      <c r="Z170" s="214"/>
    </row>
    <row r="171" ht="15.75" customHeight="1">
      <c r="A171" s="215">
        <v>46013.0</v>
      </c>
      <c r="B171" s="221">
        <f t="shared" si="14"/>
        <v>1077979</v>
      </c>
      <c r="C171" s="220">
        <f t="shared" si="15"/>
        <v>2</v>
      </c>
      <c r="D171" s="222">
        <v>538989.5</v>
      </c>
      <c r="E171" s="223">
        <v>115.0</v>
      </c>
      <c r="F171" s="223">
        <v>139.0</v>
      </c>
      <c r="G171" s="224">
        <v>0.0174</v>
      </c>
      <c r="H171" s="223">
        <v>0.0</v>
      </c>
      <c r="I171" s="223">
        <v>0.0</v>
      </c>
      <c r="J171" s="223">
        <v>0.0</v>
      </c>
      <c r="K171" s="223">
        <v>0.0</v>
      </c>
      <c r="L171" s="223">
        <v>2.0</v>
      </c>
      <c r="M171" s="223">
        <v>1.0</v>
      </c>
      <c r="N171" s="223">
        <v>1.0</v>
      </c>
      <c r="O171" s="223">
        <v>7.0</v>
      </c>
      <c r="P171" s="224">
        <v>0.0</v>
      </c>
      <c r="Q171" s="193">
        <f t="shared" si="16"/>
        <v>12</v>
      </c>
      <c r="R171" s="225">
        <v>1077979.0</v>
      </c>
      <c r="S171" s="223">
        <v>2.0</v>
      </c>
      <c r="T171" s="214"/>
      <c r="U171" s="214"/>
      <c r="V171" s="214"/>
      <c r="W171" s="214"/>
      <c r="X171" s="214"/>
      <c r="Y171" s="214"/>
      <c r="Z171" s="214"/>
    </row>
    <row r="172" ht="15.75" customHeight="1">
      <c r="A172" s="215">
        <v>46014.0</v>
      </c>
      <c r="B172" s="221">
        <f t="shared" si="14"/>
        <v>1769694</v>
      </c>
      <c r="C172" s="220">
        <f t="shared" si="15"/>
        <v>3</v>
      </c>
      <c r="D172" s="222">
        <v>589898.0</v>
      </c>
      <c r="E172" s="223">
        <v>138.0</v>
      </c>
      <c r="F172" s="223">
        <v>155.0</v>
      </c>
      <c r="G172" s="224">
        <v>0.0217</v>
      </c>
      <c r="H172" s="223">
        <v>0.0</v>
      </c>
      <c r="I172" s="225">
        <v>0.0</v>
      </c>
      <c r="J172" s="223">
        <v>0.0</v>
      </c>
      <c r="K172" s="223">
        <v>0.0</v>
      </c>
      <c r="L172" s="223">
        <v>3.0</v>
      </c>
      <c r="M172" s="223">
        <v>1.0</v>
      </c>
      <c r="N172" s="223">
        <v>2.0</v>
      </c>
      <c r="O172" s="223">
        <v>7.0</v>
      </c>
      <c r="P172" s="224">
        <v>0.0</v>
      </c>
      <c r="Q172" s="193">
        <f t="shared" si="16"/>
        <v>12</v>
      </c>
      <c r="R172" s="225">
        <v>1769694.0</v>
      </c>
      <c r="S172" s="223">
        <v>3.0</v>
      </c>
      <c r="T172" s="214"/>
      <c r="U172" s="214"/>
      <c r="V172" s="214"/>
      <c r="W172" s="214"/>
      <c r="X172" s="214"/>
      <c r="Y172" s="214"/>
      <c r="Z172" s="214"/>
    </row>
    <row r="173" ht="15.75" customHeight="1">
      <c r="A173" s="215">
        <v>46015.0</v>
      </c>
      <c r="B173" s="221">
        <f t="shared" si="14"/>
        <v>447919</v>
      </c>
      <c r="C173" s="220">
        <f t="shared" si="15"/>
        <v>1</v>
      </c>
      <c r="D173" s="222">
        <v>741759.5</v>
      </c>
      <c r="E173" s="223">
        <v>108.0</v>
      </c>
      <c r="F173" s="223">
        <v>162.0</v>
      </c>
      <c r="G173" s="224">
        <v>0.0185</v>
      </c>
      <c r="H173" s="223">
        <v>1.0</v>
      </c>
      <c r="I173" s="225">
        <v>1035600.0</v>
      </c>
      <c r="J173" s="223">
        <v>0.0</v>
      </c>
      <c r="K173" s="223">
        <v>0.0</v>
      </c>
      <c r="L173" s="223">
        <v>2.0</v>
      </c>
      <c r="M173" s="223">
        <v>2.0</v>
      </c>
      <c r="N173" s="223">
        <v>0.0</v>
      </c>
      <c r="O173" s="223">
        <v>10.0</v>
      </c>
      <c r="P173" s="224">
        <v>0.0</v>
      </c>
      <c r="Q173" s="193">
        <f t="shared" si="16"/>
        <v>12</v>
      </c>
      <c r="R173" s="225">
        <v>1483519.0</v>
      </c>
      <c r="S173" s="223">
        <v>2.0</v>
      </c>
      <c r="T173" s="214"/>
      <c r="U173" s="214"/>
      <c r="V173" s="214"/>
      <c r="W173" s="214"/>
      <c r="X173" s="214"/>
      <c r="Y173" s="214"/>
      <c r="Z173" s="214"/>
    </row>
    <row r="174" ht="15.75" customHeight="1">
      <c r="A174" s="215">
        <v>46016.0</v>
      </c>
      <c r="B174" s="221">
        <f t="shared" si="14"/>
        <v>5886255</v>
      </c>
      <c r="C174" s="220">
        <f t="shared" si="15"/>
        <v>5</v>
      </c>
      <c r="D174" s="222">
        <v>1177251.0</v>
      </c>
      <c r="E174" s="223">
        <v>133.0</v>
      </c>
      <c r="F174" s="223">
        <v>107.0</v>
      </c>
      <c r="G174" s="224">
        <v>0.0376</v>
      </c>
      <c r="H174" s="223">
        <v>0.0</v>
      </c>
      <c r="I174" s="223">
        <v>0.0</v>
      </c>
      <c r="J174" s="223">
        <v>0.0</v>
      </c>
      <c r="K174" s="223">
        <v>0.0</v>
      </c>
      <c r="L174" s="223">
        <v>5.0</v>
      </c>
      <c r="M174" s="223">
        <v>1.0</v>
      </c>
      <c r="N174" s="223">
        <v>4.0</v>
      </c>
      <c r="O174" s="223">
        <v>8.0</v>
      </c>
      <c r="P174" s="224">
        <v>0.0</v>
      </c>
      <c r="Q174" s="193">
        <f t="shared" si="16"/>
        <v>12</v>
      </c>
      <c r="R174" s="225">
        <v>5886255.0</v>
      </c>
      <c r="S174" s="223">
        <v>5.0</v>
      </c>
      <c r="T174" s="214"/>
      <c r="U174" s="214"/>
      <c r="V174" s="214"/>
      <c r="W174" s="214"/>
      <c r="X174" s="214"/>
      <c r="Y174" s="214"/>
      <c r="Z174" s="214"/>
    </row>
    <row r="175" ht="15.75" customHeight="1">
      <c r="A175" s="215">
        <v>46017.0</v>
      </c>
      <c r="B175" s="221">
        <f t="shared" si="14"/>
        <v>0</v>
      </c>
      <c r="C175" s="220">
        <f t="shared" si="15"/>
        <v>0</v>
      </c>
      <c r="D175" s="222">
        <v>0.0</v>
      </c>
      <c r="E175" s="223">
        <v>94.0</v>
      </c>
      <c r="F175" s="223">
        <v>111.0</v>
      </c>
      <c r="G175" s="224">
        <v>0.0</v>
      </c>
      <c r="H175" s="223">
        <v>0.0</v>
      </c>
      <c r="I175" s="223">
        <v>0.0</v>
      </c>
      <c r="J175" s="223">
        <v>0.0</v>
      </c>
      <c r="K175" s="223">
        <v>0.0</v>
      </c>
      <c r="L175" s="223">
        <v>0.0</v>
      </c>
      <c r="M175" s="223">
        <v>0.0</v>
      </c>
      <c r="N175" s="223">
        <v>0.0</v>
      </c>
      <c r="O175" s="223">
        <v>3.0</v>
      </c>
      <c r="P175" s="224">
        <v>0.0</v>
      </c>
      <c r="Q175" s="193">
        <f t="shared" si="16"/>
        <v>12</v>
      </c>
      <c r="R175" s="225">
        <v>0.0</v>
      </c>
      <c r="S175" s="223">
        <v>0.0</v>
      </c>
      <c r="T175" s="214"/>
      <c r="U175" s="214"/>
      <c r="V175" s="214"/>
      <c r="W175" s="214"/>
      <c r="X175" s="214"/>
      <c r="Y175" s="214"/>
      <c r="Z175" s="214"/>
    </row>
    <row r="176" ht="15.75" customHeight="1">
      <c r="A176" s="215">
        <v>46018.0</v>
      </c>
      <c r="B176" s="221">
        <f t="shared" si="14"/>
        <v>164900</v>
      </c>
      <c r="C176" s="220">
        <f t="shared" si="15"/>
        <v>2</v>
      </c>
      <c r="D176" s="222">
        <v>82450.0</v>
      </c>
      <c r="E176" s="223">
        <v>89.0</v>
      </c>
      <c r="F176" s="223">
        <v>101.0</v>
      </c>
      <c r="G176" s="224">
        <v>0.0225</v>
      </c>
      <c r="H176" s="223">
        <v>0.0</v>
      </c>
      <c r="I176" s="223">
        <v>0.0</v>
      </c>
      <c r="J176" s="223">
        <v>0.0</v>
      </c>
      <c r="K176" s="223">
        <v>0.0</v>
      </c>
      <c r="L176" s="223">
        <v>2.0</v>
      </c>
      <c r="M176" s="223">
        <v>1.0</v>
      </c>
      <c r="N176" s="223">
        <v>1.0</v>
      </c>
      <c r="O176" s="223">
        <v>7.0</v>
      </c>
      <c r="P176" s="224">
        <v>0.0</v>
      </c>
      <c r="Q176" s="193">
        <f t="shared" si="16"/>
        <v>12</v>
      </c>
      <c r="R176" s="225">
        <v>164900.0</v>
      </c>
      <c r="S176" s="223">
        <v>2.0</v>
      </c>
      <c r="T176" s="214"/>
      <c r="U176" s="214"/>
      <c r="V176" s="214"/>
      <c r="W176" s="214"/>
      <c r="X176" s="214"/>
      <c r="Y176" s="214"/>
      <c r="Z176" s="214"/>
    </row>
    <row r="177" ht="15.75" customHeight="1">
      <c r="A177" s="215">
        <v>46019.0</v>
      </c>
      <c r="B177" s="221">
        <f t="shared" si="14"/>
        <v>1473038</v>
      </c>
      <c r="C177" s="220">
        <f t="shared" si="15"/>
        <v>2</v>
      </c>
      <c r="D177" s="222">
        <v>716545.67</v>
      </c>
      <c r="E177" s="223">
        <v>91.0</v>
      </c>
      <c r="F177" s="223">
        <v>93.0</v>
      </c>
      <c r="G177" s="224">
        <v>0.033</v>
      </c>
      <c r="H177" s="223">
        <v>1.0</v>
      </c>
      <c r="I177" s="225">
        <v>676599.0</v>
      </c>
      <c r="J177" s="223">
        <v>0.0</v>
      </c>
      <c r="K177" s="223">
        <v>0.0</v>
      </c>
      <c r="L177" s="223">
        <v>2.0</v>
      </c>
      <c r="M177" s="223">
        <v>0.0</v>
      </c>
      <c r="N177" s="223">
        <v>2.0</v>
      </c>
      <c r="O177" s="223">
        <v>4.0</v>
      </c>
      <c r="P177" s="224">
        <v>0.5</v>
      </c>
      <c r="Q177" s="193">
        <f t="shared" si="16"/>
        <v>12</v>
      </c>
      <c r="R177" s="225">
        <v>2149637.0</v>
      </c>
      <c r="S177" s="223">
        <v>3.0</v>
      </c>
      <c r="T177" s="214"/>
      <c r="U177" s="214"/>
      <c r="V177" s="214"/>
      <c r="W177" s="214"/>
      <c r="X177" s="214"/>
      <c r="Y177" s="214"/>
      <c r="Z177" s="214"/>
    </row>
    <row r="178" ht="15.75" customHeight="1">
      <c r="A178" s="215">
        <v>46020.0</v>
      </c>
      <c r="B178" s="221">
        <f t="shared" si="14"/>
        <v>800872</v>
      </c>
      <c r="C178" s="220">
        <f t="shared" si="15"/>
        <v>2</v>
      </c>
      <c r="D178" s="222">
        <v>400436.0</v>
      </c>
      <c r="E178" s="223">
        <v>98.0</v>
      </c>
      <c r="F178" s="223">
        <v>102.0</v>
      </c>
      <c r="G178" s="224">
        <v>0.0204</v>
      </c>
      <c r="H178" s="223">
        <v>0.0</v>
      </c>
      <c r="I178" s="223">
        <v>0.0</v>
      </c>
      <c r="J178" s="223">
        <v>0.0</v>
      </c>
      <c r="K178" s="223">
        <v>0.0</v>
      </c>
      <c r="L178" s="223">
        <v>2.0</v>
      </c>
      <c r="M178" s="223">
        <v>0.0</v>
      </c>
      <c r="N178" s="223">
        <v>2.0</v>
      </c>
      <c r="O178" s="223">
        <v>3.0</v>
      </c>
      <c r="P178" s="224">
        <v>0.0</v>
      </c>
      <c r="Q178" s="193">
        <f t="shared" si="16"/>
        <v>12</v>
      </c>
      <c r="R178" s="225">
        <v>800872.0</v>
      </c>
      <c r="S178" s="223">
        <v>2.0</v>
      </c>
      <c r="T178" s="214"/>
      <c r="U178" s="214"/>
      <c r="V178" s="214"/>
      <c r="W178" s="214"/>
      <c r="X178" s="214"/>
      <c r="Y178" s="214"/>
      <c r="Z178" s="214"/>
    </row>
    <row r="179" ht="15.75" customHeight="1">
      <c r="A179" s="215">
        <v>46021.0</v>
      </c>
      <c r="B179" s="221">
        <f t="shared" si="14"/>
        <v>1287804</v>
      </c>
      <c r="C179" s="220">
        <f t="shared" si="15"/>
        <v>1</v>
      </c>
      <c r="D179" s="222">
        <v>1287804.0</v>
      </c>
      <c r="E179" s="223">
        <v>101.0</v>
      </c>
      <c r="F179" s="223">
        <v>94.0</v>
      </c>
      <c r="G179" s="224">
        <v>0.0099</v>
      </c>
      <c r="H179" s="223">
        <v>0.0</v>
      </c>
      <c r="I179" s="225">
        <v>0.0</v>
      </c>
      <c r="J179" s="223">
        <v>0.0</v>
      </c>
      <c r="K179" s="223">
        <v>0.0</v>
      </c>
      <c r="L179" s="223">
        <v>1.0</v>
      </c>
      <c r="M179" s="223">
        <v>1.0</v>
      </c>
      <c r="N179" s="223">
        <v>0.0</v>
      </c>
      <c r="O179" s="223">
        <v>10.0</v>
      </c>
      <c r="P179" s="224">
        <v>0.0</v>
      </c>
      <c r="Q179" s="193">
        <f t="shared" si="16"/>
        <v>12</v>
      </c>
      <c r="R179" s="225">
        <v>1287804.0</v>
      </c>
      <c r="S179" s="223">
        <v>1.0</v>
      </c>
      <c r="T179" s="214"/>
      <c r="U179" s="214"/>
      <c r="V179" s="214"/>
      <c r="W179" s="214"/>
      <c r="X179" s="214"/>
      <c r="Y179" s="214"/>
      <c r="Z179" s="214"/>
    </row>
    <row r="180" ht="15.75" customHeight="1">
      <c r="A180" s="215">
        <v>46022.0</v>
      </c>
      <c r="B180" s="221">
        <f t="shared" si="14"/>
        <v>3835932</v>
      </c>
      <c r="C180" s="220">
        <f t="shared" si="15"/>
        <v>6</v>
      </c>
      <c r="D180" s="222">
        <v>639322.0</v>
      </c>
      <c r="E180" s="223">
        <v>93.0</v>
      </c>
      <c r="F180" s="223">
        <v>132.0</v>
      </c>
      <c r="G180" s="224">
        <v>0.0645</v>
      </c>
      <c r="H180" s="223">
        <v>0.0</v>
      </c>
      <c r="I180" s="223">
        <v>0.0</v>
      </c>
      <c r="J180" s="223">
        <v>0.0</v>
      </c>
      <c r="K180" s="223">
        <v>0.0</v>
      </c>
      <c r="L180" s="223">
        <v>6.0</v>
      </c>
      <c r="M180" s="223">
        <v>1.0</v>
      </c>
      <c r="N180" s="223">
        <v>5.0</v>
      </c>
      <c r="O180" s="223">
        <v>3.0</v>
      </c>
      <c r="P180" s="224">
        <v>0.0</v>
      </c>
      <c r="Q180" s="156"/>
      <c r="R180" s="225">
        <v>3835932.0</v>
      </c>
      <c r="S180" s="223">
        <v>6.0</v>
      </c>
      <c r="T180" s="214"/>
      <c r="U180" s="214"/>
      <c r="V180" s="214"/>
      <c r="W180" s="214"/>
      <c r="X180" s="214"/>
      <c r="Y180" s="214"/>
      <c r="Z180" s="214"/>
    </row>
    <row r="181" ht="15.75" customHeight="1">
      <c r="A181" s="214"/>
      <c r="B181" s="214"/>
      <c r="C181" s="214"/>
      <c r="D181" s="214"/>
      <c r="E181" s="214"/>
      <c r="F181" s="214"/>
      <c r="G181" s="214"/>
      <c r="H181" s="214"/>
      <c r="I181" s="214"/>
      <c r="J181" s="214"/>
      <c r="K181" s="214"/>
      <c r="L181" s="214"/>
      <c r="M181" s="214"/>
      <c r="N181" s="214"/>
      <c r="O181" s="214"/>
      <c r="P181" s="214"/>
      <c r="Q181" s="156"/>
      <c r="R181" s="214"/>
      <c r="S181" s="214"/>
      <c r="T181" s="214"/>
      <c r="U181" s="214"/>
      <c r="V181" s="214"/>
      <c r="W181" s="214"/>
      <c r="X181" s="214"/>
      <c r="Y181" s="214"/>
      <c r="Z181" s="214"/>
    </row>
    <row r="182" ht="15.75" customHeight="1">
      <c r="A182" s="214"/>
      <c r="B182" s="214"/>
      <c r="C182" s="214"/>
      <c r="D182" s="214"/>
      <c r="E182" s="214"/>
      <c r="F182" s="214"/>
      <c r="G182" s="214"/>
      <c r="H182" s="214"/>
      <c r="I182" s="214"/>
      <c r="J182" s="214"/>
      <c r="K182" s="214"/>
      <c r="L182" s="214"/>
      <c r="M182" s="214"/>
      <c r="N182" s="214"/>
      <c r="O182" s="214"/>
      <c r="P182" s="214"/>
      <c r="Q182" s="156"/>
      <c r="R182" s="214"/>
      <c r="S182" s="214"/>
      <c r="T182" s="214"/>
      <c r="U182" s="214"/>
      <c r="V182" s="214"/>
      <c r="W182" s="214"/>
      <c r="X182" s="214"/>
      <c r="Y182" s="214"/>
      <c r="Z182" s="214"/>
    </row>
    <row r="183" ht="15.75" customHeight="1">
      <c r="A183" s="191" t="s">
        <v>33</v>
      </c>
      <c r="B183" s="192" t="s">
        <v>669</v>
      </c>
      <c r="C183" s="192" t="s">
        <v>670</v>
      </c>
      <c r="D183" s="192" t="s">
        <v>671</v>
      </c>
      <c r="E183" s="192" t="s">
        <v>672</v>
      </c>
      <c r="F183" s="192" t="s">
        <v>673</v>
      </c>
      <c r="G183" s="192" t="s">
        <v>674</v>
      </c>
      <c r="H183" s="192" t="s">
        <v>37</v>
      </c>
      <c r="I183" s="192" t="s">
        <v>38</v>
      </c>
      <c r="J183" s="192" t="s">
        <v>39</v>
      </c>
      <c r="K183" s="192" t="s">
        <v>675</v>
      </c>
      <c r="L183" s="192" t="s">
        <v>676</v>
      </c>
      <c r="M183" s="192" t="s">
        <v>677</v>
      </c>
      <c r="N183" s="192" t="s">
        <v>678</v>
      </c>
      <c r="O183" s="192" t="s">
        <v>679</v>
      </c>
      <c r="P183" s="192" t="s">
        <v>680</v>
      </c>
      <c r="Q183" s="193"/>
      <c r="R183" s="214"/>
      <c r="S183" s="214"/>
      <c r="T183" s="214"/>
      <c r="U183" s="214"/>
      <c r="V183" s="214"/>
      <c r="W183" s="214"/>
      <c r="X183" s="214"/>
      <c r="Y183" s="214"/>
      <c r="Z183" s="214"/>
    </row>
    <row r="184" ht="15.75" customHeight="1">
      <c r="A184" s="194"/>
      <c r="B184" s="195">
        <f t="shared" ref="B184:P184" si="17">SUM(B187:B220)</f>
        <v>81766141</v>
      </c>
      <c r="C184" s="195">
        <f t="shared" si="17"/>
        <v>102</v>
      </c>
      <c r="D184" s="195">
        <f t="shared" si="17"/>
        <v>24448079.44</v>
      </c>
      <c r="E184" s="195">
        <f t="shared" si="17"/>
        <v>3363</v>
      </c>
      <c r="F184" s="195">
        <f t="shared" si="17"/>
        <v>16122</v>
      </c>
      <c r="G184" s="198">
        <f t="shared" si="17"/>
        <v>1.1128</v>
      </c>
      <c r="H184" s="195">
        <f t="shared" si="17"/>
        <v>21</v>
      </c>
      <c r="I184" s="195">
        <f t="shared" si="17"/>
        <v>26305436</v>
      </c>
      <c r="J184" s="195">
        <f t="shared" si="17"/>
        <v>0</v>
      </c>
      <c r="K184" s="195">
        <f t="shared" si="17"/>
        <v>0</v>
      </c>
      <c r="L184" s="195">
        <f t="shared" si="17"/>
        <v>110</v>
      </c>
      <c r="M184" s="195">
        <f t="shared" si="17"/>
        <v>69</v>
      </c>
      <c r="N184" s="195">
        <f t="shared" si="17"/>
        <v>41</v>
      </c>
      <c r="O184" s="195">
        <f t="shared" si="17"/>
        <v>291</v>
      </c>
      <c r="P184" s="198">
        <f t="shared" si="17"/>
        <v>1.7437</v>
      </c>
      <c r="Q184" s="193"/>
      <c r="R184" s="214"/>
      <c r="S184" s="214"/>
      <c r="T184" s="214"/>
      <c r="U184" s="214"/>
      <c r="V184" s="214"/>
      <c r="W184" s="214"/>
      <c r="X184" s="214"/>
      <c r="Y184" s="214"/>
      <c r="Z184" s="214"/>
    </row>
    <row r="185" ht="15.75" customHeight="1">
      <c r="A185" s="214"/>
      <c r="B185" s="214"/>
      <c r="C185" s="214"/>
      <c r="D185" s="214"/>
      <c r="E185" s="214"/>
      <c r="F185" s="214"/>
      <c r="G185" s="214"/>
      <c r="H185" s="214"/>
      <c r="I185" s="214"/>
      <c r="J185" s="214"/>
      <c r="K185" s="214"/>
      <c r="L185" s="214"/>
      <c r="M185" s="214"/>
      <c r="N185" s="214"/>
      <c r="O185" s="214"/>
      <c r="P185" s="214"/>
      <c r="Q185" s="156"/>
      <c r="R185" s="214"/>
      <c r="S185" s="214"/>
      <c r="T185" s="214"/>
      <c r="U185" s="214"/>
      <c r="V185" s="214"/>
      <c r="W185" s="214"/>
      <c r="X185" s="214"/>
      <c r="Y185" s="214"/>
      <c r="Z185" s="214"/>
    </row>
    <row r="186" ht="15.75" customHeight="1">
      <c r="A186" s="109" t="s">
        <v>33</v>
      </c>
      <c r="B186" s="220" t="s">
        <v>669</v>
      </c>
      <c r="C186" s="220" t="s">
        <v>670</v>
      </c>
      <c r="D186" s="109" t="s">
        <v>671</v>
      </c>
      <c r="E186" s="109" t="s">
        <v>685</v>
      </c>
      <c r="F186" s="109" t="s">
        <v>673</v>
      </c>
      <c r="G186" s="109" t="s">
        <v>686</v>
      </c>
      <c r="H186" s="109" t="s">
        <v>37</v>
      </c>
      <c r="I186" s="109" t="s">
        <v>38</v>
      </c>
      <c r="J186" s="109" t="s">
        <v>39</v>
      </c>
      <c r="K186" s="109" t="s">
        <v>675</v>
      </c>
      <c r="L186" s="109" t="s">
        <v>676</v>
      </c>
      <c r="M186" s="109" t="s">
        <v>677</v>
      </c>
      <c r="N186" s="109" t="s">
        <v>678</v>
      </c>
      <c r="O186" s="109" t="s">
        <v>679</v>
      </c>
      <c r="P186" s="109" t="s">
        <v>680</v>
      </c>
      <c r="Q186" s="193" t="s">
        <v>681</v>
      </c>
      <c r="R186" s="214"/>
      <c r="S186" s="214"/>
      <c r="T186" s="214"/>
      <c r="U186" s="214"/>
      <c r="V186" s="214"/>
      <c r="W186" s="214"/>
      <c r="X186" s="214"/>
      <c r="Y186" s="214"/>
      <c r="Z186" s="214"/>
    </row>
    <row r="187" ht="15.75" customHeight="1">
      <c r="A187" s="215">
        <v>46023.0</v>
      </c>
      <c r="B187" s="221">
        <f t="shared" ref="B187:B217" si="18">R187-I187</f>
        <v>4663219</v>
      </c>
      <c r="C187" s="220">
        <f t="shared" ref="C187:C217" si="19">S187-H187</f>
        <v>5</v>
      </c>
      <c r="D187" s="222">
        <v>892259.86</v>
      </c>
      <c r="E187" s="223">
        <v>96.0</v>
      </c>
      <c r="F187" s="223">
        <v>96.0</v>
      </c>
      <c r="G187" s="224">
        <v>0.0729</v>
      </c>
      <c r="H187" s="223">
        <v>2.0</v>
      </c>
      <c r="I187" s="225">
        <v>1582600.0</v>
      </c>
      <c r="J187" s="223">
        <v>0.0</v>
      </c>
      <c r="K187" s="223">
        <v>0.0</v>
      </c>
      <c r="L187" s="223">
        <v>6.0</v>
      </c>
      <c r="M187" s="223">
        <v>5.0</v>
      </c>
      <c r="N187" s="223">
        <v>1.0</v>
      </c>
      <c r="O187" s="223">
        <v>8.0</v>
      </c>
      <c r="P187" s="224">
        <v>0.1667</v>
      </c>
      <c r="Q187" s="193">
        <f t="shared" ref="Q187:Q217" si="20">MONTH(A187)</f>
        <v>1</v>
      </c>
      <c r="R187" s="225">
        <v>6245819.0</v>
      </c>
      <c r="S187" s="223">
        <v>7.0</v>
      </c>
      <c r="T187" s="214"/>
      <c r="U187" s="214"/>
      <c r="V187" s="214"/>
      <c r="W187" s="214"/>
      <c r="X187" s="214"/>
      <c r="Y187" s="214"/>
      <c r="Z187" s="214"/>
    </row>
    <row r="188" ht="15.75" customHeight="1">
      <c r="A188" s="215">
        <v>46024.0</v>
      </c>
      <c r="B188" s="221">
        <f t="shared" si="18"/>
        <v>1511190</v>
      </c>
      <c r="C188" s="220">
        <f t="shared" si="19"/>
        <v>1</v>
      </c>
      <c r="D188" s="222">
        <v>1039168.5</v>
      </c>
      <c r="E188" s="223">
        <v>79.0</v>
      </c>
      <c r="F188" s="223">
        <v>86.0</v>
      </c>
      <c r="G188" s="224">
        <v>0.0253</v>
      </c>
      <c r="H188" s="223">
        <v>1.0</v>
      </c>
      <c r="I188" s="225">
        <v>567147.0</v>
      </c>
      <c r="J188" s="223">
        <v>0.0</v>
      </c>
      <c r="K188" s="223">
        <v>0.0</v>
      </c>
      <c r="L188" s="223">
        <v>2.0</v>
      </c>
      <c r="M188" s="223">
        <v>1.0</v>
      </c>
      <c r="N188" s="223">
        <v>1.0</v>
      </c>
      <c r="O188" s="223">
        <v>8.0</v>
      </c>
      <c r="P188" s="224">
        <v>0.0</v>
      </c>
      <c r="Q188" s="193">
        <f t="shared" si="20"/>
        <v>1</v>
      </c>
      <c r="R188" s="225">
        <v>2078337.0</v>
      </c>
      <c r="S188" s="223">
        <v>2.0</v>
      </c>
      <c r="T188" s="214"/>
      <c r="U188" s="214"/>
      <c r="V188" s="214"/>
      <c r="W188" s="214"/>
      <c r="X188" s="214"/>
      <c r="Y188" s="214"/>
      <c r="Z188" s="214"/>
    </row>
    <row r="189" ht="15.75" customHeight="1">
      <c r="A189" s="215">
        <v>46025.0</v>
      </c>
      <c r="B189" s="221">
        <f t="shared" si="18"/>
        <v>1418617</v>
      </c>
      <c r="C189" s="220">
        <f t="shared" si="19"/>
        <v>2</v>
      </c>
      <c r="D189" s="222">
        <v>709308.5</v>
      </c>
      <c r="E189" s="223">
        <v>92.0</v>
      </c>
      <c r="F189" s="223">
        <v>103.0</v>
      </c>
      <c r="G189" s="224">
        <v>0.0217</v>
      </c>
      <c r="H189" s="223">
        <v>0.0</v>
      </c>
      <c r="I189" s="225">
        <v>0.0</v>
      </c>
      <c r="J189" s="223">
        <v>0.0</v>
      </c>
      <c r="K189" s="223">
        <v>0.0</v>
      </c>
      <c r="L189" s="223">
        <v>2.0</v>
      </c>
      <c r="M189" s="223">
        <v>2.0</v>
      </c>
      <c r="N189" s="223">
        <v>0.0</v>
      </c>
      <c r="O189" s="223">
        <v>10.0</v>
      </c>
      <c r="P189" s="224">
        <v>0.0</v>
      </c>
      <c r="Q189" s="193">
        <f t="shared" si="20"/>
        <v>1</v>
      </c>
      <c r="R189" s="225">
        <v>1418617.0</v>
      </c>
      <c r="S189" s="223">
        <v>2.0</v>
      </c>
      <c r="T189" s="214"/>
      <c r="U189" s="214"/>
      <c r="V189" s="214"/>
      <c r="W189" s="214"/>
      <c r="X189" s="214"/>
      <c r="Y189" s="214"/>
      <c r="Z189" s="214"/>
    </row>
    <row r="190" ht="15.75" customHeight="1">
      <c r="A190" s="215">
        <v>46026.0</v>
      </c>
      <c r="B190" s="221">
        <f t="shared" si="18"/>
        <v>1615763</v>
      </c>
      <c r="C190" s="220">
        <f t="shared" si="19"/>
        <v>2</v>
      </c>
      <c r="D190" s="222">
        <v>807881.5</v>
      </c>
      <c r="E190" s="223">
        <v>102.0</v>
      </c>
      <c r="F190" s="223">
        <v>112.0</v>
      </c>
      <c r="G190" s="224">
        <v>0.0196</v>
      </c>
      <c r="H190" s="223">
        <v>0.0</v>
      </c>
      <c r="I190" s="223">
        <v>0.0</v>
      </c>
      <c r="J190" s="223">
        <v>0.0</v>
      </c>
      <c r="K190" s="223">
        <v>0.0</v>
      </c>
      <c r="L190" s="223">
        <v>2.0</v>
      </c>
      <c r="M190" s="223">
        <v>1.0</v>
      </c>
      <c r="N190" s="223">
        <v>1.0</v>
      </c>
      <c r="O190" s="223">
        <v>5.0</v>
      </c>
      <c r="P190" s="224">
        <v>0.0</v>
      </c>
      <c r="Q190" s="193">
        <f t="shared" si="20"/>
        <v>1</v>
      </c>
      <c r="R190" s="225">
        <v>1615763.0</v>
      </c>
      <c r="S190" s="223">
        <v>2.0</v>
      </c>
      <c r="T190" s="214"/>
      <c r="U190" s="214"/>
      <c r="V190" s="214"/>
      <c r="W190" s="214"/>
      <c r="X190" s="214"/>
      <c r="Y190" s="214"/>
      <c r="Z190" s="214"/>
    </row>
    <row r="191" ht="15.75" customHeight="1">
      <c r="A191" s="215">
        <v>46027.0</v>
      </c>
      <c r="B191" s="221">
        <f t="shared" si="18"/>
        <v>4748851</v>
      </c>
      <c r="C191" s="220">
        <f t="shared" si="19"/>
        <v>6</v>
      </c>
      <c r="D191" s="222">
        <v>791475.17</v>
      </c>
      <c r="E191" s="223">
        <v>91.0</v>
      </c>
      <c r="F191" s="223">
        <v>109.0</v>
      </c>
      <c r="G191" s="224">
        <v>0.0659</v>
      </c>
      <c r="H191" s="223">
        <v>0.0</v>
      </c>
      <c r="I191" s="223">
        <v>0.0</v>
      </c>
      <c r="J191" s="223">
        <v>0.0</v>
      </c>
      <c r="K191" s="223">
        <v>0.0</v>
      </c>
      <c r="L191" s="223">
        <v>6.0</v>
      </c>
      <c r="M191" s="223">
        <v>4.0</v>
      </c>
      <c r="N191" s="223">
        <v>2.0</v>
      </c>
      <c r="O191" s="223">
        <v>9.0</v>
      </c>
      <c r="P191" s="224">
        <v>0.0</v>
      </c>
      <c r="Q191" s="193">
        <f t="shared" si="20"/>
        <v>1</v>
      </c>
      <c r="R191" s="225">
        <v>4748851.0</v>
      </c>
      <c r="S191" s="223">
        <v>6.0</v>
      </c>
      <c r="T191" s="214"/>
      <c r="U191" s="214"/>
      <c r="V191" s="214"/>
      <c r="W191" s="214"/>
      <c r="X191" s="214"/>
      <c r="Y191" s="214"/>
      <c r="Z191" s="214"/>
    </row>
    <row r="192" ht="15.75" customHeight="1">
      <c r="A192" s="215">
        <v>46028.0</v>
      </c>
      <c r="B192" s="221">
        <f t="shared" si="18"/>
        <v>1160090</v>
      </c>
      <c r="C192" s="220">
        <f t="shared" si="19"/>
        <v>2</v>
      </c>
      <c r="D192" s="222">
        <v>580045.0</v>
      </c>
      <c r="E192" s="223">
        <v>115.0</v>
      </c>
      <c r="F192" s="223">
        <v>144.0</v>
      </c>
      <c r="G192" s="224">
        <v>0.0174</v>
      </c>
      <c r="H192" s="223">
        <v>0.0</v>
      </c>
      <c r="I192" s="223">
        <v>0.0</v>
      </c>
      <c r="J192" s="223">
        <v>0.0</v>
      </c>
      <c r="K192" s="223">
        <v>0.0</v>
      </c>
      <c r="L192" s="223">
        <v>2.0</v>
      </c>
      <c r="M192" s="223">
        <v>1.0</v>
      </c>
      <c r="N192" s="223">
        <v>1.0</v>
      </c>
      <c r="O192" s="223">
        <v>13.0</v>
      </c>
      <c r="P192" s="224">
        <v>0.0</v>
      </c>
      <c r="Q192" s="193">
        <f t="shared" si="20"/>
        <v>1</v>
      </c>
      <c r="R192" s="225">
        <v>1160090.0</v>
      </c>
      <c r="S192" s="223">
        <v>2.0</v>
      </c>
      <c r="T192" s="214"/>
      <c r="U192" s="214"/>
      <c r="V192" s="214"/>
      <c r="W192" s="214"/>
      <c r="X192" s="214"/>
      <c r="Y192" s="214"/>
      <c r="Z192" s="214"/>
    </row>
    <row r="193" ht="15.75" customHeight="1">
      <c r="A193" s="215">
        <v>46029.0</v>
      </c>
      <c r="B193" s="221">
        <f t="shared" si="18"/>
        <v>0</v>
      </c>
      <c r="C193" s="220">
        <f t="shared" si="19"/>
        <v>0</v>
      </c>
      <c r="D193" s="223">
        <v>0.0</v>
      </c>
      <c r="E193" s="223">
        <v>90.0</v>
      </c>
      <c r="F193" s="223">
        <v>97.0</v>
      </c>
      <c r="G193" s="224">
        <v>0.0</v>
      </c>
      <c r="H193" s="223">
        <v>0.0</v>
      </c>
      <c r="I193" s="223">
        <v>0.0</v>
      </c>
      <c r="J193" s="223">
        <v>0.0</v>
      </c>
      <c r="K193" s="223">
        <v>0.0</v>
      </c>
      <c r="L193" s="223">
        <v>0.0</v>
      </c>
      <c r="M193" s="223">
        <v>0.0</v>
      </c>
      <c r="N193" s="223">
        <v>0.0</v>
      </c>
      <c r="O193" s="223">
        <v>9.0</v>
      </c>
      <c r="P193" s="224">
        <v>0.0</v>
      </c>
      <c r="Q193" s="193">
        <f t="shared" si="20"/>
        <v>1</v>
      </c>
      <c r="R193" s="223">
        <v>0.0</v>
      </c>
      <c r="S193" s="223">
        <v>0.0</v>
      </c>
      <c r="T193" s="214"/>
      <c r="U193" s="214"/>
      <c r="V193" s="214"/>
      <c r="W193" s="214"/>
      <c r="X193" s="214"/>
      <c r="Y193" s="214"/>
      <c r="Z193" s="214"/>
    </row>
    <row r="194" ht="15.75" customHeight="1">
      <c r="A194" s="215">
        <v>46030.0</v>
      </c>
      <c r="B194" s="221">
        <f t="shared" si="18"/>
        <v>0</v>
      </c>
      <c r="C194" s="220">
        <f t="shared" si="19"/>
        <v>0</v>
      </c>
      <c r="D194" s="222">
        <v>3020100.0</v>
      </c>
      <c r="E194" s="223">
        <v>84.0</v>
      </c>
      <c r="F194" s="223">
        <v>123.0</v>
      </c>
      <c r="G194" s="224">
        <v>0.0119</v>
      </c>
      <c r="H194" s="223">
        <v>1.0</v>
      </c>
      <c r="I194" s="225">
        <v>3020100.0</v>
      </c>
      <c r="J194" s="223">
        <v>0.0</v>
      </c>
      <c r="K194" s="223">
        <v>0.0</v>
      </c>
      <c r="L194" s="223">
        <v>1.0</v>
      </c>
      <c r="M194" s="223">
        <v>1.0</v>
      </c>
      <c r="N194" s="223">
        <v>0.0</v>
      </c>
      <c r="O194" s="223">
        <v>6.0</v>
      </c>
      <c r="P194" s="224">
        <v>0.0</v>
      </c>
      <c r="Q194" s="193">
        <f t="shared" si="20"/>
        <v>1</v>
      </c>
      <c r="R194" s="225">
        <v>3020100.0</v>
      </c>
      <c r="S194" s="223">
        <v>1.0</v>
      </c>
      <c r="T194" s="214"/>
      <c r="U194" s="214"/>
      <c r="V194" s="214"/>
      <c r="W194" s="214"/>
      <c r="X194" s="214"/>
      <c r="Y194" s="214"/>
      <c r="Z194" s="214"/>
    </row>
    <row r="195" ht="15.75" customHeight="1">
      <c r="A195" s="215">
        <v>46031.0</v>
      </c>
      <c r="B195" s="221">
        <f t="shared" si="18"/>
        <v>0</v>
      </c>
      <c r="C195" s="220">
        <f t="shared" si="19"/>
        <v>0</v>
      </c>
      <c r="D195" s="223">
        <v>0.0</v>
      </c>
      <c r="E195" s="223">
        <v>108.0</v>
      </c>
      <c r="F195" s="223">
        <v>154.0</v>
      </c>
      <c r="G195" s="224">
        <v>0.0</v>
      </c>
      <c r="H195" s="223">
        <v>0.0</v>
      </c>
      <c r="I195" s="223">
        <v>0.0</v>
      </c>
      <c r="J195" s="223">
        <v>0.0</v>
      </c>
      <c r="K195" s="223">
        <v>0.0</v>
      </c>
      <c r="L195" s="223">
        <v>0.0</v>
      </c>
      <c r="M195" s="223">
        <v>0.0</v>
      </c>
      <c r="N195" s="223">
        <v>0.0</v>
      </c>
      <c r="O195" s="223">
        <v>16.0</v>
      </c>
      <c r="P195" s="224">
        <v>0.0</v>
      </c>
      <c r="Q195" s="193">
        <f t="shared" si="20"/>
        <v>1</v>
      </c>
      <c r="R195" s="223">
        <v>0.0</v>
      </c>
      <c r="S195" s="223">
        <v>0.0</v>
      </c>
      <c r="T195" s="214"/>
      <c r="U195" s="214"/>
      <c r="V195" s="214"/>
      <c r="W195" s="214"/>
      <c r="X195" s="214"/>
      <c r="Y195" s="214"/>
      <c r="Z195" s="214"/>
    </row>
    <row r="196" ht="15.75" customHeight="1">
      <c r="A196" s="215">
        <v>46032.0</v>
      </c>
      <c r="B196" s="221">
        <f t="shared" si="18"/>
        <v>4799434</v>
      </c>
      <c r="C196" s="220">
        <f t="shared" si="19"/>
        <v>6</v>
      </c>
      <c r="D196" s="222">
        <v>719690.25</v>
      </c>
      <c r="E196" s="223">
        <v>133.0</v>
      </c>
      <c r="F196" s="223">
        <v>103.0</v>
      </c>
      <c r="G196" s="224">
        <v>0.0602</v>
      </c>
      <c r="H196" s="223">
        <v>2.0</v>
      </c>
      <c r="I196" s="225">
        <v>958088.0</v>
      </c>
      <c r="J196" s="223">
        <v>0.0</v>
      </c>
      <c r="K196" s="223">
        <v>0.0</v>
      </c>
      <c r="L196" s="223">
        <v>8.0</v>
      </c>
      <c r="M196" s="223">
        <v>7.0</v>
      </c>
      <c r="N196" s="223">
        <v>1.0</v>
      </c>
      <c r="O196" s="223">
        <v>13.0</v>
      </c>
      <c r="P196" s="224">
        <v>0.0</v>
      </c>
      <c r="Q196" s="193">
        <f t="shared" si="20"/>
        <v>1</v>
      </c>
      <c r="R196" s="225">
        <v>5757522.0</v>
      </c>
      <c r="S196" s="223">
        <v>8.0</v>
      </c>
      <c r="T196" s="214"/>
      <c r="U196" s="214"/>
      <c r="V196" s="214"/>
      <c r="W196" s="214"/>
      <c r="X196" s="214"/>
      <c r="Y196" s="214"/>
      <c r="Z196" s="214"/>
    </row>
    <row r="197" ht="15.75" customHeight="1">
      <c r="A197" s="215">
        <v>46033.0</v>
      </c>
      <c r="B197" s="221">
        <f t="shared" si="18"/>
        <v>2804371</v>
      </c>
      <c r="C197" s="220">
        <f t="shared" si="19"/>
        <v>4</v>
      </c>
      <c r="D197" s="222">
        <v>701092.75</v>
      </c>
      <c r="E197" s="223">
        <v>127.0</v>
      </c>
      <c r="F197" s="223">
        <v>110.0</v>
      </c>
      <c r="G197" s="224">
        <v>0.0315</v>
      </c>
      <c r="H197" s="223">
        <v>0.0</v>
      </c>
      <c r="I197" s="223">
        <v>0.0</v>
      </c>
      <c r="J197" s="223">
        <v>0.0</v>
      </c>
      <c r="K197" s="223">
        <v>0.0</v>
      </c>
      <c r="L197" s="223">
        <v>4.0</v>
      </c>
      <c r="M197" s="223">
        <v>4.0</v>
      </c>
      <c r="N197" s="223">
        <v>0.0</v>
      </c>
      <c r="O197" s="223">
        <v>8.0</v>
      </c>
      <c r="P197" s="224">
        <v>0.0</v>
      </c>
      <c r="Q197" s="193">
        <f t="shared" si="20"/>
        <v>1</v>
      </c>
      <c r="R197" s="225">
        <v>2804371.0</v>
      </c>
      <c r="S197" s="223">
        <v>4.0</v>
      </c>
      <c r="T197" s="214"/>
      <c r="U197" s="214"/>
      <c r="V197" s="214"/>
      <c r="W197" s="214"/>
      <c r="X197" s="214"/>
      <c r="Y197" s="214"/>
      <c r="Z197" s="214"/>
    </row>
    <row r="198" ht="15.75" customHeight="1">
      <c r="A198" s="215">
        <v>46034.0</v>
      </c>
      <c r="B198" s="221">
        <f t="shared" si="18"/>
        <v>2473536</v>
      </c>
      <c r="C198" s="220">
        <f t="shared" si="19"/>
        <v>3</v>
      </c>
      <c r="D198" s="222">
        <v>703201.25</v>
      </c>
      <c r="E198" s="223">
        <v>94.0</v>
      </c>
      <c r="F198" s="223">
        <v>169.0</v>
      </c>
      <c r="G198" s="224">
        <v>0.0426</v>
      </c>
      <c r="H198" s="223">
        <v>1.0</v>
      </c>
      <c r="I198" s="225">
        <v>339269.0</v>
      </c>
      <c r="J198" s="223">
        <v>0.0</v>
      </c>
      <c r="K198" s="223">
        <v>0.0</v>
      </c>
      <c r="L198" s="223">
        <v>4.0</v>
      </c>
      <c r="M198" s="223">
        <v>3.0</v>
      </c>
      <c r="N198" s="223">
        <v>1.0</v>
      </c>
      <c r="O198" s="223">
        <v>8.0</v>
      </c>
      <c r="P198" s="224">
        <v>0.0</v>
      </c>
      <c r="Q198" s="193">
        <f t="shared" si="20"/>
        <v>1</v>
      </c>
      <c r="R198" s="225">
        <v>2812805.0</v>
      </c>
      <c r="S198" s="223">
        <v>4.0</v>
      </c>
      <c r="T198" s="214"/>
      <c r="U198" s="214"/>
      <c r="V198" s="214"/>
      <c r="W198" s="214"/>
      <c r="X198" s="214"/>
      <c r="Y198" s="214"/>
      <c r="Z198" s="214"/>
    </row>
    <row r="199" ht="15.75" customHeight="1">
      <c r="A199" s="215">
        <v>46035.0</v>
      </c>
      <c r="B199" s="221">
        <f t="shared" si="18"/>
        <v>1410909</v>
      </c>
      <c r="C199" s="220">
        <f t="shared" si="19"/>
        <v>2</v>
      </c>
      <c r="D199" s="222">
        <v>705454.5</v>
      </c>
      <c r="E199" s="223">
        <v>82.0</v>
      </c>
      <c r="F199" s="223">
        <v>81.0</v>
      </c>
      <c r="G199" s="224">
        <v>0.0244</v>
      </c>
      <c r="H199" s="223">
        <v>0.0</v>
      </c>
      <c r="I199" s="223">
        <v>0.0</v>
      </c>
      <c r="J199" s="223">
        <v>0.0</v>
      </c>
      <c r="K199" s="223">
        <v>0.0</v>
      </c>
      <c r="L199" s="223">
        <v>2.0</v>
      </c>
      <c r="M199" s="223">
        <v>1.0</v>
      </c>
      <c r="N199" s="223">
        <v>1.0</v>
      </c>
      <c r="O199" s="223">
        <v>8.0</v>
      </c>
      <c r="P199" s="224">
        <v>0.0</v>
      </c>
      <c r="Q199" s="193">
        <f t="shared" si="20"/>
        <v>1</v>
      </c>
      <c r="R199" s="225">
        <v>1410909.0</v>
      </c>
      <c r="S199" s="223">
        <v>2.0</v>
      </c>
      <c r="T199" s="214"/>
      <c r="U199" s="214"/>
      <c r="V199" s="214"/>
      <c r="W199" s="214"/>
      <c r="X199" s="214"/>
      <c r="Y199" s="214"/>
      <c r="Z199" s="214"/>
    </row>
    <row r="200" ht="15.75" customHeight="1">
      <c r="A200" s="215">
        <v>46036.0</v>
      </c>
      <c r="B200" s="221">
        <f t="shared" si="18"/>
        <v>0</v>
      </c>
      <c r="C200" s="220">
        <f t="shared" si="19"/>
        <v>0</v>
      </c>
      <c r="D200" s="223">
        <v>0.0</v>
      </c>
      <c r="E200" s="223">
        <v>108.0</v>
      </c>
      <c r="F200" s="223">
        <v>137.0</v>
      </c>
      <c r="G200" s="224">
        <v>0.0</v>
      </c>
      <c r="H200" s="223">
        <v>0.0</v>
      </c>
      <c r="I200" s="223">
        <v>0.0</v>
      </c>
      <c r="J200" s="223">
        <v>0.0</v>
      </c>
      <c r="K200" s="223">
        <v>0.0</v>
      </c>
      <c r="L200" s="223">
        <v>0.0</v>
      </c>
      <c r="M200" s="223">
        <v>0.0</v>
      </c>
      <c r="N200" s="223">
        <v>0.0</v>
      </c>
      <c r="O200" s="223">
        <v>11.0</v>
      </c>
      <c r="P200" s="224">
        <v>0.0</v>
      </c>
      <c r="Q200" s="193">
        <f t="shared" si="20"/>
        <v>1</v>
      </c>
      <c r="R200" s="223">
        <v>0.0</v>
      </c>
      <c r="S200" s="223">
        <v>0.0</v>
      </c>
      <c r="T200" s="214"/>
      <c r="U200" s="214"/>
      <c r="V200" s="214"/>
      <c r="W200" s="214"/>
      <c r="X200" s="214"/>
      <c r="Y200" s="214"/>
      <c r="Z200" s="214"/>
    </row>
    <row r="201" ht="15.75" customHeight="1">
      <c r="A201" s="215">
        <v>46037.0</v>
      </c>
      <c r="B201" s="221">
        <f t="shared" si="18"/>
        <v>9224441</v>
      </c>
      <c r="C201" s="220">
        <f t="shared" si="19"/>
        <v>9</v>
      </c>
      <c r="D201" s="222">
        <v>1024937.89</v>
      </c>
      <c r="E201" s="223">
        <v>187.0</v>
      </c>
      <c r="F201" s="223">
        <v>140.0</v>
      </c>
      <c r="G201" s="224">
        <v>0.0481</v>
      </c>
      <c r="H201" s="223">
        <v>0.0</v>
      </c>
      <c r="I201" s="223">
        <v>0.0</v>
      </c>
      <c r="J201" s="223">
        <v>0.0</v>
      </c>
      <c r="K201" s="223">
        <v>0.0</v>
      </c>
      <c r="L201" s="223">
        <v>8.0</v>
      </c>
      <c r="M201" s="223">
        <v>5.0</v>
      </c>
      <c r="N201" s="223">
        <v>3.0</v>
      </c>
      <c r="O201" s="223">
        <v>13.0</v>
      </c>
      <c r="P201" s="224">
        <v>0.125</v>
      </c>
      <c r="Q201" s="193">
        <f t="shared" si="20"/>
        <v>1</v>
      </c>
      <c r="R201" s="225">
        <v>9224441.0</v>
      </c>
      <c r="S201" s="223">
        <v>9.0</v>
      </c>
      <c r="T201" s="214"/>
      <c r="U201" s="214"/>
      <c r="V201" s="214"/>
      <c r="W201" s="214"/>
      <c r="X201" s="214"/>
      <c r="Y201" s="214"/>
      <c r="Z201" s="214"/>
    </row>
    <row r="202" ht="15.75" customHeight="1">
      <c r="A202" s="215">
        <v>46038.0</v>
      </c>
      <c r="B202" s="221">
        <f t="shared" si="18"/>
        <v>4417752</v>
      </c>
      <c r="C202" s="220">
        <f t="shared" si="19"/>
        <v>7</v>
      </c>
      <c r="D202" s="222">
        <v>603553.38</v>
      </c>
      <c r="E202" s="223">
        <v>162.0</v>
      </c>
      <c r="F202" s="223">
        <v>117.0</v>
      </c>
      <c r="G202" s="224">
        <v>0.0494</v>
      </c>
      <c r="H202" s="223">
        <v>1.0</v>
      </c>
      <c r="I202" s="225">
        <v>410675.0</v>
      </c>
      <c r="J202" s="223">
        <v>0.0</v>
      </c>
      <c r="K202" s="223">
        <v>0.0</v>
      </c>
      <c r="L202" s="223">
        <v>6.0</v>
      </c>
      <c r="M202" s="223">
        <v>6.0</v>
      </c>
      <c r="N202" s="223">
        <v>0.0</v>
      </c>
      <c r="O202" s="223">
        <v>12.0</v>
      </c>
      <c r="P202" s="224">
        <v>0.1667</v>
      </c>
      <c r="Q202" s="193">
        <f t="shared" si="20"/>
        <v>1</v>
      </c>
      <c r="R202" s="225">
        <v>4828427.0</v>
      </c>
      <c r="S202" s="223">
        <v>8.0</v>
      </c>
      <c r="T202" s="214"/>
      <c r="U202" s="214"/>
      <c r="V202" s="214"/>
      <c r="W202" s="214"/>
      <c r="X202" s="214"/>
      <c r="Y202" s="214"/>
      <c r="Z202" s="214"/>
    </row>
    <row r="203" ht="15.75" customHeight="1">
      <c r="A203" s="215">
        <v>46039.0</v>
      </c>
      <c r="B203" s="221">
        <f t="shared" si="18"/>
        <v>0</v>
      </c>
      <c r="C203" s="220">
        <f t="shared" si="19"/>
        <v>0</v>
      </c>
      <c r="D203" s="223">
        <v>0.0</v>
      </c>
      <c r="E203" s="223">
        <v>117.0</v>
      </c>
      <c r="F203" s="223">
        <v>12650.0</v>
      </c>
      <c r="G203" s="224">
        <v>0.0</v>
      </c>
      <c r="H203" s="223">
        <v>0.0</v>
      </c>
      <c r="I203" s="223">
        <v>0.0</v>
      </c>
      <c r="J203" s="223">
        <v>0.0</v>
      </c>
      <c r="K203" s="223">
        <v>0.0</v>
      </c>
      <c r="L203" s="223">
        <v>0.0</v>
      </c>
      <c r="M203" s="223">
        <v>0.0</v>
      </c>
      <c r="N203" s="223">
        <v>0.0</v>
      </c>
      <c r="O203" s="223">
        <v>10.0</v>
      </c>
      <c r="P203" s="224">
        <v>0.0</v>
      </c>
      <c r="Q203" s="193">
        <f t="shared" si="20"/>
        <v>1</v>
      </c>
      <c r="R203" s="223">
        <v>0.0</v>
      </c>
      <c r="S203" s="223">
        <v>0.0</v>
      </c>
      <c r="T203" s="214"/>
      <c r="U203" s="214"/>
      <c r="V203" s="214"/>
      <c r="W203" s="214"/>
      <c r="X203" s="214"/>
      <c r="Y203" s="214"/>
      <c r="Z203" s="214"/>
    </row>
    <row r="204" ht="15.75" customHeight="1">
      <c r="A204" s="215">
        <v>46040.0</v>
      </c>
      <c r="B204" s="221">
        <f t="shared" si="18"/>
        <v>0</v>
      </c>
      <c r="C204" s="220">
        <f t="shared" si="19"/>
        <v>0</v>
      </c>
      <c r="D204" s="223">
        <v>0.0</v>
      </c>
      <c r="E204" s="223">
        <v>91.0</v>
      </c>
      <c r="F204" s="223">
        <v>162.0</v>
      </c>
      <c r="G204" s="224">
        <v>0.0</v>
      </c>
      <c r="H204" s="223">
        <v>0.0</v>
      </c>
      <c r="I204" s="223">
        <v>0.0</v>
      </c>
      <c r="J204" s="223">
        <v>0.0</v>
      </c>
      <c r="K204" s="223">
        <v>0.0</v>
      </c>
      <c r="L204" s="223">
        <v>0.0</v>
      </c>
      <c r="M204" s="223">
        <v>0.0</v>
      </c>
      <c r="N204" s="223">
        <v>0.0</v>
      </c>
      <c r="O204" s="223">
        <v>10.0</v>
      </c>
      <c r="P204" s="224">
        <v>0.0</v>
      </c>
      <c r="Q204" s="193">
        <f t="shared" si="20"/>
        <v>1</v>
      </c>
      <c r="R204" s="223">
        <v>0.0</v>
      </c>
      <c r="S204" s="223">
        <v>0.0</v>
      </c>
      <c r="T204" s="214"/>
      <c r="U204" s="214"/>
      <c r="V204" s="214"/>
      <c r="W204" s="214"/>
      <c r="X204" s="214"/>
      <c r="Y204" s="214"/>
      <c r="Z204" s="214"/>
    </row>
    <row r="205" ht="15.75" customHeight="1">
      <c r="A205" s="215">
        <v>46041.0</v>
      </c>
      <c r="B205" s="221">
        <f t="shared" si="18"/>
        <v>2919310</v>
      </c>
      <c r="C205" s="220">
        <f t="shared" si="19"/>
        <v>4</v>
      </c>
      <c r="D205" s="222">
        <v>827950.4</v>
      </c>
      <c r="E205" s="223">
        <v>123.0</v>
      </c>
      <c r="F205" s="223">
        <v>126.0</v>
      </c>
      <c r="G205" s="224">
        <v>0.0407</v>
      </c>
      <c r="H205" s="223">
        <v>1.0</v>
      </c>
      <c r="I205" s="225">
        <v>1220442.0</v>
      </c>
      <c r="J205" s="223">
        <v>0.0</v>
      </c>
      <c r="K205" s="223">
        <v>0.0</v>
      </c>
      <c r="L205" s="223">
        <v>4.0</v>
      </c>
      <c r="M205" s="223">
        <v>4.0</v>
      </c>
      <c r="N205" s="223">
        <v>0.0</v>
      </c>
      <c r="O205" s="223">
        <v>11.0</v>
      </c>
      <c r="P205" s="224">
        <v>0.25</v>
      </c>
      <c r="Q205" s="193">
        <f t="shared" si="20"/>
        <v>1</v>
      </c>
      <c r="R205" s="225">
        <v>4139752.0</v>
      </c>
      <c r="S205" s="223">
        <v>5.0</v>
      </c>
      <c r="T205" s="214"/>
      <c r="U205" s="214"/>
      <c r="V205" s="214"/>
      <c r="W205" s="214"/>
      <c r="X205" s="214"/>
      <c r="Y205" s="214"/>
      <c r="Z205" s="214"/>
    </row>
    <row r="206" ht="15.75" customHeight="1">
      <c r="A206" s="215">
        <v>46042.0</v>
      </c>
      <c r="B206" s="221">
        <f t="shared" si="18"/>
        <v>2696990</v>
      </c>
      <c r="C206" s="220">
        <f t="shared" si="19"/>
        <v>4</v>
      </c>
      <c r="D206" s="222">
        <v>732815.33</v>
      </c>
      <c r="E206" s="223">
        <v>153.0</v>
      </c>
      <c r="F206" s="223">
        <v>120.0</v>
      </c>
      <c r="G206" s="224">
        <v>0.0392</v>
      </c>
      <c r="H206" s="223">
        <v>2.0</v>
      </c>
      <c r="I206" s="225">
        <v>1699902.0</v>
      </c>
      <c r="J206" s="223">
        <v>0.0</v>
      </c>
      <c r="K206" s="223">
        <v>0.0</v>
      </c>
      <c r="L206" s="223">
        <v>6.0</v>
      </c>
      <c r="M206" s="223">
        <v>2.0</v>
      </c>
      <c r="N206" s="223">
        <v>4.0</v>
      </c>
      <c r="O206" s="223">
        <v>10.0</v>
      </c>
      <c r="P206" s="224">
        <v>0.0</v>
      </c>
      <c r="Q206" s="193">
        <f t="shared" si="20"/>
        <v>1</v>
      </c>
      <c r="R206" s="225">
        <v>4396892.0</v>
      </c>
      <c r="S206" s="223">
        <v>6.0</v>
      </c>
      <c r="T206" s="214"/>
      <c r="U206" s="214"/>
      <c r="V206" s="214"/>
      <c r="W206" s="214"/>
      <c r="X206" s="214"/>
      <c r="Y206" s="214"/>
      <c r="Z206" s="214"/>
    </row>
    <row r="207" ht="15.75" customHeight="1">
      <c r="A207" s="215">
        <v>46043.0</v>
      </c>
      <c r="B207" s="221">
        <f t="shared" si="18"/>
        <v>572008</v>
      </c>
      <c r="C207" s="220">
        <f t="shared" si="19"/>
        <v>3</v>
      </c>
      <c r="D207" s="222">
        <v>190669.33</v>
      </c>
      <c r="E207" s="223">
        <v>125.0</v>
      </c>
      <c r="F207" s="223">
        <v>115.0</v>
      </c>
      <c r="G207" s="224">
        <v>0.024</v>
      </c>
      <c r="H207" s="223">
        <v>0.0</v>
      </c>
      <c r="I207" s="223">
        <v>0.0</v>
      </c>
      <c r="J207" s="223">
        <v>0.0</v>
      </c>
      <c r="K207" s="223">
        <v>0.0</v>
      </c>
      <c r="L207" s="223">
        <v>3.0</v>
      </c>
      <c r="M207" s="223">
        <v>2.0</v>
      </c>
      <c r="N207" s="223">
        <v>1.0</v>
      </c>
      <c r="O207" s="223">
        <v>12.0</v>
      </c>
      <c r="P207" s="224">
        <v>0.0</v>
      </c>
      <c r="Q207" s="193">
        <f t="shared" si="20"/>
        <v>1</v>
      </c>
      <c r="R207" s="225">
        <v>572008.0</v>
      </c>
      <c r="S207" s="223">
        <v>3.0</v>
      </c>
      <c r="T207" s="214"/>
      <c r="U207" s="214"/>
      <c r="V207" s="214"/>
      <c r="W207" s="214"/>
      <c r="X207" s="214"/>
      <c r="Y207" s="214"/>
      <c r="Z207" s="214"/>
    </row>
    <row r="208" ht="15.75" customHeight="1">
      <c r="A208" s="215">
        <v>46044.0</v>
      </c>
      <c r="B208" s="221">
        <f t="shared" si="18"/>
        <v>2382780</v>
      </c>
      <c r="C208" s="220">
        <f t="shared" si="19"/>
        <v>3</v>
      </c>
      <c r="D208" s="222">
        <v>794260.0</v>
      </c>
      <c r="E208" s="223">
        <v>82.0</v>
      </c>
      <c r="F208" s="223">
        <v>95.0</v>
      </c>
      <c r="G208" s="224">
        <v>0.0366</v>
      </c>
      <c r="H208" s="223">
        <v>0.0</v>
      </c>
      <c r="I208" s="223">
        <v>0.0</v>
      </c>
      <c r="J208" s="223">
        <v>0.0</v>
      </c>
      <c r="K208" s="223">
        <v>0.0</v>
      </c>
      <c r="L208" s="223">
        <v>3.0</v>
      </c>
      <c r="M208" s="223">
        <v>0.0</v>
      </c>
      <c r="N208" s="223">
        <v>3.0</v>
      </c>
      <c r="O208" s="223">
        <v>6.0</v>
      </c>
      <c r="P208" s="224">
        <v>0.0</v>
      </c>
      <c r="Q208" s="193">
        <f t="shared" si="20"/>
        <v>1</v>
      </c>
      <c r="R208" s="225">
        <v>2382780.0</v>
      </c>
      <c r="S208" s="223">
        <v>3.0</v>
      </c>
      <c r="T208" s="214"/>
      <c r="U208" s="214"/>
      <c r="V208" s="214"/>
      <c r="W208" s="214"/>
      <c r="X208" s="214"/>
      <c r="Y208" s="214"/>
      <c r="Z208" s="214"/>
    </row>
    <row r="209" ht="15.75" customHeight="1">
      <c r="A209" s="215">
        <v>46045.0</v>
      </c>
      <c r="B209" s="221">
        <f t="shared" si="18"/>
        <v>4368686</v>
      </c>
      <c r="C209" s="220">
        <f t="shared" si="19"/>
        <v>4</v>
      </c>
      <c r="D209" s="222">
        <v>1092171.5</v>
      </c>
      <c r="E209" s="223">
        <v>75.0</v>
      </c>
      <c r="F209" s="223">
        <v>82.0</v>
      </c>
      <c r="G209" s="224">
        <v>0.0533</v>
      </c>
      <c r="H209" s="223">
        <v>0.0</v>
      </c>
      <c r="I209" s="223">
        <v>0.0</v>
      </c>
      <c r="J209" s="223">
        <v>0.0</v>
      </c>
      <c r="K209" s="223">
        <v>0.0</v>
      </c>
      <c r="L209" s="223">
        <v>3.0</v>
      </c>
      <c r="M209" s="223">
        <v>2.0</v>
      </c>
      <c r="N209" s="223">
        <v>1.0</v>
      </c>
      <c r="O209" s="223">
        <v>11.0</v>
      </c>
      <c r="P209" s="224">
        <v>0.3333</v>
      </c>
      <c r="Q209" s="193">
        <f t="shared" si="20"/>
        <v>1</v>
      </c>
      <c r="R209" s="225">
        <v>4368686.0</v>
      </c>
      <c r="S209" s="223">
        <v>4.0</v>
      </c>
      <c r="T209" s="214"/>
      <c r="U209" s="214"/>
      <c r="V209" s="214"/>
      <c r="W209" s="214"/>
      <c r="X209" s="214"/>
      <c r="Y209" s="214"/>
      <c r="Z209" s="214"/>
    </row>
    <row r="210" ht="15.75" customHeight="1">
      <c r="A210" s="215">
        <v>46046.0</v>
      </c>
      <c r="B210" s="221">
        <f t="shared" si="18"/>
        <v>3946694</v>
      </c>
      <c r="C210" s="220">
        <f t="shared" si="19"/>
        <v>5</v>
      </c>
      <c r="D210" s="222">
        <v>725418.67</v>
      </c>
      <c r="E210" s="223">
        <v>82.0</v>
      </c>
      <c r="F210" s="223">
        <v>90.0</v>
      </c>
      <c r="G210" s="224">
        <v>0.0732</v>
      </c>
      <c r="H210" s="223">
        <v>1.0</v>
      </c>
      <c r="I210" s="225">
        <v>405818.0</v>
      </c>
      <c r="J210" s="223">
        <v>0.0</v>
      </c>
      <c r="K210" s="223">
        <v>0.0</v>
      </c>
      <c r="L210" s="223">
        <v>6.0</v>
      </c>
      <c r="M210" s="223">
        <v>3.0</v>
      </c>
      <c r="N210" s="223">
        <v>3.0</v>
      </c>
      <c r="O210" s="223">
        <v>7.0</v>
      </c>
      <c r="P210" s="224">
        <v>0.0</v>
      </c>
      <c r="Q210" s="193">
        <f t="shared" si="20"/>
        <v>1</v>
      </c>
      <c r="R210" s="225">
        <v>4352512.0</v>
      </c>
      <c r="S210" s="223">
        <v>6.0</v>
      </c>
      <c r="T210" s="214"/>
      <c r="U210" s="214"/>
      <c r="V210" s="214"/>
      <c r="W210" s="214"/>
      <c r="X210" s="214"/>
      <c r="Y210" s="214"/>
      <c r="Z210" s="214"/>
    </row>
    <row r="211" ht="15.75" customHeight="1">
      <c r="A211" s="215">
        <v>46047.0</v>
      </c>
      <c r="B211" s="221">
        <f t="shared" si="18"/>
        <v>7158685</v>
      </c>
      <c r="C211" s="220">
        <f t="shared" si="19"/>
        <v>10</v>
      </c>
      <c r="D211" s="222">
        <v>755308.42</v>
      </c>
      <c r="E211" s="223">
        <v>103.0</v>
      </c>
      <c r="F211" s="223">
        <v>147.0</v>
      </c>
      <c r="G211" s="224">
        <v>0.1165</v>
      </c>
      <c r="H211" s="223">
        <v>2.0</v>
      </c>
      <c r="I211" s="225">
        <v>1905016.0</v>
      </c>
      <c r="J211" s="223">
        <v>0.0</v>
      </c>
      <c r="K211" s="223">
        <v>0.0</v>
      </c>
      <c r="L211" s="223">
        <v>11.0</v>
      </c>
      <c r="M211" s="223">
        <v>8.0</v>
      </c>
      <c r="N211" s="223">
        <v>3.0</v>
      </c>
      <c r="O211" s="223">
        <v>8.0</v>
      </c>
      <c r="P211" s="224">
        <v>0.0909</v>
      </c>
      <c r="Q211" s="193">
        <f t="shared" si="20"/>
        <v>1</v>
      </c>
      <c r="R211" s="225">
        <v>9063701.0</v>
      </c>
      <c r="S211" s="223">
        <v>12.0</v>
      </c>
      <c r="T211" s="214"/>
      <c r="U211" s="214"/>
      <c r="V211" s="214"/>
      <c r="W211" s="214"/>
      <c r="X211" s="214"/>
      <c r="Y211" s="214"/>
      <c r="Z211" s="214"/>
    </row>
    <row r="212" ht="15.75" customHeight="1">
      <c r="A212" s="215">
        <v>46048.0</v>
      </c>
      <c r="B212" s="221">
        <f t="shared" si="18"/>
        <v>1135400</v>
      </c>
      <c r="C212" s="220">
        <f t="shared" si="19"/>
        <v>1</v>
      </c>
      <c r="D212" s="222">
        <v>1135400.0</v>
      </c>
      <c r="E212" s="223">
        <v>86.0</v>
      </c>
      <c r="F212" s="223">
        <v>118.0</v>
      </c>
      <c r="G212" s="224">
        <v>0.0116</v>
      </c>
      <c r="H212" s="223">
        <v>0.0</v>
      </c>
      <c r="I212" s="223">
        <v>0.0</v>
      </c>
      <c r="J212" s="223">
        <v>0.0</v>
      </c>
      <c r="K212" s="223">
        <v>0.0</v>
      </c>
      <c r="L212" s="223">
        <v>1.0</v>
      </c>
      <c r="M212" s="223">
        <v>0.0</v>
      </c>
      <c r="N212" s="223">
        <v>1.0</v>
      </c>
      <c r="O212" s="223">
        <v>5.0</v>
      </c>
      <c r="P212" s="224">
        <v>0.0</v>
      </c>
      <c r="Q212" s="193">
        <f t="shared" si="20"/>
        <v>1</v>
      </c>
      <c r="R212" s="225">
        <v>1135400.0</v>
      </c>
      <c r="S212" s="223">
        <v>1.0</v>
      </c>
      <c r="T212" s="214"/>
      <c r="U212" s="214"/>
      <c r="V212" s="214"/>
      <c r="W212" s="214"/>
      <c r="X212" s="214"/>
      <c r="Y212" s="214"/>
      <c r="Z212" s="214"/>
    </row>
    <row r="213" ht="15.75" customHeight="1">
      <c r="A213" s="215">
        <v>46049.0</v>
      </c>
      <c r="B213" s="221">
        <f t="shared" si="18"/>
        <v>1425160</v>
      </c>
      <c r="C213" s="220">
        <f t="shared" si="19"/>
        <v>2</v>
      </c>
      <c r="D213" s="222">
        <v>712580.0</v>
      </c>
      <c r="E213" s="223">
        <v>121.0</v>
      </c>
      <c r="F213" s="223">
        <v>127.0</v>
      </c>
      <c r="G213" s="224">
        <v>0.0165</v>
      </c>
      <c r="H213" s="223">
        <v>0.0</v>
      </c>
      <c r="I213" s="223">
        <v>0.0</v>
      </c>
      <c r="J213" s="223">
        <v>0.0</v>
      </c>
      <c r="K213" s="223">
        <v>0.0</v>
      </c>
      <c r="L213" s="223">
        <v>2.0</v>
      </c>
      <c r="M213" s="223">
        <v>1.0</v>
      </c>
      <c r="N213" s="223">
        <v>1.0</v>
      </c>
      <c r="O213" s="223">
        <v>9.0</v>
      </c>
      <c r="P213" s="224">
        <v>0.0</v>
      </c>
      <c r="Q213" s="193">
        <f t="shared" si="20"/>
        <v>1</v>
      </c>
      <c r="R213" s="225">
        <v>1425160.0</v>
      </c>
      <c r="S213" s="223">
        <v>2.0</v>
      </c>
      <c r="T213" s="214"/>
      <c r="U213" s="214"/>
      <c r="V213" s="214"/>
      <c r="W213" s="214"/>
      <c r="X213" s="214"/>
      <c r="Y213" s="214"/>
      <c r="Z213" s="214"/>
    </row>
    <row r="214" ht="15.75" customHeight="1">
      <c r="A214" s="215">
        <v>46050.0</v>
      </c>
      <c r="B214" s="221">
        <f t="shared" si="18"/>
        <v>2347084</v>
      </c>
      <c r="C214" s="220">
        <f t="shared" si="19"/>
        <v>2</v>
      </c>
      <c r="D214" s="222">
        <v>1173542.0</v>
      </c>
      <c r="E214" s="223">
        <v>119.0</v>
      </c>
      <c r="F214" s="223">
        <v>116.0</v>
      </c>
      <c r="G214" s="224">
        <v>0.0168</v>
      </c>
      <c r="H214" s="223">
        <v>0.0</v>
      </c>
      <c r="I214" s="223">
        <v>0.0</v>
      </c>
      <c r="J214" s="223">
        <v>0.0</v>
      </c>
      <c r="K214" s="223">
        <v>0.0</v>
      </c>
      <c r="L214" s="223">
        <v>2.0</v>
      </c>
      <c r="M214" s="223">
        <v>0.0</v>
      </c>
      <c r="N214" s="223">
        <v>2.0</v>
      </c>
      <c r="O214" s="223">
        <v>12.0</v>
      </c>
      <c r="P214" s="224">
        <v>0.0</v>
      </c>
      <c r="Q214" s="193">
        <f t="shared" si="20"/>
        <v>1</v>
      </c>
      <c r="R214" s="225">
        <v>2347084.0</v>
      </c>
      <c r="S214" s="223">
        <v>2.0</v>
      </c>
      <c r="T214" s="214"/>
      <c r="U214" s="214"/>
      <c r="V214" s="214"/>
      <c r="W214" s="214"/>
      <c r="X214" s="214"/>
      <c r="Y214" s="214"/>
      <c r="Z214" s="214"/>
    </row>
    <row r="215" ht="15.75" customHeight="1">
      <c r="A215" s="215">
        <v>46051.0</v>
      </c>
      <c r="B215" s="221">
        <f t="shared" si="18"/>
        <v>4871538</v>
      </c>
      <c r="C215" s="220">
        <f t="shared" si="19"/>
        <v>8</v>
      </c>
      <c r="D215" s="222">
        <v>783103.27</v>
      </c>
      <c r="E215" s="223">
        <v>132.0</v>
      </c>
      <c r="F215" s="223">
        <v>104.0</v>
      </c>
      <c r="G215" s="224">
        <v>0.0833</v>
      </c>
      <c r="H215" s="223">
        <v>3.0</v>
      </c>
      <c r="I215" s="225">
        <v>3742598.0</v>
      </c>
      <c r="J215" s="223">
        <v>0.0</v>
      </c>
      <c r="K215" s="223">
        <v>0.0</v>
      </c>
      <c r="L215" s="223">
        <v>9.0</v>
      </c>
      <c r="M215" s="223">
        <v>4.0</v>
      </c>
      <c r="N215" s="223">
        <v>5.0</v>
      </c>
      <c r="O215" s="223">
        <v>9.0</v>
      </c>
      <c r="P215" s="224">
        <v>0.1111</v>
      </c>
      <c r="Q215" s="193">
        <f t="shared" si="20"/>
        <v>1</v>
      </c>
      <c r="R215" s="225">
        <v>8614136.0</v>
      </c>
      <c r="S215" s="223">
        <v>11.0</v>
      </c>
      <c r="T215" s="214"/>
      <c r="U215" s="214"/>
      <c r="V215" s="214"/>
      <c r="W215" s="214"/>
      <c r="X215" s="214"/>
      <c r="Y215" s="214"/>
      <c r="Z215" s="214"/>
    </row>
    <row r="216" ht="15.75" customHeight="1">
      <c r="A216" s="215">
        <v>46052.0</v>
      </c>
      <c r="B216" s="221">
        <f t="shared" si="18"/>
        <v>4599944</v>
      </c>
      <c r="C216" s="220">
        <f t="shared" si="19"/>
        <v>3</v>
      </c>
      <c r="D216" s="222">
        <v>2013954.17</v>
      </c>
      <c r="E216" s="223">
        <v>122.0</v>
      </c>
      <c r="F216" s="223">
        <v>108.0</v>
      </c>
      <c r="G216" s="224">
        <v>0.0492</v>
      </c>
      <c r="H216" s="223">
        <v>3.0</v>
      </c>
      <c r="I216" s="225">
        <v>7483781.0</v>
      </c>
      <c r="J216" s="223">
        <v>0.0</v>
      </c>
      <c r="K216" s="223">
        <v>0.0</v>
      </c>
      <c r="L216" s="223">
        <v>2.0</v>
      </c>
      <c r="M216" s="223">
        <v>1.0</v>
      </c>
      <c r="N216" s="223">
        <v>1.0</v>
      </c>
      <c r="O216" s="223">
        <v>11.0</v>
      </c>
      <c r="P216" s="224">
        <v>0.5</v>
      </c>
      <c r="Q216" s="193">
        <f t="shared" si="20"/>
        <v>1</v>
      </c>
      <c r="R216" s="225">
        <v>1.2083725E7</v>
      </c>
      <c r="S216" s="223">
        <v>6.0</v>
      </c>
      <c r="T216" s="214"/>
      <c r="U216" s="214"/>
      <c r="V216" s="214"/>
      <c r="W216" s="214"/>
      <c r="X216" s="214"/>
      <c r="Y216" s="214"/>
      <c r="Z216" s="214"/>
    </row>
    <row r="217" ht="15.75" customHeight="1">
      <c r="A217" s="215">
        <v>46053.0</v>
      </c>
      <c r="B217" s="221">
        <f t="shared" si="18"/>
        <v>3093689</v>
      </c>
      <c r="C217" s="220">
        <f t="shared" si="19"/>
        <v>4</v>
      </c>
      <c r="D217" s="222">
        <v>1212737.8</v>
      </c>
      <c r="E217" s="223">
        <v>82.0</v>
      </c>
      <c r="F217" s="223">
        <v>81.0</v>
      </c>
      <c r="G217" s="224">
        <v>0.061</v>
      </c>
      <c r="H217" s="223">
        <v>1.0</v>
      </c>
      <c r="I217" s="225">
        <v>2970000.0</v>
      </c>
      <c r="J217" s="223">
        <v>0.0</v>
      </c>
      <c r="K217" s="223">
        <v>0.0</v>
      </c>
      <c r="L217" s="223">
        <v>5.0</v>
      </c>
      <c r="M217" s="223">
        <v>1.0</v>
      </c>
      <c r="N217" s="223">
        <v>4.0</v>
      </c>
      <c r="O217" s="223">
        <v>3.0</v>
      </c>
      <c r="P217" s="224">
        <v>0.0</v>
      </c>
      <c r="Q217" s="193">
        <f t="shared" si="20"/>
        <v>1</v>
      </c>
      <c r="R217" s="225">
        <v>6063689.0</v>
      </c>
      <c r="S217" s="223">
        <v>5.0</v>
      </c>
      <c r="T217" s="214"/>
      <c r="U217" s="214"/>
      <c r="V217" s="214"/>
      <c r="W217" s="214"/>
      <c r="X217" s="214"/>
      <c r="Y217" s="214"/>
      <c r="Z217" s="214"/>
    </row>
    <row r="218" ht="15.75" customHeight="1">
      <c r="A218" s="215"/>
      <c r="B218" s="214"/>
      <c r="C218" s="214"/>
      <c r="D218" s="214"/>
      <c r="E218" s="214"/>
      <c r="F218" s="214"/>
      <c r="G218" s="214"/>
      <c r="H218" s="214"/>
      <c r="I218" s="214"/>
      <c r="J218" s="214"/>
      <c r="K218" s="214"/>
      <c r="L218" s="214"/>
      <c r="M218" s="214"/>
      <c r="N218" s="214"/>
      <c r="O218" s="214"/>
      <c r="P218" s="214"/>
      <c r="Q218" s="193"/>
      <c r="R218" s="214"/>
      <c r="S218" s="214"/>
      <c r="T218" s="214"/>
      <c r="U218" s="214"/>
      <c r="V218" s="214"/>
      <c r="W218" s="214"/>
      <c r="X218" s="214"/>
      <c r="Y218" s="214"/>
      <c r="Z218" s="214"/>
    </row>
    <row r="219" ht="15.75" customHeight="1">
      <c r="A219" s="215"/>
      <c r="B219" s="214"/>
      <c r="C219" s="214"/>
      <c r="D219" s="214"/>
      <c r="E219" s="214"/>
      <c r="F219" s="214"/>
      <c r="G219" s="214"/>
      <c r="H219" s="214"/>
      <c r="I219" s="214"/>
      <c r="J219" s="214"/>
      <c r="K219" s="214"/>
      <c r="L219" s="214"/>
      <c r="M219" s="214"/>
      <c r="N219" s="214"/>
      <c r="O219" s="214"/>
      <c r="P219" s="214"/>
      <c r="Q219" s="193"/>
      <c r="R219" s="214"/>
      <c r="S219" s="214"/>
      <c r="T219" s="214"/>
      <c r="U219" s="214"/>
      <c r="V219" s="214"/>
      <c r="W219" s="214"/>
      <c r="X219" s="214"/>
      <c r="Y219" s="214"/>
      <c r="Z219" s="214"/>
    </row>
    <row r="220" ht="15.75" customHeight="1">
      <c r="A220" s="191" t="s">
        <v>33</v>
      </c>
      <c r="B220" s="192" t="s">
        <v>669</v>
      </c>
      <c r="C220" s="192" t="s">
        <v>670</v>
      </c>
      <c r="D220" s="192" t="s">
        <v>671</v>
      </c>
      <c r="E220" s="192" t="s">
        <v>672</v>
      </c>
      <c r="F220" s="192" t="s">
        <v>673</v>
      </c>
      <c r="G220" s="192" t="s">
        <v>674</v>
      </c>
      <c r="H220" s="192" t="s">
        <v>37</v>
      </c>
      <c r="I220" s="192" t="s">
        <v>38</v>
      </c>
      <c r="J220" s="192" t="s">
        <v>39</v>
      </c>
      <c r="K220" s="192" t="s">
        <v>675</v>
      </c>
      <c r="L220" s="192" t="s">
        <v>676</v>
      </c>
      <c r="M220" s="192" t="s">
        <v>677</v>
      </c>
      <c r="N220" s="192" t="s">
        <v>678</v>
      </c>
      <c r="O220" s="192" t="s">
        <v>679</v>
      </c>
      <c r="P220" s="192" t="s">
        <v>680</v>
      </c>
      <c r="Q220" s="193"/>
      <c r="R220" s="214"/>
      <c r="S220" s="214"/>
      <c r="T220" s="214"/>
      <c r="U220" s="214"/>
      <c r="V220" s="214"/>
      <c r="W220" s="214"/>
      <c r="X220" s="214"/>
      <c r="Y220" s="214"/>
      <c r="Z220" s="214"/>
    </row>
    <row r="221" ht="15.75" customHeight="1">
      <c r="A221" s="194"/>
      <c r="B221" s="195">
        <f t="shared" ref="B221:P221" si="21">SUM(B224:B257)</f>
        <v>80050785</v>
      </c>
      <c r="C221" s="195">
        <f t="shared" si="21"/>
        <v>86</v>
      </c>
      <c r="D221" s="195">
        <f t="shared" si="21"/>
        <v>25646663.21</v>
      </c>
      <c r="E221" s="195">
        <f t="shared" si="21"/>
        <v>3120</v>
      </c>
      <c r="F221" s="195">
        <f t="shared" si="21"/>
        <v>3227</v>
      </c>
      <c r="G221" s="198">
        <f t="shared" si="21"/>
        <v>0.7906</v>
      </c>
      <c r="H221" s="195">
        <f t="shared" si="21"/>
        <v>12</v>
      </c>
      <c r="I221" s="195">
        <f t="shared" si="21"/>
        <v>12539712</v>
      </c>
      <c r="J221" s="195">
        <f t="shared" si="21"/>
        <v>2</v>
      </c>
      <c r="K221" s="195">
        <f t="shared" si="21"/>
        <v>1570000</v>
      </c>
      <c r="L221" s="195">
        <f t="shared" si="21"/>
        <v>92</v>
      </c>
      <c r="M221" s="195">
        <f t="shared" si="21"/>
        <v>46</v>
      </c>
      <c r="N221" s="195">
        <f t="shared" si="21"/>
        <v>46</v>
      </c>
      <c r="O221" s="195">
        <f t="shared" si="21"/>
        <v>220</v>
      </c>
      <c r="P221" s="198">
        <f t="shared" si="21"/>
        <v>1.2714</v>
      </c>
      <c r="Q221" s="193"/>
      <c r="R221" s="214"/>
      <c r="S221" s="214"/>
      <c r="T221" s="214"/>
      <c r="U221" s="214"/>
      <c r="V221" s="214"/>
      <c r="W221" s="214"/>
      <c r="X221" s="214"/>
      <c r="Y221" s="214"/>
      <c r="Z221" s="214"/>
    </row>
    <row r="222" ht="15.75" customHeight="1">
      <c r="A222" s="214"/>
      <c r="B222" s="214"/>
      <c r="C222" s="214"/>
      <c r="D222" s="214"/>
      <c r="E222" s="214"/>
      <c r="F222" s="214"/>
      <c r="G222" s="214"/>
      <c r="H222" s="214"/>
      <c r="I222" s="214"/>
      <c r="J222" s="214"/>
      <c r="K222" s="214"/>
      <c r="L222" s="214"/>
      <c r="M222" s="214"/>
      <c r="N222" s="214"/>
      <c r="O222" s="214"/>
      <c r="P222" s="214"/>
      <c r="Q222" s="156"/>
      <c r="R222" s="214"/>
      <c r="S222" s="214"/>
      <c r="T222" s="214"/>
      <c r="U222" s="214"/>
      <c r="V222" s="214"/>
      <c r="W222" s="214"/>
      <c r="X222" s="214"/>
      <c r="Y222" s="214"/>
      <c r="Z222" s="214"/>
    </row>
    <row r="223" ht="15.75" customHeight="1">
      <c r="A223" s="109" t="s">
        <v>33</v>
      </c>
      <c r="B223" s="220" t="s">
        <v>669</v>
      </c>
      <c r="C223" s="220" t="s">
        <v>670</v>
      </c>
      <c r="D223" s="109" t="s">
        <v>671</v>
      </c>
      <c r="E223" s="109" t="s">
        <v>685</v>
      </c>
      <c r="F223" s="109" t="s">
        <v>673</v>
      </c>
      <c r="G223" s="109" t="s">
        <v>686</v>
      </c>
      <c r="H223" s="109" t="s">
        <v>37</v>
      </c>
      <c r="I223" s="109" t="s">
        <v>38</v>
      </c>
      <c r="J223" s="109" t="s">
        <v>39</v>
      </c>
      <c r="K223" s="109" t="s">
        <v>675</v>
      </c>
      <c r="L223" s="109" t="s">
        <v>676</v>
      </c>
      <c r="M223" s="109" t="s">
        <v>677</v>
      </c>
      <c r="N223" s="109" t="s">
        <v>678</v>
      </c>
      <c r="O223" s="109" t="s">
        <v>679</v>
      </c>
      <c r="P223" s="109" t="s">
        <v>680</v>
      </c>
      <c r="Q223" s="193" t="s">
        <v>681</v>
      </c>
      <c r="R223" s="214"/>
      <c r="S223" s="214"/>
      <c r="T223" s="214"/>
      <c r="U223" s="214"/>
      <c r="V223" s="214"/>
      <c r="W223" s="214"/>
      <c r="X223" s="214"/>
      <c r="Y223" s="214"/>
      <c r="Z223" s="214"/>
    </row>
    <row r="224" ht="15.75" customHeight="1">
      <c r="A224" s="226">
        <v>46054.0</v>
      </c>
      <c r="B224" s="221">
        <f t="shared" ref="B224:B251" si="22">R224-I224</f>
        <v>2764634</v>
      </c>
      <c r="C224" s="220">
        <f t="shared" ref="C224:C251" si="23">S224-H224</f>
        <v>4</v>
      </c>
      <c r="D224" s="227">
        <v>691158.5</v>
      </c>
      <c r="E224" s="228">
        <v>128.0</v>
      </c>
      <c r="F224" s="228">
        <v>113.0</v>
      </c>
      <c r="G224" s="229">
        <v>0.0312</v>
      </c>
      <c r="H224" s="228">
        <v>0.0</v>
      </c>
      <c r="I224" s="230">
        <v>0.0</v>
      </c>
      <c r="J224" s="228">
        <v>0.0</v>
      </c>
      <c r="K224" s="228">
        <v>0.0</v>
      </c>
      <c r="L224" s="228">
        <v>4.0</v>
      </c>
      <c r="M224" s="228">
        <v>0.0</v>
      </c>
      <c r="N224" s="228">
        <v>4.0</v>
      </c>
      <c r="O224" s="228">
        <v>11.0</v>
      </c>
      <c r="P224" s="229">
        <v>0.0</v>
      </c>
      <c r="Q224" s="193">
        <f t="shared" ref="Q224:Q251" si="24">MONTH(A224)</f>
        <v>2</v>
      </c>
      <c r="R224" s="230">
        <v>2764634.0</v>
      </c>
      <c r="S224" s="228">
        <v>4.0</v>
      </c>
      <c r="T224" s="214"/>
      <c r="U224" s="214"/>
      <c r="V224" s="214"/>
      <c r="W224" s="214"/>
      <c r="X224" s="214"/>
      <c r="Y224" s="214"/>
      <c r="Z224" s="214"/>
    </row>
    <row r="225" ht="15.75" customHeight="1">
      <c r="A225" s="226">
        <v>46055.0</v>
      </c>
      <c r="B225" s="221">
        <f t="shared" si="22"/>
        <v>12891791</v>
      </c>
      <c r="C225" s="220">
        <f t="shared" si="23"/>
        <v>15</v>
      </c>
      <c r="D225" s="227">
        <v>859452.73</v>
      </c>
      <c r="E225" s="228">
        <v>251.0</v>
      </c>
      <c r="F225" s="228">
        <v>130.0</v>
      </c>
      <c r="G225" s="229">
        <v>0.0598</v>
      </c>
      <c r="H225" s="228">
        <v>0.0</v>
      </c>
      <c r="I225" s="230">
        <v>0.0</v>
      </c>
      <c r="J225" s="228">
        <v>0.0</v>
      </c>
      <c r="K225" s="228">
        <v>0.0</v>
      </c>
      <c r="L225" s="228">
        <v>14.0</v>
      </c>
      <c r="M225" s="228">
        <v>5.0</v>
      </c>
      <c r="N225" s="228">
        <v>9.0</v>
      </c>
      <c r="O225" s="228">
        <v>13.0</v>
      </c>
      <c r="P225" s="229">
        <v>0.0714</v>
      </c>
      <c r="Q225" s="193">
        <f t="shared" si="24"/>
        <v>2</v>
      </c>
      <c r="R225" s="230">
        <v>1.2891791E7</v>
      </c>
      <c r="S225" s="228">
        <v>15.0</v>
      </c>
      <c r="T225" s="214"/>
      <c r="U225" s="214"/>
      <c r="V225" s="214"/>
      <c r="W225" s="214"/>
      <c r="X225" s="214"/>
      <c r="Y225" s="214"/>
      <c r="Z225" s="214"/>
    </row>
    <row r="226" ht="15.75" customHeight="1">
      <c r="A226" s="226">
        <v>46056.0</v>
      </c>
      <c r="B226" s="221">
        <f t="shared" si="22"/>
        <v>3577124</v>
      </c>
      <c r="C226" s="220">
        <f t="shared" si="23"/>
        <v>5</v>
      </c>
      <c r="D226" s="227">
        <v>715424.8</v>
      </c>
      <c r="E226" s="228">
        <v>160.0</v>
      </c>
      <c r="F226" s="228">
        <v>124.0</v>
      </c>
      <c r="G226" s="229">
        <v>0.0312</v>
      </c>
      <c r="H226" s="228">
        <v>0.0</v>
      </c>
      <c r="I226" s="230">
        <v>0.0</v>
      </c>
      <c r="J226" s="228">
        <v>0.0</v>
      </c>
      <c r="K226" s="228">
        <v>0.0</v>
      </c>
      <c r="L226" s="228">
        <v>5.0</v>
      </c>
      <c r="M226" s="228">
        <v>3.0</v>
      </c>
      <c r="N226" s="228">
        <v>2.0</v>
      </c>
      <c r="O226" s="228">
        <v>10.0</v>
      </c>
      <c r="P226" s="229">
        <v>0.0</v>
      </c>
      <c r="Q226" s="193">
        <f t="shared" si="24"/>
        <v>2</v>
      </c>
      <c r="R226" s="230">
        <v>3577124.0</v>
      </c>
      <c r="S226" s="228">
        <v>5.0</v>
      </c>
      <c r="T226" s="214"/>
      <c r="U226" s="214"/>
      <c r="V226" s="214"/>
      <c r="W226" s="214"/>
      <c r="X226" s="214"/>
      <c r="Y226" s="214"/>
      <c r="Z226" s="214"/>
    </row>
    <row r="227" ht="15.75" customHeight="1">
      <c r="A227" s="226">
        <v>46057.0</v>
      </c>
      <c r="B227" s="221">
        <f t="shared" si="22"/>
        <v>2578636</v>
      </c>
      <c r="C227" s="220">
        <f t="shared" si="23"/>
        <v>3</v>
      </c>
      <c r="D227" s="227">
        <v>859545.33</v>
      </c>
      <c r="E227" s="228">
        <v>138.0</v>
      </c>
      <c r="F227" s="228">
        <v>125.0</v>
      </c>
      <c r="G227" s="229">
        <v>0.0217</v>
      </c>
      <c r="H227" s="228">
        <v>0.0</v>
      </c>
      <c r="I227" s="228">
        <v>0.0</v>
      </c>
      <c r="J227" s="228">
        <v>0.0</v>
      </c>
      <c r="K227" s="228">
        <v>0.0</v>
      </c>
      <c r="L227" s="228">
        <v>3.0</v>
      </c>
      <c r="M227" s="228">
        <v>1.0</v>
      </c>
      <c r="N227" s="228">
        <v>2.0</v>
      </c>
      <c r="O227" s="228">
        <v>2.0</v>
      </c>
      <c r="P227" s="229">
        <v>0.0</v>
      </c>
      <c r="Q227" s="193">
        <f t="shared" si="24"/>
        <v>2</v>
      </c>
      <c r="R227" s="230">
        <v>2578636.0</v>
      </c>
      <c r="S227" s="228">
        <v>3.0</v>
      </c>
      <c r="T227" s="214"/>
      <c r="U227" s="214"/>
      <c r="V227" s="214"/>
      <c r="W227" s="214"/>
      <c r="X227" s="214"/>
      <c r="Y227" s="214"/>
      <c r="Z227" s="214"/>
    </row>
    <row r="228" ht="15.75" customHeight="1">
      <c r="A228" s="226">
        <v>46058.0</v>
      </c>
      <c r="B228" s="221">
        <f t="shared" si="22"/>
        <v>4938391</v>
      </c>
      <c r="C228" s="220">
        <f t="shared" si="23"/>
        <v>3</v>
      </c>
      <c r="D228" s="227">
        <v>1646130.33</v>
      </c>
      <c r="E228" s="228">
        <v>89.0</v>
      </c>
      <c r="F228" s="228">
        <v>116.0</v>
      </c>
      <c r="G228" s="229">
        <v>0.0337</v>
      </c>
      <c r="H228" s="228">
        <v>0.0</v>
      </c>
      <c r="I228" s="228">
        <v>0.0</v>
      </c>
      <c r="J228" s="228">
        <v>0.0</v>
      </c>
      <c r="K228" s="228">
        <v>0.0</v>
      </c>
      <c r="L228" s="228">
        <v>3.0</v>
      </c>
      <c r="M228" s="228">
        <v>1.0</v>
      </c>
      <c r="N228" s="228">
        <v>2.0</v>
      </c>
      <c r="O228" s="228">
        <v>4.0</v>
      </c>
      <c r="P228" s="229">
        <v>0.0</v>
      </c>
      <c r="Q228" s="193">
        <f t="shared" si="24"/>
        <v>2</v>
      </c>
      <c r="R228" s="230">
        <v>4938391.0</v>
      </c>
      <c r="S228" s="228">
        <v>3.0</v>
      </c>
      <c r="T228" s="214"/>
      <c r="U228" s="214"/>
      <c r="V228" s="214"/>
      <c r="W228" s="214"/>
      <c r="X228" s="214"/>
      <c r="Y228" s="214"/>
      <c r="Z228" s="214"/>
    </row>
    <row r="229" ht="15.75" customHeight="1">
      <c r="A229" s="226">
        <v>46059.0</v>
      </c>
      <c r="B229" s="221">
        <f t="shared" si="22"/>
        <v>60000</v>
      </c>
      <c r="C229" s="220">
        <f t="shared" si="23"/>
        <v>1</v>
      </c>
      <c r="D229" s="227">
        <v>60000.0</v>
      </c>
      <c r="E229" s="228">
        <v>112.0</v>
      </c>
      <c r="F229" s="228">
        <v>133.0</v>
      </c>
      <c r="G229" s="229">
        <v>0.0089</v>
      </c>
      <c r="H229" s="228">
        <v>0.0</v>
      </c>
      <c r="I229" s="228">
        <v>0.0</v>
      </c>
      <c r="J229" s="228">
        <v>0.0</v>
      </c>
      <c r="K229" s="228">
        <v>0.0</v>
      </c>
      <c r="L229" s="228">
        <v>1.0</v>
      </c>
      <c r="M229" s="228">
        <v>0.0</v>
      </c>
      <c r="N229" s="228">
        <v>1.0</v>
      </c>
      <c r="O229" s="228">
        <v>9.0</v>
      </c>
      <c r="P229" s="229">
        <v>0.0</v>
      </c>
      <c r="Q229" s="193">
        <f t="shared" si="24"/>
        <v>2</v>
      </c>
      <c r="R229" s="230">
        <v>60000.0</v>
      </c>
      <c r="S229" s="228">
        <v>1.0</v>
      </c>
      <c r="T229" s="214"/>
      <c r="U229" s="214"/>
      <c r="V229" s="214"/>
      <c r="W229" s="214"/>
      <c r="X229" s="214"/>
      <c r="Y229" s="214"/>
      <c r="Z229" s="214"/>
    </row>
    <row r="230" ht="15.75" customHeight="1">
      <c r="A230" s="226">
        <v>46060.0</v>
      </c>
      <c r="B230" s="221">
        <f t="shared" si="22"/>
        <v>2158140</v>
      </c>
      <c r="C230" s="220">
        <f t="shared" si="23"/>
        <v>2</v>
      </c>
      <c r="D230" s="227">
        <v>1079070.0</v>
      </c>
      <c r="E230" s="228">
        <v>101.0</v>
      </c>
      <c r="F230" s="228">
        <v>89.0</v>
      </c>
      <c r="G230" s="229">
        <v>0.0198</v>
      </c>
      <c r="H230" s="228">
        <v>0.0</v>
      </c>
      <c r="I230" s="228">
        <v>0.0</v>
      </c>
      <c r="J230" s="228">
        <v>0.0</v>
      </c>
      <c r="K230" s="228">
        <v>0.0</v>
      </c>
      <c r="L230" s="228">
        <v>2.0</v>
      </c>
      <c r="M230" s="228">
        <v>1.0</v>
      </c>
      <c r="N230" s="228">
        <v>1.0</v>
      </c>
      <c r="O230" s="228">
        <v>7.0</v>
      </c>
      <c r="P230" s="229">
        <v>0.0</v>
      </c>
      <c r="Q230" s="193">
        <f t="shared" si="24"/>
        <v>2</v>
      </c>
      <c r="R230" s="230">
        <v>2158140.0</v>
      </c>
      <c r="S230" s="228">
        <v>2.0</v>
      </c>
      <c r="T230" s="214"/>
      <c r="U230" s="214"/>
      <c r="V230" s="214"/>
      <c r="W230" s="214"/>
      <c r="X230" s="214"/>
      <c r="Y230" s="214"/>
      <c r="Z230" s="214"/>
    </row>
    <row r="231" ht="15.75" customHeight="1">
      <c r="A231" s="226">
        <v>46061.0</v>
      </c>
      <c r="B231" s="221">
        <f t="shared" si="22"/>
        <v>4782887</v>
      </c>
      <c r="C231" s="220">
        <f t="shared" si="23"/>
        <v>6</v>
      </c>
      <c r="D231" s="227">
        <v>797147.83</v>
      </c>
      <c r="E231" s="228">
        <v>120.0</v>
      </c>
      <c r="F231" s="228">
        <v>93.0</v>
      </c>
      <c r="G231" s="229">
        <v>0.05</v>
      </c>
      <c r="H231" s="228">
        <v>0.0</v>
      </c>
      <c r="I231" s="228">
        <v>0.0</v>
      </c>
      <c r="J231" s="228">
        <v>1.0</v>
      </c>
      <c r="K231" s="230">
        <v>846000.0</v>
      </c>
      <c r="L231" s="228">
        <v>6.0</v>
      </c>
      <c r="M231" s="228">
        <v>3.0</v>
      </c>
      <c r="N231" s="228">
        <v>3.0</v>
      </c>
      <c r="O231" s="228">
        <v>5.0</v>
      </c>
      <c r="P231" s="229">
        <v>0.0</v>
      </c>
      <c r="Q231" s="193">
        <f t="shared" si="24"/>
        <v>2</v>
      </c>
      <c r="R231" s="230">
        <v>4782887.0</v>
      </c>
      <c r="S231" s="228">
        <v>6.0</v>
      </c>
      <c r="T231" s="214"/>
      <c r="U231" s="214"/>
      <c r="V231" s="214"/>
      <c r="W231" s="214"/>
      <c r="X231" s="214"/>
      <c r="Y231" s="214"/>
      <c r="Z231" s="214"/>
    </row>
    <row r="232" ht="15.75" customHeight="1">
      <c r="A232" s="226">
        <v>46062.0</v>
      </c>
      <c r="B232" s="221">
        <f t="shared" si="22"/>
        <v>1835353</v>
      </c>
      <c r="C232" s="220">
        <f t="shared" si="23"/>
        <v>2</v>
      </c>
      <c r="D232" s="227">
        <v>920481.33</v>
      </c>
      <c r="E232" s="228">
        <v>76.0</v>
      </c>
      <c r="F232" s="228">
        <v>91.0</v>
      </c>
      <c r="G232" s="229">
        <v>0.0395</v>
      </c>
      <c r="H232" s="228">
        <v>1.0</v>
      </c>
      <c r="I232" s="230">
        <v>926091.0</v>
      </c>
      <c r="J232" s="228">
        <v>0.0</v>
      </c>
      <c r="K232" s="228">
        <v>0.0</v>
      </c>
      <c r="L232" s="228">
        <v>3.0</v>
      </c>
      <c r="M232" s="228">
        <v>2.0</v>
      </c>
      <c r="N232" s="228">
        <v>1.0</v>
      </c>
      <c r="O232" s="228">
        <v>5.0</v>
      </c>
      <c r="P232" s="229">
        <v>0.0</v>
      </c>
      <c r="Q232" s="193">
        <f t="shared" si="24"/>
        <v>2</v>
      </c>
      <c r="R232" s="230">
        <v>2761444.0</v>
      </c>
      <c r="S232" s="228">
        <v>3.0</v>
      </c>
      <c r="T232" s="214"/>
      <c r="U232" s="214"/>
      <c r="V232" s="214"/>
      <c r="W232" s="214"/>
      <c r="X232" s="214"/>
      <c r="Y232" s="214"/>
      <c r="Z232" s="214"/>
    </row>
    <row r="233" ht="15.75" customHeight="1">
      <c r="A233" s="226">
        <v>46063.0</v>
      </c>
      <c r="B233" s="221">
        <f t="shared" si="22"/>
        <v>5177368</v>
      </c>
      <c r="C233" s="220">
        <f t="shared" si="23"/>
        <v>6</v>
      </c>
      <c r="D233" s="227">
        <v>862894.67</v>
      </c>
      <c r="E233" s="228">
        <v>125.0</v>
      </c>
      <c r="F233" s="228">
        <v>79.0</v>
      </c>
      <c r="G233" s="229">
        <v>0.048</v>
      </c>
      <c r="H233" s="228">
        <v>0.0</v>
      </c>
      <c r="I233" s="230">
        <v>0.0</v>
      </c>
      <c r="J233" s="228">
        <v>1.0</v>
      </c>
      <c r="K233" s="230">
        <v>724000.0</v>
      </c>
      <c r="L233" s="228">
        <v>4.0</v>
      </c>
      <c r="M233" s="228">
        <v>1.0</v>
      </c>
      <c r="N233" s="228">
        <v>3.0</v>
      </c>
      <c r="O233" s="228">
        <v>9.0</v>
      </c>
      <c r="P233" s="229">
        <v>0.5</v>
      </c>
      <c r="Q233" s="193">
        <f t="shared" si="24"/>
        <v>2</v>
      </c>
      <c r="R233" s="230">
        <v>5177368.0</v>
      </c>
      <c r="S233" s="228">
        <v>6.0</v>
      </c>
      <c r="T233" s="214"/>
      <c r="U233" s="214"/>
      <c r="V233" s="214"/>
      <c r="W233" s="214"/>
      <c r="X233" s="214"/>
      <c r="Y233" s="214"/>
      <c r="Z233" s="214"/>
    </row>
    <row r="234" ht="15.75" customHeight="1">
      <c r="A234" s="226">
        <v>46064.0</v>
      </c>
      <c r="B234" s="221">
        <f t="shared" si="22"/>
        <v>1951880</v>
      </c>
      <c r="C234" s="220">
        <f t="shared" si="23"/>
        <v>2</v>
      </c>
      <c r="D234" s="227">
        <v>975940.0</v>
      </c>
      <c r="E234" s="228">
        <v>111.0</v>
      </c>
      <c r="F234" s="228">
        <v>94.0</v>
      </c>
      <c r="G234" s="229">
        <v>0.018</v>
      </c>
      <c r="H234" s="228">
        <v>0.0</v>
      </c>
      <c r="I234" s="228">
        <v>0.0</v>
      </c>
      <c r="J234" s="228">
        <v>0.0</v>
      </c>
      <c r="K234" s="228">
        <v>0.0</v>
      </c>
      <c r="L234" s="228">
        <v>2.0</v>
      </c>
      <c r="M234" s="228">
        <v>1.0</v>
      </c>
      <c r="N234" s="228">
        <v>1.0</v>
      </c>
      <c r="O234" s="228">
        <v>12.0</v>
      </c>
      <c r="P234" s="229">
        <v>0.0</v>
      </c>
      <c r="Q234" s="193">
        <f t="shared" si="24"/>
        <v>2</v>
      </c>
      <c r="R234" s="230">
        <v>1951880.0</v>
      </c>
      <c r="S234" s="228">
        <v>2.0</v>
      </c>
      <c r="T234" s="214"/>
      <c r="U234" s="214"/>
      <c r="V234" s="214"/>
      <c r="W234" s="214"/>
      <c r="X234" s="214"/>
      <c r="Y234" s="214"/>
      <c r="Z234" s="214"/>
    </row>
    <row r="235" ht="15.75" customHeight="1">
      <c r="A235" s="226">
        <v>46065.0</v>
      </c>
      <c r="B235" s="221">
        <f t="shared" si="22"/>
        <v>3446276</v>
      </c>
      <c r="C235" s="220">
        <f t="shared" si="23"/>
        <v>2</v>
      </c>
      <c r="D235" s="227">
        <v>1821958.67</v>
      </c>
      <c r="E235" s="228">
        <v>103.0</v>
      </c>
      <c r="F235" s="228">
        <v>76.0</v>
      </c>
      <c r="G235" s="229">
        <v>0.0291</v>
      </c>
      <c r="H235" s="228">
        <v>1.0</v>
      </c>
      <c r="I235" s="230">
        <v>2019600.0</v>
      </c>
      <c r="J235" s="228">
        <v>0.0</v>
      </c>
      <c r="K235" s="228">
        <v>0.0</v>
      </c>
      <c r="L235" s="228">
        <v>3.0</v>
      </c>
      <c r="M235" s="228">
        <v>2.0</v>
      </c>
      <c r="N235" s="228">
        <v>1.0</v>
      </c>
      <c r="O235" s="228">
        <v>8.0</v>
      </c>
      <c r="P235" s="229">
        <v>0.0</v>
      </c>
      <c r="Q235" s="193">
        <f t="shared" si="24"/>
        <v>2</v>
      </c>
      <c r="R235" s="230">
        <v>5465876.0</v>
      </c>
      <c r="S235" s="228">
        <v>3.0</v>
      </c>
      <c r="T235" s="214"/>
      <c r="U235" s="214"/>
      <c r="V235" s="214"/>
      <c r="W235" s="214"/>
      <c r="X235" s="214"/>
      <c r="Y235" s="214"/>
      <c r="Z235" s="214"/>
    </row>
    <row r="236" ht="15.75" customHeight="1">
      <c r="A236" s="226">
        <v>46066.0</v>
      </c>
      <c r="B236" s="221">
        <f t="shared" si="22"/>
        <v>0</v>
      </c>
      <c r="C236" s="220">
        <f t="shared" si="23"/>
        <v>0</v>
      </c>
      <c r="D236" s="227">
        <v>0.0</v>
      </c>
      <c r="E236" s="228">
        <v>87.0</v>
      </c>
      <c r="F236" s="228">
        <v>117.0</v>
      </c>
      <c r="G236" s="229">
        <v>0.0</v>
      </c>
      <c r="H236" s="228">
        <v>0.0</v>
      </c>
      <c r="I236" s="230">
        <v>0.0</v>
      </c>
      <c r="J236" s="228">
        <v>0.0</v>
      </c>
      <c r="K236" s="228">
        <v>0.0</v>
      </c>
      <c r="L236" s="228">
        <v>0.0</v>
      </c>
      <c r="M236" s="228">
        <v>0.0</v>
      </c>
      <c r="N236" s="228">
        <v>0.0</v>
      </c>
      <c r="O236" s="228">
        <v>4.0</v>
      </c>
      <c r="P236" s="229">
        <v>0.0</v>
      </c>
      <c r="Q236" s="193">
        <f t="shared" si="24"/>
        <v>2</v>
      </c>
      <c r="R236" s="230">
        <v>0.0</v>
      </c>
      <c r="S236" s="228">
        <v>0.0</v>
      </c>
      <c r="T236" s="214"/>
      <c r="U236" s="214"/>
      <c r="V236" s="214"/>
      <c r="W236" s="214"/>
      <c r="X236" s="214"/>
      <c r="Y236" s="214"/>
      <c r="Z236" s="214"/>
    </row>
    <row r="237" ht="15.75" customHeight="1">
      <c r="A237" s="226">
        <v>46067.0</v>
      </c>
      <c r="B237" s="221">
        <f t="shared" si="22"/>
        <v>2613091</v>
      </c>
      <c r="C237" s="220">
        <f t="shared" si="23"/>
        <v>2</v>
      </c>
      <c r="D237" s="227">
        <v>1306545.5</v>
      </c>
      <c r="E237" s="228">
        <v>92.0</v>
      </c>
      <c r="F237" s="228">
        <v>82.0</v>
      </c>
      <c r="G237" s="229">
        <v>0.0217</v>
      </c>
      <c r="H237" s="228">
        <v>0.0</v>
      </c>
      <c r="I237" s="230">
        <v>0.0</v>
      </c>
      <c r="J237" s="228">
        <v>0.0</v>
      </c>
      <c r="K237" s="228">
        <v>0.0</v>
      </c>
      <c r="L237" s="228">
        <v>2.0</v>
      </c>
      <c r="M237" s="228">
        <v>2.0</v>
      </c>
      <c r="N237" s="228">
        <v>0.0</v>
      </c>
      <c r="O237" s="228">
        <v>7.0</v>
      </c>
      <c r="P237" s="229">
        <v>0.0</v>
      </c>
      <c r="Q237" s="193">
        <f t="shared" si="24"/>
        <v>2</v>
      </c>
      <c r="R237" s="230">
        <v>2613091.0</v>
      </c>
      <c r="S237" s="228">
        <v>2.0</v>
      </c>
      <c r="T237" s="214"/>
      <c r="U237" s="214"/>
      <c r="V237" s="214"/>
      <c r="W237" s="214"/>
      <c r="X237" s="214"/>
      <c r="Y237" s="214"/>
      <c r="Z237" s="214"/>
    </row>
    <row r="238" ht="15.75" customHeight="1">
      <c r="A238" s="226">
        <v>46068.0</v>
      </c>
      <c r="B238" s="221">
        <f t="shared" si="22"/>
        <v>0</v>
      </c>
      <c r="C238" s="220">
        <f t="shared" si="23"/>
        <v>0</v>
      </c>
      <c r="D238" s="227">
        <v>621950.0</v>
      </c>
      <c r="E238" s="228">
        <v>110.0</v>
      </c>
      <c r="F238" s="228">
        <v>115.0</v>
      </c>
      <c r="G238" s="229">
        <v>0.0182</v>
      </c>
      <c r="H238" s="228">
        <v>2.0</v>
      </c>
      <c r="I238" s="230">
        <v>1243900.0</v>
      </c>
      <c r="J238" s="228">
        <v>0.0</v>
      </c>
      <c r="K238" s="228">
        <v>0.0</v>
      </c>
      <c r="L238" s="228">
        <v>2.0</v>
      </c>
      <c r="M238" s="228">
        <v>1.0</v>
      </c>
      <c r="N238" s="228">
        <v>1.0</v>
      </c>
      <c r="O238" s="228">
        <v>6.0</v>
      </c>
      <c r="P238" s="229">
        <v>0.0</v>
      </c>
      <c r="Q238" s="193">
        <f t="shared" si="24"/>
        <v>2</v>
      </c>
      <c r="R238" s="230">
        <v>1243900.0</v>
      </c>
      <c r="S238" s="228">
        <v>2.0</v>
      </c>
      <c r="T238" s="214"/>
      <c r="U238" s="214"/>
      <c r="V238" s="214"/>
      <c r="W238" s="214"/>
      <c r="X238" s="214"/>
      <c r="Y238" s="214"/>
      <c r="Z238" s="214"/>
    </row>
    <row r="239" ht="15.75" customHeight="1">
      <c r="A239" s="226">
        <v>46069.0</v>
      </c>
      <c r="B239" s="221">
        <f t="shared" si="22"/>
        <v>926091</v>
      </c>
      <c r="C239" s="220">
        <f t="shared" si="23"/>
        <v>1</v>
      </c>
      <c r="D239" s="227">
        <v>926091.0</v>
      </c>
      <c r="E239" s="228">
        <v>74.0</v>
      </c>
      <c r="F239" s="228">
        <v>89.0</v>
      </c>
      <c r="G239" s="229">
        <v>0.0135</v>
      </c>
      <c r="H239" s="228">
        <v>0.0</v>
      </c>
      <c r="I239" s="228">
        <v>0.0</v>
      </c>
      <c r="J239" s="228">
        <v>0.0</v>
      </c>
      <c r="K239" s="228">
        <v>0.0</v>
      </c>
      <c r="L239" s="228">
        <v>1.0</v>
      </c>
      <c r="M239" s="228">
        <v>1.0</v>
      </c>
      <c r="N239" s="228">
        <v>0.0</v>
      </c>
      <c r="O239" s="228">
        <v>7.0</v>
      </c>
      <c r="P239" s="229">
        <v>0.0</v>
      </c>
      <c r="Q239" s="193">
        <f t="shared" si="24"/>
        <v>2</v>
      </c>
      <c r="R239" s="230">
        <v>926091.0</v>
      </c>
      <c r="S239" s="228">
        <v>1.0</v>
      </c>
      <c r="T239" s="214"/>
      <c r="U239" s="214"/>
      <c r="V239" s="214"/>
      <c r="W239" s="214"/>
      <c r="X239" s="214"/>
      <c r="Y239" s="214"/>
      <c r="Z239" s="214"/>
    </row>
    <row r="240" ht="15.75" customHeight="1">
      <c r="A240" s="226">
        <v>46070.0</v>
      </c>
      <c r="B240" s="221">
        <f t="shared" si="22"/>
        <v>0</v>
      </c>
      <c r="C240" s="220">
        <f t="shared" si="23"/>
        <v>0</v>
      </c>
      <c r="D240" s="228">
        <v>0.0</v>
      </c>
      <c r="E240" s="228">
        <v>44.0</v>
      </c>
      <c r="F240" s="228">
        <v>59.0</v>
      </c>
      <c r="G240" s="229">
        <v>0.0</v>
      </c>
      <c r="H240" s="228">
        <v>0.0</v>
      </c>
      <c r="I240" s="228">
        <v>0.0</v>
      </c>
      <c r="J240" s="228">
        <v>0.0</v>
      </c>
      <c r="K240" s="228">
        <v>0.0</v>
      </c>
      <c r="L240" s="228">
        <v>0.0</v>
      </c>
      <c r="M240" s="228">
        <v>0.0</v>
      </c>
      <c r="N240" s="228">
        <v>0.0</v>
      </c>
      <c r="O240" s="228">
        <v>5.0</v>
      </c>
      <c r="P240" s="229">
        <v>0.0</v>
      </c>
      <c r="Q240" s="193">
        <f t="shared" si="24"/>
        <v>2</v>
      </c>
      <c r="R240" s="228">
        <v>0.0</v>
      </c>
      <c r="S240" s="228">
        <v>0.0</v>
      </c>
      <c r="T240" s="214"/>
      <c r="U240" s="214"/>
      <c r="V240" s="214"/>
      <c r="W240" s="214"/>
      <c r="X240" s="214"/>
      <c r="Y240" s="214"/>
      <c r="Z240" s="214"/>
    </row>
    <row r="241" ht="15.75" customHeight="1">
      <c r="A241" s="226">
        <v>46071.0</v>
      </c>
      <c r="B241" s="221">
        <f t="shared" si="22"/>
        <v>977061</v>
      </c>
      <c r="C241" s="220">
        <f t="shared" si="23"/>
        <v>2</v>
      </c>
      <c r="D241" s="227">
        <v>488530.5</v>
      </c>
      <c r="E241" s="228">
        <v>83.0</v>
      </c>
      <c r="F241" s="228">
        <v>79.0</v>
      </c>
      <c r="G241" s="229">
        <v>0.0241</v>
      </c>
      <c r="H241" s="228">
        <v>0.0</v>
      </c>
      <c r="I241" s="228">
        <v>0.0</v>
      </c>
      <c r="J241" s="228">
        <v>0.0</v>
      </c>
      <c r="K241" s="228">
        <v>0.0</v>
      </c>
      <c r="L241" s="228">
        <v>2.0</v>
      </c>
      <c r="M241" s="228">
        <v>2.0</v>
      </c>
      <c r="N241" s="228">
        <v>0.0</v>
      </c>
      <c r="O241" s="228">
        <v>5.0</v>
      </c>
      <c r="P241" s="229">
        <v>0.0</v>
      </c>
      <c r="Q241" s="193">
        <f t="shared" si="24"/>
        <v>2</v>
      </c>
      <c r="R241" s="230">
        <v>977061.0</v>
      </c>
      <c r="S241" s="228">
        <v>2.0</v>
      </c>
      <c r="T241" s="214"/>
      <c r="U241" s="214"/>
      <c r="V241" s="214"/>
      <c r="W241" s="214"/>
      <c r="X241" s="214"/>
      <c r="Y241" s="214"/>
      <c r="Z241" s="214"/>
    </row>
    <row r="242" ht="15.75" customHeight="1">
      <c r="A242" s="226">
        <v>46072.0</v>
      </c>
      <c r="B242" s="221">
        <f t="shared" si="22"/>
        <v>1009800</v>
      </c>
      <c r="C242" s="220">
        <f t="shared" si="23"/>
        <v>1</v>
      </c>
      <c r="D242" s="227">
        <v>806017.33</v>
      </c>
      <c r="E242" s="228">
        <v>84.0</v>
      </c>
      <c r="F242" s="228">
        <v>77.0</v>
      </c>
      <c r="G242" s="229">
        <v>0.0357</v>
      </c>
      <c r="H242" s="228">
        <v>2.0</v>
      </c>
      <c r="I242" s="230">
        <v>1408252.0</v>
      </c>
      <c r="J242" s="228">
        <v>0.0</v>
      </c>
      <c r="K242" s="228">
        <v>0.0</v>
      </c>
      <c r="L242" s="228">
        <v>3.0</v>
      </c>
      <c r="M242" s="228">
        <v>3.0</v>
      </c>
      <c r="N242" s="228">
        <v>0.0</v>
      </c>
      <c r="O242" s="228">
        <v>6.0</v>
      </c>
      <c r="P242" s="229">
        <v>0.0</v>
      </c>
      <c r="Q242" s="193">
        <f t="shared" si="24"/>
        <v>2</v>
      </c>
      <c r="R242" s="230">
        <v>2418052.0</v>
      </c>
      <c r="S242" s="228">
        <v>3.0</v>
      </c>
      <c r="T242" s="214"/>
      <c r="U242" s="214"/>
      <c r="V242" s="214"/>
      <c r="W242" s="214"/>
      <c r="X242" s="214"/>
      <c r="Y242" s="214"/>
      <c r="Z242" s="214"/>
    </row>
    <row r="243" ht="15.75" customHeight="1">
      <c r="A243" s="226">
        <v>46073.0</v>
      </c>
      <c r="B243" s="221">
        <f t="shared" si="22"/>
        <v>1009800</v>
      </c>
      <c r="C243" s="220">
        <f t="shared" si="23"/>
        <v>1</v>
      </c>
      <c r="D243" s="227">
        <v>1262691.0</v>
      </c>
      <c r="E243" s="228">
        <v>134.0</v>
      </c>
      <c r="F243" s="228">
        <v>112.0</v>
      </c>
      <c r="G243" s="229">
        <v>0.0224</v>
      </c>
      <c r="H243" s="228">
        <v>2.0</v>
      </c>
      <c r="I243" s="230">
        <v>2778273.0</v>
      </c>
      <c r="J243" s="228">
        <v>0.0</v>
      </c>
      <c r="K243" s="228">
        <v>0.0</v>
      </c>
      <c r="L243" s="228">
        <v>2.0</v>
      </c>
      <c r="M243" s="228">
        <v>0.0</v>
      </c>
      <c r="N243" s="228">
        <v>2.0</v>
      </c>
      <c r="O243" s="228">
        <v>10.0</v>
      </c>
      <c r="P243" s="229">
        <v>0.5</v>
      </c>
      <c r="Q243" s="193">
        <f t="shared" si="24"/>
        <v>2</v>
      </c>
      <c r="R243" s="230">
        <v>3788073.0</v>
      </c>
      <c r="S243" s="228">
        <v>3.0</v>
      </c>
      <c r="T243" s="214"/>
      <c r="U243" s="214"/>
      <c r="V243" s="214"/>
      <c r="W243" s="214"/>
      <c r="X243" s="214"/>
      <c r="Y243" s="214"/>
      <c r="Z243" s="214"/>
    </row>
    <row r="244" ht="15.75" customHeight="1">
      <c r="A244" s="226">
        <v>46074.0</v>
      </c>
      <c r="B244" s="221">
        <f t="shared" si="22"/>
        <v>1852182</v>
      </c>
      <c r="C244" s="220">
        <f t="shared" si="23"/>
        <v>1</v>
      </c>
      <c r="D244" s="227">
        <v>1852182.0</v>
      </c>
      <c r="E244" s="228">
        <v>85.0</v>
      </c>
      <c r="F244" s="228">
        <v>137.0</v>
      </c>
      <c r="G244" s="229">
        <v>0.0118</v>
      </c>
      <c r="H244" s="228">
        <v>0.0</v>
      </c>
      <c r="I244" s="228">
        <v>0.0</v>
      </c>
      <c r="J244" s="228">
        <v>0.0</v>
      </c>
      <c r="K244" s="228">
        <v>0.0</v>
      </c>
      <c r="L244" s="228">
        <v>1.0</v>
      </c>
      <c r="M244" s="228">
        <v>0.0</v>
      </c>
      <c r="N244" s="228">
        <v>1.0</v>
      </c>
      <c r="O244" s="228">
        <v>8.0</v>
      </c>
      <c r="P244" s="229">
        <v>0.0</v>
      </c>
      <c r="Q244" s="193">
        <f t="shared" si="24"/>
        <v>2</v>
      </c>
      <c r="R244" s="230">
        <v>1852182.0</v>
      </c>
      <c r="S244" s="228">
        <v>1.0</v>
      </c>
      <c r="T244" s="214"/>
      <c r="U244" s="214"/>
      <c r="V244" s="214"/>
      <c r="W244" s="214"/>
      <c r="X244" s="214"/>
      <c r="Y244" s="214"/>
      <c r="Z244" s="214"/>
    </row>
    <row r="245" ht="15.75" customHeight="1">
      <c r="A245" s="226">
        <v>46075.0</v>
      </c>
      <c r="B245" s="221">
        <f t="shared" si="22"/>
        <v>2261140</v>
      </c>
      <c r="C245" s="220">
        <f t="shared" si="23"/>
        <v>3</v>
      </c>
      <c r="D245" s="227">
        <v>753713.33</v>
      </c>
      <c r="E245" s="228">
        <v>125.0</v>
      </c>
      <c r="F245" s="228">
        <v>145.0</v>
      </c>
      <c r="G245" s="229">
        <v>0.024</v>
      </c>
      <c r="H245" s="228">
        <v>0.0</v>
      </c>
      <c r="I245" s="228">
        <v>0.0</v>
      </c>
      <c r="J245" s="228">
        <v>0.0</v>
      </c>
      <c r="K245" s="228">
        <v>0.0</v>
      </c>
      <c r="L245" s="228">
        <v>3.0</v>
      </c>
      <c r="M245" s="228">
        <v>2.0</v>
      </c>
      <c r="N245" s="228">
        <v>1.0</v>
      </c>
      <c r="O245" s="228">
        <v>7.0</v>
      </c>
      <c r="P245" s="229">
        <v>0.0</v>
      </c>
      <c r="Q245" s="193">
        <f t="shared" si="24"/>
        <v>2</v>
      </c>
      <c r="R245" s="230">
        <v>2261140.0</v>
      </c>
      <c r="S245" s="228">
        <v>3.0</v>
      </c>
      <c r="T245" s="214"/>
      <c r="U245" s="214"/>
      <c r="V245" s="214"/>
      <c r="W245" s="214"/>
      <c r="X245" s="214"/>
      <c r="Y245" s="214"/>
      <c r="Z245" s="214"/>
    </row>
    <row r="246" ht="15.75" customHeight="1">
      <c r="A246" s="226">
        <v>46076.0</v>
      </c>
      <c r="B246" s="221">
        <f t="shared" si="22"/>
        <v>4351400</v>
      </c>
      <c r="C246" s="220">
        <f t="shared" si="23"/>
        <v>4</v>
      </c>
      <c r="D246" s="227">
        <v>1425935.2</v>
      </c>
      <c r="E246" s="228">
        <v>127.0</v>
      </c>
      <c r="F246" s="228">
        <v>377.0</v>
      </c>
      <c r="G246" s="229">
        <v>0.0394</v>
      </c>
      <c r="H246" s="228">
        <v>1.0</v>
      </c>
      <c r="I246" s="230">
        <v>2778276.0</v>
      </c>
      <c r="J246" s="228">
        <v>0.0</v>
      </c>
      <c r="K246" s="228">
        <v>0.0</v>
      </c>
      <c r="L246" s="228">
        <v>5.0</v>
      </c>
      <c r="M246" s="228">
        <v>2.0</v>
      </c>
      <c r="N246" s="228">
        <v>3.0</v>
      </c>
      <c r="O246" s="228">
        <v>11.0</v>
      </c>
      <c r="P246" s="229">
        <v>0.0</v>
      </c>
      <c r="Q246" s="193">
        <f t="shared" si="24"/>
        <v>2</v>
      </c>
      <c r="R246" s="230">
        <v>7129676.0</v>
      </c>
      <c r="S246" s="228">
        <v>5.0</v>
      </c>
      <c r="T246" s="214"/>
      <c r="U246" s="214"/>
      <c r="V246" s="214"/>
      <c r="W246" s="214"/>
      <c r="X246" s="214"/>
      <c r="Y246" s="214"/>
      <c r="Z246" s="214"/>
    </row>
    <row r="247" ht="15.75" customHeight="1">
      <c r="A247" s="226">
        <v>46077.0</v>
      </c>
      <c r="B247" s="221">
        <f t="shared" si="22"/>
        <v>3717596</v>
      </c>
      <c r="C247" s="220">
        <f t="shared" si="23"/>
        <v>5</v>
      </c>
      <c r="D247" s="227">
        <v>665273.71</v>
      </c>
      <c r="E247" s="228">
        <v>118.0</v>
      </c>
      <c r="F247" s="228">
        <v>150.0</v>
      </c>
      <c r="G247" s="229">
        <v>0.0593</v>
      </c>
      <c r="H247" s="228">
        <v>2.0</v>
      </c>
      <c r="I247" s="230">
        <v>939320.0</v>
      </c>
      <c r="J247" s="228">
        <v>0.0</v>
      </c>
      <c r="K247" s="228">
        <v>0.0</v>
      </c>
      <c r="L247" s="228">
        <v>5.0</v>
      </c>
      <c r="M247" s="228">
        <v>2.0</v>
      </c>
      <c r="N247" s="228">
        <v>3.0</v>
      </c>
      <c r="O247" s="228">
        <v>10.0</v>
      </c>
      <c r="P247" s="229">
        <v>0.2</v>
      </c>
      <c r="Q247" s="193">
        <f t="shared" si="24"/>
        <v>2</v>
      </c>
      <c r="R247" s="230">
        <v>4656916.0</v>
      </c>
      <c r="S247" s="228">
        <v>7.0</v>
      </c>
      <c r="T247" s="214"/>
      <c r="U247" s="214"/>
      <c r="V247" s="214"/>
      <c r="W247" s="214"/>
      <c r="X247" s="214"/>
      <c r="Y247" s="214"/>
      <c r="Z247" s="214"/>
    </row>
    <row r="248" ht="15.75" customHeight="1">
      <c r="A248" s="226">
        <v>46078.0</v>
      </c>
      <c r="B248" s="221">
        <f t="shared" si="22"/>
        <v>10500204</v>
      </c>
      <c r="C248" s="220">
        <f t="shared" si="23"/>
        <v>10</v>
      </c>
      <c r="D248" s="227">
        <v>995109.45</v>
      </c>
      <c r="E248" s="228">
        <v>134.0</v>
      </c>
      <c r="F248" s="228">
        <v>107.0</v>
      </c>
      <c r="G248" s="229">
        <v>0.0821</v>
      </c>
      <c r="H248" s="228">
        <v>1.0</v>
      </c>
      <c r="I248" s="230">
        <v>446000.0</v>
      </c>
      <c r="J248" s="228">
        <v>0.0</v>
      </c>
      <c r="K248" s="228">
        <v>0.0</v>
      </c>
      <c r="L248" s="228">
        <v>11.0</v>
      </c>
      <c r="M248" s="228">
        <v>7.0</v>
      </c>
      <c r="N248" s="228">
        <v>4.0</v>
      </c>
      <c r="O248" s="228">
        <v>7.0</v>
      </c>
      <c r="P248" s="229">
        <v>0.0</v>
      </c>
      <c r="Q248" s="193">
        <f t="shared" si="24"/>
        <v>2</v>
      </c>
      <c r="R248" s="230">
        <v>1.0946204E7</v>
      </c>
      <c r="S248" s="228">
        <v>11.0</v>
      </c>
      <c r="T248" s="214"/>
      <c r="U248" s="214"/>
      <c r="V248" s="214"/>
      <c r="W248" s="214"/>
      <c r="X248" s="214"/>
      <c r="Y248" s="214"/>
      <c r="Z248" s="214"/>
    </row>
    <row r="249" ht="15.75" customHeight="1">
      <c r="A249" s="226">
        <v>46079.0</v>
      </c>
      <c r="B249" s="221">
        <f t="shared" si="22"/>
        <v>1498000</v>
      </c>
      <c r="C249" s="220">
        <f t="shared" si="23"/>
        <v>2</v>
      </c>
      <c r="D249" s="227">
        <v>749000.0</v>
      </c>
      <c r="E249" s="228">
        <v>110.0</v>
      </c>
      <c r="F249" s="228">
        <v>117.0</v>
      </c>
      <c r="G249" s="229">
        <v>0.0182</v>
      </c>
      <c r="H249" s="228">
        <v>0.0</v>
      </c>
      <c r="I249" s="228">
        <v>0.0</v>
      </c>
      <c r="J249" s="228">
        <v>0.0</v>
      </c>
      <c r="K249" s="228">
        <v>0.0</v>
      </c>
      <c r="L249" s="228">
        <v>2.0</v>
      </c>
      <c r="M249" s="228">
        <v>1.0</v>
      </c>
      <c r="N249" s="228">
        <v>1.0</v>
      </c>
      <c r="O249" s="228">
        <v>13.0</v>
      </c>
      <c r="P249" s="229">
        <v>0.0</v>
      </c>
      <c r="Q249" s="193">
        <f t="shared" si="24"/>
        <v>2</v>
      </c>
      <c r="R249" s="230">
        <v>1498000.0</v>
      </c>
      <c r="S249" s="228">
        <v>2.0</v>
      </c>
      <c r="T249" s="214"/>
      <c r="U249" s="214"/>
      <c r="V249" s="214"/>
      <c r="W249" s="214"/>
      <c r="X249" s="214"/>
      <c r="Y249" s="214"/>
      <c r="Z249" s="214"/>
    </row>
    <row r="250" ht="15.75" customHeight="1">
      <c r="A250" s="226">
        <v>46080.0</v>
      </c>
      <c r="B250" s="221">
        <f t="shared" si="22"/>
        <v>1335040</v>
      </c>
      <c r="C250" s="220">
        <f t="shared" si="23"/>
        <v>2</v>
      </c>
      <c r="D250" s="227">
        <v>667520.0</v>
      </c>
      <c r="E250" s="228">
        <v>119.0</v>
      </c>
      <c r="F250" s="228">
        <v>118.0</v>
      </c>
      <c r="G250" s="229">
        <v>0.0168</v>
      </c>
      <c r="H250" s="228">
        <v>0.0</v>
      </c>
      <c r="I250" s="228">
        <v>0.0</v>
      </c>
      <c r="J250" s="228">
        <v>0.0</v>
      </c>
      <c r="K250" s="228">
        <v>0.0</v>
      </c>
      <c r="L250" s="228">
        <v>2.0</v>
      </c>
      <c r="M250" s="228">
        <v>2.0</v>
      </c>
      <c r="N250" s="228">
        <v>0.0</v>
      </c>
      <c r="O250" s="228">
        <v>11.0</v>
      </c>
      <c r="P250" s="229">
        <v>0.0</v>
      </c>
      <c r="Q250" s="193">
        <f t="shared" si="24"/>
        <v>2</v>
      </c>
      <c r="R250" s="230">
        <v>1335040.0</v>
      </c>
      <c r="S250" s="228">
        <v>2.0</v>
      </c>
      <c r="T250" s="214"/>
      <c r="U250" s="214"/>
      <c r="V250" s="214"/>
      <c r="W250" s="214"/>
      <c r="X250" s="214"/>
      <c r="Y250" s="214"/>
      <c r="Z250" s="214"/>
    </row>
    <row r="251" ht="15.75" customHeight="1">
      <c r="A251" s="226">
        <v>46081.0</v>
      </c>
      <c r="B251" s="221">
        <f t="shared" si="22"/>
        <v>1836900</v>
      </c>
      <c r="C251" s="220">
        <f t="shared" si="23"/>
        <v>1</v>
      </c>
      <c r="D251" s="227">
        <v>1836900.0</v>
      </c>
      <c r="E251" s="228">
        <v>80.0</v>
      </c>
      <c r="F251" s="228">
        <v>83.0</v>
      </c>
      <c r="G251" s="229">
        <v>0.0125</v>
      </c>
      <c r="H251" s="228">
        <v>0.0</v>
      </c>
      <c r="I251" s="228">
        <v>0.0</v>
      </c>
      <c r="J251" s="228">
        <v>0.0</v>
      </c>
      <c r="K251" s="228">
        <v>0.0</v>
      </c>
      <c r="L251" s="228">
        <v>1.0</v>
      </c>
      <c r="M251" s="228">
        <v>1.0</v>
      </c>
      <c r="N251" s="228">
        <v>0.0</v>
      </c>
      <c r="O251" s="228">
        <v>8.0</v>
      </c>
      <c r="P251" s="229">
        <v>0.0</v>
      </c>
      <c r="Q251" s="193">
        <f t="shared" si="24"/>
        <v>2</v>
      </c>
      <c r="R251" s="230">
        <v>1836900.0</v>
      </c>
      <c r="S251" s="228">
        <v>1.0</v>
      </c>
      <c r="T251" s="214"/>
      <c r="U251" s="214"/>
      <c r="V251" s="214"/>
      <c r="W251" s="214"/>
      <c r="X251" s="214"/>
      <c r="Y251" s="214"/>
      <c r="Z251" s="214"/>
    </row>
    <row r="252" ht="15.75" customHeight="1">
      <c r="A252" s="214"/>
      <c r="B252" s="214"/>
      <c r="C252" s="214"/>
      <c r="D252" s="214"/>
      <c r="E252" s="214"/>
      <c r="F252" s="214"/>
      <c r="G252" s="214"/>
      <c r="H252" s="214"/>
      <c r="I252" s="214"/>
      <c r="J252" s="214"/>
      <c r="K252" s="214"/>
      <c r="L252" s="214"/>
      <c r="M252" s="214"/>
      <c r="N252" s="214"/>
      <c r="O252" s="214"/>
      <c r="P252" s="214"/>
      <c r="Q252" s="156"/>
      <c r="R252" s="214"/>
      <c r="S252" s="214"/>
      <c r="T252" s="214"/>
      <c r="U252" s="214"/>
      <c r="V252" s="214"/>
      <c r="W252" s="214"/>
      <c r="X252" s="214"/>
      <c r="Y252" s="214"/>
      <c r="Z252" s="214"/>
    </row>
    <row r="253" ht="15.75" customHeight="1">
      <c r="A253" s="214"/>
      <c r="B253" s="214"/>
      <c r="C253" s="214"/>
      <c r="D253" s="214"/>
      <c r="E253" s="214"/>
      <c r="F253" s="214"/>
      <c r="G253" s="214"/>
      <c r="H253" s="214"/>
      <c r="I253" s="214"/>
      <c r="J253" s="214"/>
      <c r="K253" s="214"/>
      <c r="L253" s="214"/>
      <c r="M253" s="214"/>
      <c r="N253" s="214"/>
      <c r="O253" s="214"/>
      <c r="P253" s="214"/>
      <c r="Q253" s="156"/>
      <c r="R253" s="214"/>
      <c r="S253" s="214"/>
      <c r="T253" s="214"/>
      <c r="U253" s="214"/>
      <c r="V253" s="214"/>
      <c r="W253" s="214"/>
      <c r="X253" s="214"/>
      <c r="Y253" s="214"/>
      <c r="Z253" s="214"/>
    </row>
    <row r="254" ht="15.75" customHeight="1">
      <c r="A254" s="214"/>
      <c r="B254" s="214"/>
      <c r="C254" s="214"/>
      <c r="D254" s="214"/>
      <c r="E254" s="214"/>
      <c r="F254" s="214"/>
      <c r="G254" s="214"/>
      <c r="H254" s="214"/>
      <c r="I254" s="214"/>
      <c r="J254" s="214"/>
      <c r="K254" s="214"/>
      <c r="L254" s="214"/>
      <c r="M254" s="214"/>
      <c r="N254" s="214"/>
      <c r="O254" s="214"/>
      <c r="P254" s="214"/>
      <c r="Q254" s="156"/>
      <c r="R254" s="214"/>
      <c r="S254" s="214"/>
      <c r="T254" s="214"/>
      <c r="U254" s="214"/>
      <c r="V254" s="214"/>
      <c r="W254" s="214"/>
      <c r="X254" s="214"/>
      <c r="Y254" s="214"/>
      <c r="Z254" s="214"/>
    </row>
    <row r="255" ht="15.75" customHeight="1">
      <c r="A255" s="214"/>
      <c r="B255" s="214"/>
      <c r="C255" s="214"/>
      <c r="D255" s="214"/>
      <c r="E255" s="214"/>
      <c r="F255" s="214"/>
      <c r="G255" s="214"/>
      <c r="H255" s="214"/>
      <c r="I255" s="214"/>
      <c r="J255" s="214"/>
      <c r="K255" s="214"/>
      <c r="L255" s="214"/>
      <c r="M255" s="214"/>
      <c r="N255" s="214"/>
      <c r="O255" s="214"/>
      <c r="P255" s="214"/>
      <c r="Q255" s="156"/>
      <c r="R255" s="214"/>
      <c r="S255" s="214"/>
      <c r="T255" s="214"/>
      <c r="U255" s="214"/>
      <c r="V255" s="214"/>
      <c r="W255" s="214"/>
      <c r="X255" s="214"/>
      <c r="Y255" s="214"/>
      <c r="Z255" s="214"/>
    </row>
    <row r="256" ht="15.75" customHeight="1">
      <c r="A256" s="214"/>
      <c r="B256" s="214"/>
      <c r="C256" s="214"/>
      <c r="D256" s="214"/>
      <c r="E256" s="214"/>
      <c r="F256" s="214"/>
      <c r="G256" s="214"/>
      <c r="H256" s="214"/>
      <c r="I256" s="214"/>
      <c r="J256" s="214"/>
      <c r="K256" s="214"/>
      <c r="L256" s="214"/>
      <c r="M256" s="214"/>
      <c r="N256" s="214"/>
      <c r="O256" s="214"/>
      <c r="P256" s="214"/>
      <c r="Q256" s="156"/>
      <c r="R256" s="214"/>
      <c r="S256" s="214"/>
      <c r="T256" s="214"/>
      <c r="U256" s="214"/>
      <c r="V256" s="214"/>
      <c r="W256" s="214"/>
      <c r="X256" s="214"/>
      <c r="Y256" s="214"/>
      <c r="Z256" s="214"/>
    </row>
    <row r="257" ht="15.75" customHeight="1">
      <c r="A257" s="214"/>
      <c r="B257" s="214"/>
      <c r="C257" s="214"/>
      <c r="D257" s="214"/>
      <c r="E257" s="214"/>
      <c r="F257" s="214"/>
      <c r="G257" s="214"/>
      <c r="H257" s="214"/>
      <c r="I257" s="214"/>
      <c r="J257" s="214"/>
      <c r="K257" s="214"/>
      <c r="L257" s="214"/>
      <c r="M257" s="214"/>
      <c r="N257" s="214"/>
      <c r="O257" s="214"/>
      <c r="P257" s="214"/>
      <c r="Q257" s="156"/>
      <c r="R257" s="214"/>
      <c r="S257" s="214"/>
      <c r="T257" s="214"/>
      <c r="U257" s="214"/>
      <c r="V257" s="214"/>
      <c r="W257" s="214"/>
      <c r="X257" s="214"/>
      <c r="Y257" s="214"/>
      <c r="Z257" s="214"/>
    </row>
    <row r="258" ht="15.75" customHeight="1">
      <c r="A258" s="214"/>
      <c r="B258" s="214"/>
      <c r="C258" s="214"/>
      <c r="D258" s="214"/>
      <c r="E258" s="214"/>
      <c r="F258" s="214"/>
      <c r="G258" s="214"/>
      <c r="H258" s="214"/>
      <c r="I258" s="214"/>
      <c r="J258" s="214"/>
      <c r="K258" s="214"/>
      <c r="L258" s="214"/>
      <c r="M258" s="214"/>
      <c r="N258" s="214"/>
      <c r="O258" s="214"/>
      <c r="P258" s="214"/>
      <c r="Q258" s="156"/>
      <c r="R258" s="214"/>
      <c r="S258" s="214"/>
      <c r="T258" s="214"/>
      <c r="U258" s="214"/>
      <c r="V258" s="214"/>
      <c r="W258" s="214"/>
      <c r="X258" s="214"/>
      <c r="Y258" s="214"/>
      <c r="Z258" s="214"/>
    </row>
    <row r="259" ht="15.75" customHeight="1">
      <c r="A259" s="214"/>
      <c r="B259" s="214"/>
      <c r="C259" s="214"/>
      <c r="D259" s="214"/>
      <c r="E259" s="214"/>
      <c r="F259" s="214"/>
      <c r="G259" s="214"/>
      <c r="H259" s="214"/>
      <c r="I259" s="214"/>
      <c r="J259" s="214"/>
      <c r="K259" s="214"/>
      <c r="L259" s="214"/>
      <c r="M259" s="214"/>
      <c r="N259" s="214"/>
      <c r="O259" s="214"/>
      <c r="P259" s="214"/>
      <c r="Q259" s="156"/>
      <c r="R259" s="214"/>
      <c r="S259" s="214"/>
      <c r="T259" s="214"/>
      <c r="U259" s="214"/>
      <c r="V259" s="214"/>
      <c r="W259" s="214"/>
      <c r="X259" s="214"/>
      <c r="Y259" s="214"/>
      <c r="Z259" s="214"/>
    </row>
    <row r="260" ht="15.75" customHeight="1">
      <c r="A260" s="214"/>
      <c r="B260" s="214"/>
      <c r="C260" s="214"/>
      <c r="D260" s="214"/>
      <c r="E260" s="214"/>
      <c r="F260" s="214"/>
      <c r="G260" s="214"/>
      <c r="H260" s="214"/>
      <c r="I260" s="214"/>
      <c r="J260" s="214"/>
      <c r="K260" s="214"/>
      <c r="L260" s="214"/>
      <c r="M260" s="214"/>
      <c r="N260" s="214"/>
      <c r="O260" s="214"/>
      <c r="P260" s="214"/>
      <c r="Q260" s="156"/>
      <c r="R260" s="214"/>
      <c r="S260" s="214"/>
      <c r="T260" s="214"/>
      <c r="U260" s="214"/>
      <c r="V260" s="214"/>
      <c r="W260" s="214"/>
      <c r="X260" s="214"/>
      <c r="Y260" s="214"/>
      <c r="Z260" s="214"/>
    </row>
    <row r="261" ht="15.75" customHeight="1">
      <c r="A261" s="214"/>
      <c r="B261" s="214"/>
      <c r="C261" s="214"/>
      <c r="D261" s="214"/>
      <c r="E261" s="214"/>
      <c r="F261" s="214"/>
      <c r="G261" s="214"/>
      <c r="H261" s="214"/>
      <c r="I261" s="214"/>
      <c r="J261" s="214"/>
      <c r="K261" s="214"/>
      <c r="L261" s="214"/>
      <c r="M261" s="214"/>
      <c r="N261" s="214"/>
      <c r="O261" s="214"/>
      <c r="P261" s="214"/>
      <c r="Q261" s="156"/>
      <c r="R261" s="214"/>
      <c r="S261" s="214"/>
      <c r="T261" s="214"/>
      <c r="U261" s="214"/>
      <c r="V261" s="214"/>
      <c r="W261" s="214"/>
      <c r="X261" s="214"/>
      <c r="Y261" s="214"/>
      <c r="Z261" s="214"/>
    </row>
    <row r="262" ht="15.75" customHeight="1">
      <c r="A262" s="214"/>
      <c r="B262" s="214"/>
      <c r="C262" s="214"/>
      <c r="D262" s="214"/>
      <c r="E262" s="214"/>
      <c r="F262" s="214"/>
      <c r="G262" s="214"/>
      <c r="H262" s="214"/>
      <c r="I262" s="214"/>
      <c r="J262" s="214"/>
      <c r="K262" s="214"/>
      <c r="L262" s="214"/>
      <c r="M262" s="214"/>
      <c r="N262" s="214"/>
      <c r="O262" s="214"/>
      <c r="P262" s="214"/>
      <c r="Q262" s="156"/>
      <c r="R262" s="214"/>
      <c r="S262" s="214"/>
      <c r="T262" s="214"/>
      <c r="U262" s="214"/>
      <c r="V262" s="214"/>
      <c r="W262" s="214"/>
      <c r="X262" s="214"/>
      <c r="Y262" s="214"/>
      <c r="Z262" s="214"/>
    </row>
    <row r="263" ht="15.75" customHeight="1">
      <c r="A263" s="214"/>
      <c r="B263" s="214"/>
      <c r="C263" s="214"/>
      <c r="D263" s="214"/>
      <c r="E263" s="214"/>
      <c r="F263" s="214"/>
      <c r="G263" s="214"/>
      <c r="H263" s="214"/>
      <c r="I263" s="214"/>
      <c r="J263" s="214"/>
      <c r="K263" s="214"/>
      <c r="L263" s="214"/>
      <c r="M263" s="214"/>
      <c r="N263" s="214"/>
      <c r="O263" s="214"/>
      <c r="P263" s="214"/>
      <c r="Q263" s="156"/>
      <c r="R263" s="214"/>
      <c r="S263" s="214"/>
      <c r="T263" s="214"/>
      <c r="U263" s="214"/>
      <c r="V263" s="214"/>
      <c r="W263" s="214"/>
      <c r="X263" s="214"/>
      <c r="Y263" s="214"/>
      <c r="Z263" s="214"/>
    </row>
    <row r="264" ht="15.75" customHeight="1">
      <c r="A264" s="214"/>
      <c r="B264" s="214"/>
      <c r="C264" s="214"/>
      <c r="D264" s="214"/>
      <c r="E264" s="214"/>
      <c r="F264" s="214"/>
      <c r="G264" s="214"/>
      <c r="H264" s="214"/>
      <c r="I264" s="214"/>
      <c r="J264" s="214"/>
      <c r="K264" s="214"/>
      <c r="L264" s="214"/>
      <c r="M264" s="214"/>
      <c r="N264" s="214"/>
      <c r="O264" s="214"/>
      <c r="P264" s="214"/>
      <c r="Q264" s="156"/>
      <c r="R264" s="214"/>
      <c r="S264" s="214"/>
      <c r="T264" s="214"/>
      <c r="U264" s="214"/>
      <c r="V264" s="214"/>
      <c r="W264" s="214"/>
      <c r="X264" s="214"/>
      <c r="Y264" s="214"/>
      <c r="Z264" s="214"/>
    </row>
    <row r="265" ht="15.75" customHeight="1">
      <c r="A265" s="214"/>
      <c r="B265" s="214"/>
      <c r="C265" s="214"/>
      <c r="D265" s="214"/>
      <c r="E265" s="214"/>
      <c r="F265" s="214"/>
      <c r="G265" s="214"/>
      <c r="H265" s="214"/>
      <c r="I265" s="214"/>
      <c r="J265" s="214"/>
      <c r="K265" s="214"/>
      <c r="L265" s="214"/>
      <c r="M265" s="214"/>
      <c r="N265" s="214"/>
      <c r="O265" s="214"/>
      <c r="P265" s="214"/>
      <c r="Q265" s="156"/>
      <c r="R265" s="214"/>
      <c r="S265" s="214"/>
      <c r="T265" s="214"/>
      <c r="U265" s="214"/>
      <c r="V265" s="214"/>
      <c r="W265" s="214"/>
      <c r="X265" s="214"/>
      <c r="Y265" s="214"/>
      <c r="Z265" s="214"/>
    </row>
    <row r="266" ht="15.75" customHeight="1">
      <c r="A266" s="214"/>
      <c r="B266" s="214"/>
      <c r="C266" s="214"/>
      <c r="D266" s="214"/>
      <c r="E266" s="214"/>
      <c r="F266" s="214"/>
      <c r="G266" s="214"/>
      <c r="H266" s="214"/>
      <c r="I266" s="214"/>
      <c r="J266" s="214"/>
      <c r="K266" s="214"/>
      <c r="L266" s="214"/>
      <c r="M266" s="214"/>
      <c r="N266" s="214"/>
      <c r="O266" s="214"/>
      <c r="P266" s="214"/>
      <c r="Q266" s="156"/>
      <c r="R266" s="214"/>
      <c r="S266" s="214"/>
      <c r="T266" s="214"/>
      <c r="U266" s="214"/>
      <c r="V266" s="214"/>
      <c r="W266" s="214"/>
      <c r="X266" s="214"/>
      <c r="Y266" s="214"/>
      <c r="Z266" s="214"/>
    </row>
    <row r="267" ht="15.75" customHeight="1">
      <c r="A267" s="214"/>
      <c r="B267" s="214"/>
      <c r="C267" s="214"/>
      <c r="D267" s="214"/>
      <c r="E267" s="214"/>
      <c r="F267" s="214"/>
      <c r="G267" s="214"/>
      <c r="H267" s="214"/>
      <c r="I267" s="214"/>
      <c r="J267" s="214"/>
      <c r="K267" s="214"/>
      <c r="L267" s="214"/>
      <c r="M267" s="214"/>
      <c r="N267" s="214"/>
      <c r="O267" s="214"/>
      <c r="P267" s="214"/>
      <c r="Q267" s="156"/>
      <c r="R267" s="214"/>
      <c r="S267" s="214"/>
      <c r="T267" s="214"/>
      <c r="U267" s="214"/>
      <c r="V267" s="214"/>
      <c r="W267" s="214"/>
      <c r="X267" s="214"/>
      <c r="Y267" s="214"/>
      <c r="Z267" s="214"/>
    </row>
    <row r="268" ht="15.75" customHeight="1">
      <c r="A268" s="214"/>
      <c r="B268" s="214"/>
      <c r="C268" s="214"/>
      <c r="D268" s="214"/>
      <c r="E268" s="214"/>
      <c r="F268" s="214"/>
      <c r="G268" s="214"/>
      <c r="H268" s="214"/>
      <c r="I268" s="214"/>
      <c r="J268" s="214"/>
      <c r="K268" s="214"/>
      <c r="L268" s="214"/>
      <c r="M268" s="214"/>
      <c r="N268" s="214"/>
      <c r="O268" s="214"/>
      <c r="P268" s="214"/>
      <c r="Q268" s="156"/>
      <c r="R268" s="214"/>
      <c r="S268" s="214"/>
      <c r="T268" s="214"/>
      <c r="U268" s="214"/>
      <c r="V268" s="214"/>
      <c r="W268" s="214"/>
      <c r="X268" s="214"/>
      <c r="Y268" s="214"/>
      <c r="Z268" s="214"/>
    </row>
    <row r="269" ht="15.75" customHeight="1">
      <c r="A269" s="214"/>
      <c r="B269" s="214"/>
      <c r="C269" s="214"/>
      <c r="D269" s="214"/>
      <c r="E269" s="214"/>
      <c r="F269" s="214"/>
      <c r="G269" s="214"/>
      <c r="H269" s="214"/>
      <c r="I269" s="214"/>
      <c r="J269" s="214"/>
      <c r="K269" s="214"/>
      <c r="L269" s="214"/>
      <c r="M269" s="214"/>
      <c r="N269" s="214"/>
      <c r="O269" s="214"/>
      <c r="P269" s="214"/>
      <c r="Q269" s="156"/>
      <c r="R269" s="214"/>
      <c r="S269" s="214"/>
      <c r="T269" s="214"/>
      <c r="U269" s="214"/>
      <c r="V269" s="214"/>
      <c r="W269" s="214"/>
      <c r="X269" s="214"/>
      <c r="Y269" s="214"/>
      <c r="Z269" s="214"/>
    </row>
    <row r="270" ht="15.75" customHeight="1">
      <c r="A270" s="214"/>
      <c r="B270" s="214"/>
      <c r="C270" s="214"/>
      <c r="D270" s="214"/>
      <c r="E270" s="214"/>
      <c r="F270" s="214"/>
      <c r="G270" s="214"/>
      <c r="H270" s="214"/>
      <c r="I270" s="214"/>
      <c r="J270" s="214"/>
      <c r="K270" s="214"/>
      <c r="L270" s="214"/>
      <c r="M270" s="214"/>
      <c r="N270" s="214"/>
      <c r="O270" s="214"/>
      <c r="P270" s="214"/>
      <c r="Q270" s="156"/>
      <c r="R270" s="214"/>
      <c r="S270" s="214"/>
      <c r="T270" s="214"/>
      <c r="U270" s="214"/>
      <c r="V270" s="214"/>
      <c r="W270" s="214"/>
      <c r="X270" s="214"/>
      <c r="Y270" s="214"/>
      <c r="Z270" s="214"/>
    </row>
    <row r="271" ht="15.75" customHeight="1">
      <c r="A271" s="214"/>
      <c r="B271" s="214"/>
      <c r="C271" s="214"/>
      <c r="D271" s="214"/>
      <c r="E271" s="214"/>
      <c r="F271" s="214"/>
      <c r="G271" s="214"/>
      <c r="H271" s="214"/>
      <c r="I271" s="214"/>
      <c r="J271" s="214"/>
      <c r="K271" s="214"/>
      <c r="L271" s="214"/>
      <c r="M271" s="214"/>
      <c r="N271" s="214"/>
      <c r="O271" s="214"/>
      <c r="P271" s="214"/>
      <c r="Q271" s="156"/>
      <c r="R271" s="214"/>
      <c r="S271" s="214"/>
      <c r="T271" s="214"/>
      <c r="U271" s="214"/>
      <c r="V271" s="214"/>
      <c r="W271" s="214"/>
      <c r="X271" s="214"/>
      <c r="Y271" s="214"/>
      <c r="Z271" s="214"/>
    </row>
    <row r="272" ht="15.75" customHeight="1">
      <c r="A272" s="214"/>
      <c r="B272" s="214"/>
      <c r="C272" s="214"/>
      <c r="D272" s="214"/>
      <c r="E272" s="214"/>
      <c r="F272" s="214"/>
      <c r="G272" s="214"/>
      <c r="H272" s="214"/>
      <c r="I272" s="214"/>
      <c r="J272" s="214"/>
      <c r="K272" s="214"/>
      <c r="L272" s="214"/>
      <c r="M272" s="214"/>
      <c r="N272" s="214"/>
      <c r="O272" s="214"/>
      <c r="P272" s="214"/>
      <c r="Q272" s="156"/>
      <c r="R272" s="214"/>
      <c r="S272" s="214"/>
      <c r="T272" s="214"/>
      <c r="U272" s="214"/>
      <c r="V272" s="214"/>
      <c r="W272" s="214"/>
      <c r="X272" s="214"/>
      <c r="Y272" s="214"/>
      <c r="Z272" s="214"/>
    </row>
    <row r="273" ht="15.75" customHeight="1">
      <c r="A273" s="214"/>
      <c r="B273" s="214"/>
      <c r="C273" s="214"/>
      <c r="D273" s="214"/>
      <c r="E273" s="214"/>
      <c r="F273" s="214"/>
      <c r="G273" s="214"/>
      <c r="H273" s="214"/>
      <c r="I273" s="214"/>
      <c r="J273" s="214"/>
      <c r="K273" s="214"/>
      <c r="L273" s="214"/>
      <c r="M273" s="214"/>
      <c r="N273" s="214"/>
      <c r="O273" s="214"/>
      <c r="P273" s="214"/>
      <c r="Q273" s="156"/>
      <c r="R273" s="214"/>
      <c r="S273" s="214"/>
      <c r="T273" s="214"/>
      <c r="U273" s="214"/>
      <c r="V273" s="214"/>
      <c r="W273" s="214"/>
      <c r="X273" s="214"/>
      <c r="Y273" s="214"/>
      <c r="Z273" s="214"/>
    </row>
    <row r="274" ht="15.75" customHeight="1">
      <c r="A274" s="214"/>
      <c r="B274" s="214"/>
      <c r="C274" s="214"/>
      <c r="D274" s="214"/>
      <c r="E274" s="214"/>
      <c r="F274" s="214"/>
      <c r="G274" s="214"/>
      <c r="H274" s="214"/>
      <c r="I274" s="214"/>
      <c r="J274" s="214"/>
      <c r="K274" s="214"/>
      <c r="L274" s="214"/>
      <c r="M274" s="214"/>
      <c r="N274" s="214"/>
      <c r="O274" s="214"/>
      <c r="P274" s="214"/>
      <c r="Q274" s="156"/>
      <c r="R274" s="214"/>
      <c r="S274" s="214"/>
      <c r="T274" s="214"/>
      <c r="U274" s="214"/>
      <c r="V274" s="214"/>
      <c r="W274" s="214"/>
      <c r="X274" s="214"/>
      <c r="Y274" s="214"/>
      <c r="Z274" s="214"/>
    </row>
    <row r="275" ht="15.75" customHeight="1">
      <c r="A275" s="214"/>
      <c r="B275" s="214"/>
      <c r="C275" s="214"/>
      <c r="D275" s="214"/>
      <c r="E275" s="214"/>
      <c r="F275" s="214"/>
      <c r="G275" s="214"/>
      <c r="H275" s="214"/>
      <c r="I275" s="214"/>
      <c r="J275" s="214"/>
      <c r="K275" s="214"/>
      <c r="L275" s="214"/>
      <c r="M275" s="214"/>
      <c r="N275" s="214"/>
      <c r="O275" s="214"/>
      <c r="P275" s="214"/>
      <c r="Q275" s="156"/>
      <c r="R275" s="214"/>
      <c r="S275" s="214"/>
      <c r="T275" s="214"/>
      <c r="U275" s="214"/>
      <c r="V275" s="214"/>
      <c r="W275" s="214"/>
      <c r="X275" s="214"/>
      <c r="Y275" s="214"/>
      <c r="Z275" s="214"/>
    </row>
    <row r="276" ht="15.75" customHeight="1">
      <c r="A276" s="214"/>
      <c r="B276" s="214"/>
      <c r="C276" s="214"/>
      <c r="D276" s="214"/>
      <c r="E276" s="214"/>
      <c r="F276" s="214"/>
      <c r="G276" s="214"/>
      <c r="H276" s="214"/>
      <c r="I276" s="214"/>
      <c r="J276" s="214"/>
      <c r="K276" s="214"/>
      <c r="L276" s="214"/>
      <c r="M276" s="214"/>
      <c r="N276" s="214"/>
      <c r="O276" s="214"/>
      <c r="P276" s="214"/>
      <c r="Q276" s="156"/>
      <c r="R276" s="214"/>
      <c r="S276" s="214"/>
      <c r="T276" s="214"/>
      <c r="U276" s="214"/>
      <c r="V276" s="214"/>
      <c r="W276" s="214"/>
      <c r="X276" s="214"/>
      <c r="Y276" s="214"/>
      <c r="Z276" s="214"/>
    </row>
    <row r="277" ht="15.75" customHeight="1">
      <c r="A277" s="214"/>
      <c r="B277" s="214"/>
      <c r="C277" s="214"/>
      <c r="D277" s="214"/>
      <c r="E277" s="214"/>
      <c r="F277" s="214"/>
      <c r="G277" s="214"/>
      <c r="H277" s="214"/>
      <c r="I277" s="214"/>
      <c r="J277" s="214"/>
      <c r="K277" s="214"/>
      <c r="L277" s="214"/>
      <c r="M277" s="214"/>
      <c r="N277" s="214"/>
      <c r="O277" s="214"/>
      <c r="P277" s="214"/>
      <c r="Q277" s="156"/>
      <c r="R277" s="214"/>
      <c r="S277" s="214"/>
      <c r="T277" s="214"/>
      <c r="U277" s="214"/>
      <c r="V277" s="214"/>
      <c r="W277" s="214"/>
      <c r="X277" s="214"/>
      <c r="Y277" s="214"/>
      <c r="Z277" s="214"/>
    </row>
    <row r="278" ht="15.75" customHeight="1">
      <c r="A278" s="214"/>
      <c r="B278" s="214"/>
      <c r="C278" s="214"/>
      <c r="D278" s="214"/>
      <c r="E278" s="214"/>
      <c r="F278" s="214"/>
      <c r="G278" s="214"/>
      <c r="H278" s="214"/>
      <c r="I278" s="214"/>
      <c r="J278" s="214"/>
      <c r="K278" s="214"/>
      <c r="L278" s="214"/>
      <c r="M278" s="214"/>
      <c r="N278" s="214"/>
      <c r="O278" s="214"/>
      <c r="P278" s="214"/>
      <c r="Q278" s="156"/>
      <c r="R278" s="214"/>
      <c r="S278" s="214"/>
      <c r="T278" s="214"/>
      <c r="U278" s="214"/>
      <c r="V278" s="214"/>
      <c r="W278" s="214"/>
      <c r="X278" s="214"/>
      <c r="Y278" s="214"/>
      <c r="Z278" s="214"/>
    </row>
    <row r="279" ht="15.75" customHeight="1">
      <c r="A279" s="214"/>
      <c r="B279" s="214"/>
      <c r="C279" s="214"/>
      <c r="D279" s="214"/>
      <c r="E279" s="214"/>
      <c r="F279" s="214"/>
      <c r="G279" s="214"/>
      <c r="H279" s="214"/>
      <c r="I279" s="214"/>
      <c r="J279" s="214"/>
      <c r="K279" s="214"/>
      <c r="L279" s="214"/>
      <c r="M279" s="214"/>
      <c r="N279" s="214"/>
      <c r="O279" s="214"/>
      <c r="P279" s="214"/>
      <c r="Q279" s="156"/>
      <c r="R279" s="214"/>
      <c r="S279" s="214"/>
      <c r="T279" s="214"/>
      <c r="U279" s="214"/>
      <c r="V279" s="214"/>
      <c r="W279" s="214"/>
      <c r="X279" s="214"/>
      <c r="Y279" s="214"/>
      <c r="Z279" s="214"/>
    </row>
    <row r="280" ht="15.75" customHeight="1">
      <c r="A280" s="214"/>
      <c r="B280" s="214"/>
      <c r="C280" s="214"/>
      <c r="D280" s="214"/>
      <c r="E280" s="214"/>
      <c r="F280" s="214"/>
      <c r="G280" s="214"/>
      <c r="H280" s="214"/>
      <c r="I280" s="214"/>
      <c r="J280" s="214"/>
      <c r="K280" s="214"/>
      <c r="L280" s="214"/>
      <c r="M280" s="214"/>
      <c r="N280" s="214"/>
      <c r="O280" s="214"/>
      <c r="P280" s="214"/>
      <c r="Q280" s="156"/>
      <c r="R280" s="214"/>
      <c r="S280" s="214"/>
      <c r="T280" s="214"/>
      <c r="U280" s="214"/>
      <c r="V280" s="214"/>
      <c r="W280" s="214"/>
      <c r="X280" s="214"/>
      <c r="Y280" s="214"/>
      <c r="Z280" s="214"/>
    </row>
    <row r="281" ht="15.75" customHeight="1">
      <c r="A281" s="214"/>
      <c r="B281" s="214"/>
      <c r="C281" s="214"/>
      <c r="D281" s="214"/>
      <c r="E281" s="214"/>
      <c r="F281" s="214"/>
      <c r="G281" s="214"/>
      <c r="H281" s="214"/>
      <c r="I281" s="214"/>
      <c r="J281" s="214"/>
      <c r="K281" s="214"/>
      <c r="L281" s="214"/>
      <c r="M281" s="214"/>
      <c r="N281" s="214"/>
      <c r="O281" s="214"/>
      <c r="P281" s="214"/>
      <c r="Q281" s="156"/>
      <c r="R281" s="214"/>
      <c r="S281" s="214"/>
      <c r="T281" s="214"/>
      <c r="U281" s="214"/>
      <c r="V281" s="214"/>
      <c r="W281" s="214"/>
      <c r="X281" s="214"/>
      <c r="Y281" s="214"/>
      <c r="Z281" s="214"/>
    </row>
    <row r="282" ht="15.75" customHeight="1">
      <c r="A282" s="214"/>
      <c r="B282" s="214"/>
      <c r="C282" s="214"/>
      <c r="D282" s="214"/>
      <c r="E282" s="214"/>
      <c r="F282" s="214"/>
      <c r="G282" s="214"/>
      <c r="H282" s="214"/>
      <c r="I282" s="214"/>
      <c r="J282" s="214"/>
      <c r="K282" s="214"/>
      <c r="L282" s="214"/>
      <c r="M282" s="214"/>
      <c r="N282" s="214"/>
      <c r="O282" s="214"/>
      <c r="P282" s="214"/>
      <c r="Q282" s="156"/>
      <c r="R282" s="214"/>
      <c r="S282" s="214"/>
      <c r="T282" s="214"/>
      <c r="U282" s="214"/>
      <c r="V282" s="214"/>
      <c r="W282" s="214"/>
      <c r="X282" s="214"/>
      <c r="Y282" s="214"/>
      <c r="Z282" s="214"/>
    </row>
    <row r="283" ht="15.75" customHeight="1">
      <c r="A283" s="214"/>
      <c r="B283" s="214"/>
      <c r="C283" s="214"/>
      <c r="D283" s="214"/>
      <c r="E283" s="214"/>
      <c r="F283" s="214"/>
      <c r="G283" s="214"/>
      <c r="H283" s="214"/>
      <c r="I283" s="214"/>
      <c r="J283" s="214"/>
      <c r="K283" s="214"/>
      <c r="L283" s="214"/>
      <c r="M283" s="214"/>
      <c r="N283" s="214"/>
      <c r="O283" s="214"/>
      <c r="P283" s="214"/>
      <c r="Q283" s="156"/>
      <c r="R283" s="214"/>
      <c r="S283" s="214"/>
      <c r="T283" s="214"/>
      <c r="U283" s="214"/>
      <c r="V283" s="214"/>
      <c r="W283" s="214"/>
      <c r="X283" s="214"/>
      <c r="Y283" s="214"/>
      <c r="Z283" s="214"/>
    </row>
    <row r="284" ht="15.75" customHeight="1">
      <c r="A284" s="214"/>
      <c r="B284" s="214"/>
      <c r="C284" s="214"/>
      <c r="D284" s="214"/>
      <c r="E284" s="214"/>
      <c r="F284" s="214"/>
      <c r="G284" s="214"/>
      <c r="H284" s="214"/>
      <c r="I284" s="214"/>
      <c r="J284" s="214"/>
      <c r="K284" s="214"/>
      <c r="L284" s="214"/>
      <c r="M284" s="214"/>
      <c r="N284" s="214"/>
      <c r="O284" s="214"/>
      <c r="P284" s="214"/>
      <c r="Q284" s="156"/>
      <c r="R284" s="214"/>
      <c r="S284" s="214"/>
      <c r="T284" s="214"/>
      <c r="U284" s="214"/>
      <c r="V284" s="214"/>
      <c r="W284" s="214"/>
      <c r="X284" s="214"/>
      <c r="Y284" s="214"/>
      <c r="Z284" s="214"/>
    </row>
    <row r="285" ht="15.75" customHeight="1">
      <c r="A285" s="214"/>
      <c r="B285" s="214"/>
      <c r="C285" s="214"/>
      <c r="D285" s="214"/>
      <c r="E285" s="214"/>
      <c r="F285" s="214"/>
      <c r="G285" s="214"/>
      <c r="H285" s="214"/>
      <c r="I285" s="214"/>
      <c r="J285" s="214"/>
      <c r="K285" s="214"/>
      <c r="L285" s="214"/>
      <c r="M285" s="214"/>
      <c r="N285" s="214"/>
      <c r="O285" s="214"/>
      <c r="P285" s="214"/>
      <c r="Q285" s="156"/>
      <c r="R285" s="214"/>
      <c r="S285" s="214"/>
      <c r="T285" s="214"/>
      <c r="U285" s="214"/>
      <c r="V285" s="214"/>
      <c r="W285" s="214"/>
      <c r="X285" s="214"/>
      <c r="Y285" s="214"/>
      <c r="Z285" s="214"/>
    </row>
    <row r="286" ht="15.75" customHeight="1">
      <c r="A286" s="214"/>
      <c r="B286" s="214"/>
      <c r="C286" s="214"/>
      <c r="D286" s="214"/>
      <c r="E286" s="214"/>
      <c r="F286" s="214"/>
      <c r="G286" s="214"/>
      <c r="H286" s="214"/>
      <c r="I286" s="214"/>
      <c r="J286" s="214"/>
      <c r="K286" s="214"/>
      <c r="L286" s="214"/>
      <c r="M286" s="214"/>
      <c r="N286" s="214"/>
      <c r="O286" s="214"/>
      <c r="P286" s="214"/>
      <c r="Q286" s="156"/>
      <c r="R286" s="214"/>
      <c r="S286" s="214"/>
      <c r="T286" s="214"/>
      <c r="U286" s="214"/>
      <c r="V286" s="214"/>
      <c r="W286" s="214"/>
      <c r="X286" s="214"/>
      <c r="Y286" s="214"/>
      <c r="Z286" s="214"/>
    </row>
    <row r="287" ht="15.75" customHeight="1">
      <c r="A287" s="214"/>
      <c r="B287" s="214"/>
      <c r="C287" s="214"/>
      <c r="D287" s="214"/>
      <c r="E287" s="214"/>
      <c r="F287" s="214"/>
      <c r="G287" s="214"/>
      <c r="H287" s="214"/>
      <c r="I287" s="214"/>
      <c r="J287" s="214"/>
      <c r="K287" s="214"/>
      <c r="L287" s="214"/>
      <c r="M287" s="214"/>
      <c r="N287" s="214"/>
      <c r="O287" s="214"/>
      <c r="P287" s="214"/>
      <c r="Q287" s="156"/>
      <c r="R287" s="214"/>
      <c r="S287" s="214"/>
      <c r="T287" s="214"/>
      <c r="U287" s="214"/>
      <c r="V287" s="214"/>
      <c r="W287" s="214"/>
      <c r="X287" s="214"/>
      <c r="Y287" s="214"/>
      <c r="Z287" s="214"/>
    </row>
    <row r="288" ht="15.75" customHeight="1">
      <c r="A288" s="214"/>
      <c r="B288" s="214"/>
      <c r="C288" s="214"/>
      <c r="D288" s="214"/>
      <c r="E288" s="214"/>
      <c r="F288" s="214"/>
      <c r="G288" s="214"/>
      <c r="H288" s="214"/>
      <c r="I288" s="214"/>
      <c r="J288" s="214"/>
      <c r="K288" s="214"/>
      <c r="L288" s="214"/>
      <c r="M288" s="214"/>
      <c r="N288" s="214"/>
      <c r="O288" s="214"/>
      <c r="P288" s="214"/>
      <c r="Q288" s="156"/>
      <c r="R288" s="214"/>
      <c r="S288" s="214"/>
      <c r="T288" s="214"/>
      <c r="U288" s="214"/>
      <c r="V288" s="214"/>
      <c r="W288" s="214"/>
      <c r="X288" s="214"/>
      <c r="Y288" s="214"/>
      <c r="Z288" s="214"/>
    </row>
    <row r="289" ht="15.75" customHeight="1">
      <c r="A289" s="214"/>
      <c r="B289" s="214"/>
      <c r="C289" s="214"/>
      <c r="D289" s="214"/>
      <c r="E289" s="214"/>
      <c r="F289" s="214"/>
      <c r="G289" s="214"/>
      <c r="H289" s="214"/>
      <c r="I289" s="214"/>
      <c r="J289" s="214"/>
      <c r="K289" s="214"/>
      <c r="L289" s="214"/>
      <c r="M289" s="214"/>
      <c r="N289" s="214"/>
      <c r="O289" s="214"/>
      <c r="P289" s="214"/>
      <c r="Q289" s="156"/>
      <c r="R289" s="214"/>
      <c r="S289" s="214"/>
      <c r="T289" s="214"/>
      <c r="U289" s="214"/>
      <c r="V289" s="214"/>
      <c r="W289" s="214"/>
      <c r="X289" s="214"/>
      <c r="Y289" s="214"/>
      <c r="Z289" s="214"/>
    </row>
    <row r="290" ht="15.75" customHeight="1">
      <c r="A290" s="214"/>
      <c r="B290" s="214"/>
      <c r="C290" s="214"/>
      <c r="D290" s="214"/>
      <c r="E290" s="214"/>
      <c r="F290" s="214"/>
      <c r="G290" s="214"/>
      <c r="H290" s="214"/>
      <c r="I290" s="214"/>
      <c r="J290" s="214"/>
      <c r="K290" s="214"/>
      <c r="L290" s="214"/>
      <c r="M290" s="214"/>
      <c r="N290" s="214"/>
      <c r="O290" s="214"/>
      <c r="P290" s="214"/>
      <c r="Q290" s="156"/>
      <c r="R290" s="214"/>
      <c r="S290" s="214"/>
      <c r="T290" s="214"/>
      <c r="U290" s="214"/>
      <c r="V290" s="214"/>
      <c r="W290" s="214"/>
      <c r="X290" s="214"/>
      <c r="Y290" s="214"/>
      <c r="Z290" s="214"/>
    </row>
    <row r="291" ht="15.75" customHeight="1">
      <c r="A291" s="214"/>
      <c r="B291" s="214"/>
      <c r="C291" s="214"/>
      <c r="D291" s="214"/>
      <c r="E291" s="214"/>
      <c r="F291" s="214"/>
      <c r="G291" s="214"/>
      <c r="H291" s="214"/>
      <c r="I291" s="214"/>
      <c r="J291" s="214"/>
      <c r="K291" s="214"/>
      <c r="L291" s="214"/>
      <c r="M291" s="214"/>
      <c r="N291" s="214"/>
      <c r="O291" s="214"/>
      <c r="P291" s="214"/>
      <c r="Q291" s="156"/>
      <c r="R291" s="214"/>
      <c r="S291" s="214"/>
      <c r="T291" s="214"/>
      <c r="U291" s="214"/>
      <c r="V291" s="214"/>
      <c r="W291" s="214"/>
      <c r="X291" s="214"/>
      <c r="Y291" s="214"/>
      <c r="Z291" s="214"/>
    </row>
    <row r="292" ht="15.75" customHeight="1">
      <c r="A292" s="214"/>
      <c r="B292" s="214"/>
      <c r="C292" s="214"/>
      <c r="D292" s="214"/>
      <c r="E292" s="214"/>
      <c r="F292" s="214"/>
      <c r="G292" s="214"/>
      <c r="H292" s="214"/>
      <c r="I292" s="214"/>
      <c r="J292" s="214"/>
      <c r="K292" s="214"/>
      <c r="L292" s="214"/>
      <c r="M292" s="214"/>
      <c r="N292" s="214"/>
      <c r="O292" s="214"/>
      <c r="P292" s="214"/>
      <c r="Q292" s="156"/>
      <c r="R292" s="214"/>
      <c r="S292" s="214"/>
      <c r="T292" s="214"/>
      <c r="U292" s="214"/>
      <c r="V292" s="214"/>
      <c r="W292" s="214"/>
      <c r="X292" s="214"/>
      <c r="Y292" s="214"/>
      <c r="Z292" s="214"/>
    </row>
    <row r="293" ht="15.75" customHeight="1">
      <c r="A293" s="214"/>
      <c r="B293" s="214"/>
      <c r="C293" s="214"/>
      <c r="D293" s="214"/>
      <c r="E293" s="214"/>
      <c r="F293" s="214"/>
      <c r="G293" s="214"/>
      <c r="H293" s="214"/>
      <c r="I293" s="214"/>
      <c r="J293" s="214"/>
      <c r="K293" s="214"/>
      <c r="L293" s="214"/>
      <c r="M293" s="214"/>
      <c r="N293" s="214"/>
      <c r="O293" s="214"/>
      <c r="P293" s="214"/>
      <c r="Q293" s="156"/>
      <c r="R293" s="214"/>
      <c r="S293" s="214"/>
      <c r="T293" s="214"/>
      <c r="U293" s="214"/>
      <c r="V293" s="214"/>
      <c r="W293" s="214"/>
      <c r="X293" s="214"/>
      <c r="Y293" s="214"/>
      <c r="Z293" s="214"/>
    </row>
    <row r="294" ht="15.75" customHeight="1">
      <c r="A294" s="214"/>
      <c r="B294" s="214"/>
      <c r="C294" s="214"/>
      <c r="D294" s="214"/>
      <c r="E294" s="214"/>
      <c r="F294" s="214"/>
      <c r="G294" s="214"/>
      <c r="H294" s="214"/>
      <c r="I294" s="214"/>
      <c r="J294" s="214"/>
      <c r="K294" s="214"/>
      <c r="L294" s="214"/>
      <c r="M294" s="214"/>
      <c r="N294" s="214"/>
      <c r="O294" s="214"/>
      <c r="P294" s="214"/>
      <c r="Q294" s="156"/>
      <c r="R294" s="214"/>
      <c r="S294" s="214"/>
      <c r="T294" s="214"/>
      <c r="U294" s="214"/>
      <c r="V294" s="214"/>
      <c r="W294" s="214"/>
      <c r="X294" s="214"/>
      <c r="Y294" s="214"/>
      <c r="Z294" s="214"/>
    </row>
    <row r="295" ht="15.75" customHeight="1">
      <c r="A295" s="214"/>
      <c r="B295" s="214"/>
      <c r="C295" s="214"/>
      <c r="D295" s="214"/>
      <c r="E295" s="214"/>
      <c r="F295" s="214"/>
      <c r="G295" s="214"/>
      <c r="H295" s="214"/>
      <c r="I295" s="214"/>
      <c r="J295" s="214"/>
      <c r="K295" s="214"/>
      <c r="L295" s="214"/>
      <c r="M295" s="214"/>
      <c r="N295" s="214"/>
      <c r="O295" s="214"/>
      <c r="P295" s="214"/>
      <c r="Q295" s="156"/>
      <c r="R295" s="214"/>
      <c r="S295" s="214"/>
      <c r="T295" s="214"/>
      <c r="U295" s="214"/>
      <c r="V295" s="214"/>
      <c r="W295" s="214"/>
      <c r="X295" s="214"/>
      <c r="Y295" s="214"/>
      <c r="Z295" s="214"/>
    </row>
    <row r="296" ht="15.75" customHeight="1">
      <c r="A296" s="214"/>
      <c r="B296" s="214"/>
      <c r="C296" s="214"/>
      <c r="D296" s="214"/>
      <c r="E296" s="214"/>
      <c r="F296" s="214"/>
      <c r="G296" s="214"/>
      <c r="H296" s="214"/>
      <c r="I296" s="214"/>
      <c r="J296" s="214"/>
      <c r="K296" s="214"/>
      <c r="L296" s="214"/>
      <c r="M296" s="214"/>
      <c r="N296" s="214"/>
      <c r="O296" s="214"/>
      <c r="P296" s="214"/>
      <c r="Q296" s="156"/>
      <c r="R296" s="214"/>
      <c r="S296" s="214"/>
      <c r="T296" s="214"/>
      <c r="U296" s="214"/>
      <c r="V296" s="214"/>
      <c r="W296" s="214"/>
      <c r="X296" s="214"/>
      <c r="Y296" s="214"/>
      <c r="Z296" s="214"/>
    </row>
    <row r="297" ht="15.75" customHeight="1">
      <c r="A297" s="214"/>
      <c r="B297" s="214"/>
      <c r="C297" s="214"/>
      <c r="D297" s="214"/>
      <c r="E297" s="214"/>
      <c r="F297" s="214"/>
      <c r="G297" s="214"/>
      <c r="H297" s="214"/>
      <c r="I297" s="214"/>
      <c r="J297" s="214"/>
      <c r="K297" s="214"/>
      <c r="L297" s="214"/>
      <c r="M297" s="214"/>
      <c r="N297" s="214"/>
      <c r="O297" s="214"/>
      <c r="P297" s="214"/>
      <c r="Q297" s="156"/>
      <c r="R297" s="214"/>
      <c r="S297" s="214"/>
      <c r="T297" s="214"/>
      <c r="U297" s="214"/>
      <c r="V297" s="214"/>
      <c r="W297" s="214"/>
      <c r="X297" s="214"/>
      <c r="Y297" s="214"/>
      <c r="Z297" s="214"/>
    </row>
    <row r="298" ht="15.75" customHeight="1">
      <c r="A298" s="214"/>
      <c r="B298" s="214"/>
      <c r="C298" s="214"/>
      <c r="D298" s="214"/>
      <c r="E298" s="214"/>
      <c r="F298" s="214"/>
      <c r="G298" s="214"/>
      <c r="H298" s="214"/>
      <c r="I298" s="214"/>
      <c r="J298" s="214"/>
      <c r="K298" s="214"/>
      <c r="L298" s="214"/>
      <c r="M298" s="214"/>
      <c r="N298" s="214"/>
      <c r="O298" s="214"/>
      <c r="P298" s="214"/>
      <c r="Q298" s="156"/>
      <c r="R298" s="214"/>
      <c r="S298" s="214"/>
      <c r="T298" s="214"/>
      <c r="U298" s="214"/>
      <c r="V298" s="214"/>
      <c r="W298" s="214"/>
      <c r="X298" s="214"/>
      <c r="Y298" s="214"/>
      <c r="Z298" s="214"/>
    </row>
    <row r="299" ht="15.75" customHeight="1">
      <c r="A299" s="214"/>
      <c r="B299" s="214"/>
      <c r="C299" s="214"/>
      <c r="D299" s="214"/>
      <c r="E299" s="214"/>
      <c r="F299" s="214"/>
      <c r="G299" s="214"/>
      <c r="H299" s="214"/>
      <c r="I299" s="214"/>
      <c r="J299" s="214"/>
      <c r="K299" s="214"/>
      <c r="L299" s="214"/>
      <c r="M299" s="214"/>
      <c r="N299" s="214"/>
      <c r="O299" s="214"/>
      <c r="P299" s="214"/>
      <c r="Q299" s="156"/>
      <c r="R299" s="214"/>
      <c r="S299" s="214"/>
      <c r="T299" s="214"/>
      <c r="U299" s="214"/>
      <c r="V299" s="214"/>
      <c r="W299" s="214"/>
      <c r="X299" s="214"/>
      <c r="Y299" s="214"/>
      <c r="Z299" s="214"/>
    </row>
    <row r="300" ht="15.75" customHeight="1">
      <c r="A300" s="214"/>
      <c r="B300" s="214"/>
      <c r="C300" s="214"/>
      <c r="D300" s="214"/>
      <c r="E300" s="214"/>
      <c r="F300" s="214"/>
      <c r="G300" s="214"/>
      <c r="H300" s="214"/>
      <c r="I300" s="214"/>
      <c r="J300" s="214"/>
      <c r="K300" s="214"/>
      <c r="L300" s="214"/>
      <c r="M300" s="214"/>
      <c r="N300" s="214"/>
      <c r="O300" s="214"/>
      <c r="P300" s="214"/>
      <c r="Q300" s="156"/>
      <c r="R300" s="214"/>
      <c r="S300" s="214"/>
      <c r="T300" s="214"/>
      <c r="U300" s="214"/>
      <c r="V300" s="214"/>
      <c r="W300" s="214"/>
      <c r="X300" s="214"/>
      <c r="Y300" s="214"/>
      <c r="Z300" s="214"/>
    </row>
    <row r="301" ht="15.75" customHeight="1">
      <c r="A301" s="214"/>
      <c r="B301" s="214"/>
      <c r="C301" s="214"/>
      <c r="D301" s="214"/>
      <c r="E301" s="214"/>
      <c r="F301" s="214"/>
      <c r="G301" s="214"/>
      <c r="H301" s="214"/>
      <c r="I301" s="214"/>
      <c r="J301" s="214"/>
      <c r="K301" s="214"/>
      <c r="L301" s="214"/>
      <c r="M301" s="214"/>
      <c r="N301" s="214"/>
      <c r="O301" s="214"/>
      <c r="P301" s="214"/>
      <c r="Q301" s="156"/>
      <c r="R301" s="214"/>
      <c r="S301" s="214"/>
      <c r="T301" s="214"/>
      <c r="U301" s="214"/>
      <c r="V301" s="214"/>
      <c r="W301" s="214"/>
      <c r="X301" s="214"/>
      <c r="Y301" s="214"/>
      <c r="Z301" s="214"/>
    </row>
    <row r="302" ht="15.75" customHeight="1">
      <c r="A302" s="214"/>
      <c r="B302" s="214"/>
      <c r="C302" s="214"/>
      <c r="D302" s="214"/>
      <c r="E302" s="214"/>
      <c r="F302" s="214"/>
      <c r="G302" s="214"/>
      <c r="H302" s="214"/>
      <c r="I302" s="214"/>
      <c r="J302" s="214"/>
      <c r="K302" s="214"/>
      <c r="L302" s="214"/>
      <c r="M302" s="214"/>
      <c r="N302" s="214"/>
      <c r="O302" s="214"/>
      <c r="P302" s="214"/>
      <c r="Q302" s="156"/>
      <c r="R302" s="214"/>
      <c r="S302" s="214"/>
      <c r="T302" s="214"/>
      <c r="U302" s="214"/>
      <c r="V302" s="214"/>
      <c r="W302" s="214"/>
      <c r="X302" s="214"/>
      <c r="Y302" s="214"/>
      <c r="Z302" s="214"/>
    </row>
    <row r="303" ht="15.75" customHeight="1">
      <c r="A303" s="214"/>
      <c r="B303" s="214"/>
      <c r="C303" s="214"/>
      <c r="D303" s="214"/>
      <c r="E303" s="214"/>
      <c r="F303" s="214"/>
      <c r="G303" s="214"/>
      <c r="H303" s="214"/>
      <c r="I303" s="214"/>
      <c r="J303" s="214"/>
      <c r="K303" s="214"/>
      <c r="L303" s="214"/>
      <c r="M303" s="214"/>
      <c r="N303" s="214"/>
      <c r="O303" s="214"/>
      <c r="P303" s="214"/>
      <c r="Q303" s="156"/>
      <c r="R303" s="214"/>
      <c r="S303" s="214"/>
      <c r="T303" s="214"/>
      <c r="U303" s="214"/>
      <c r="V303" s="214"/>
      <c r="W303" s="214"/>
      <c r="X303" s="214"/>
      <c r="Y303" s="214"/>
      <c r="Z303" s="214"/>
    </row>
    <row r="304" ht="15.75" customHeight="1">
      <c r="A304" s="214"/>
      <c r="B304" s="214"/>
      <c r="C304" s="214"/>
      <c r="D304" s="214"/>
      <c r="E304" s="214"/>
      <c r="F304" s="214"/>
      <c r="G304" s="214"/>
      <c r="H304" s="214"/>
      <c r="I304" s="214"/>
      <c r="J304" s="214"/>
      <c r="K304" s="214"/>
      <c r="L304" s="214"/>
      <c r="M304" s="214"/>
      <c r="N304" s="214"/>
      <c r="O304" s="214"/>
      <c r="P304" s="214"/>
      <c r="Q304" s="156"/>
      <c r="R304" s="214"/>
      <c r="S304" s="214"/>
      <c r="T304" s="214"/>
      <c r="U304" s="214"/>
      <c r="V304" s="214"/>
      <c r="W304" s="214"/>
      <c r="X304" s="214"/>
      <c r="Y304" s="214"/>
      <c r="Z304" s="214"/>
    </row>
    <row r="305" ht="15.75" customHeight="1">
      <c r="A305" s="214"/>
      <c r="B305" s="214"/>
      <c r="C305" s="214"/>
      <c r="D305" s="214"/>
      <c r="E305" s="214"/>
      <c r="F305" s="214"/>
      <c r="G305" s="214"/>
      <c r="H305" s="214"/>
      <c r="I305" s="214"/>
      <c r="J305" s="214"/>
      <c r="K305" s="214"/>
      <c r="L305" s="214"/>
      <c r="M305" s="214"/>
      <c r="N305" s="214"/>
      <c r="O305" s="214"/>
      <c r="P305" s="214"/>
      <c r="Q305" s="156"/>
      <c r="R305" s="214"/>
      <c r="S305" s="214"/>
      <c r="T305" s="214"/>
      <c r="U305" s="214"/>
      <c r="V305" s="214"/>
      <c r="W305" s="214"/>
      <c r="X305" s="214"/>
      <c r="Y305" s="214"/>
      <c r="Z305" s="214"/>
    </row>
    <row r="306" ht="15.75" customHeight="1">
      <c r="A306" s="214"/>
      <c r="B306" s="214"/>
      <c r="C306" s="214"/>
      <c r="D306" s="214"/>
      <c r="E306" s="214"/>
      <c r="F306" s="214"/>
      <c r="G306" s="214"/>
      <c r="H306" s="214"/>
      <c r="I306" s="214"/>
      <c r="J306" s="214"/>
      <c r="K306" s="214"/>
      <c r="L306" s="214"/>
      <c r="M306" s="214"/>
      <c r="N306" s="214"/>
      <c r="O306" s="214"/>
      <c r="P306" s="214"/>
      <c r="Q306" s="156"/>
      <c r="R306" s="214"/>
      <c r="S306" s="214"/>
      <c r="T306" s="214"/>
      <c r="U306" s="214"/>
      <c r="V306" s="214"/>
      <c r="W306" s="214"/>
      <c r="X306" s="214"/>
      <c r="Y306" s="214"/>
      <c r="Z306" s="214"/>
    </row>
    <row r="307" ht="15.75" customHeight="1">
      <c r="A307" s="214"/>
      <c r="B307" s="214"/>
      <c r="C307" s="214"/>
      <c r="D307" s="214"/>
      <c r="E307" s="214"/>
      <c r="F307" s="214"/>
      <c r="G307" s="214"/>
      <c r="H307" s="214"/>
      <c r="I307" s="214"/>
      <c r="J307" s="214"/>
      <c r="K307" s="214"/>
      <c r="L307" s="214"/>
      <c r="M307" s="214"/>
      <c r="N307" s="214"/>
      <c r="O307" s="214"/>
      <c r="P307" s="214"/>
      <c r="Q307" s="156"/>
      <c r="R307" s="214"/>
      <c r="S307" s="214"/>
      <c r="T307" s="214"/>
      <c r="U307" s="214"/>
      <c r="V307" s="214"/>
      <c r="W307" s="214"/>
      <c r="X307" s="214"/>
      <c r="Y307" s="214"/>
      <c r="Z307" s="214"/>
    </row>
    <row r="308" ht="15.75" customHeight="1">
      <c r="A308" s="214"/>
      <c r="B308" s="214"/>
      <c r="C308" s="214"/>
      <c r="D308" s="214"/>
      <c r="E308" s="214"/>
      <c r="F308" s="214"/>
      <c r="G308" s="214"/>
      <c r="H308" s="214"/>
      <c r="I308" s="214"/>
      <c r="J308" s="214"/>
      <c r="K308" s="214"/>
      <c r="L308" s="214"/>
      <c r="M308" s="214"/>
      <c r="N308" s="214"/>
      <c r="O308" s="214"/>
      <c r="P308" s="214"/>
      <c r="Q308" s="156"/>
      <c r="R308" s="214"/>
      <c r="S308" s="214"/>
      <c r="T308" s="214"/>
      <c r="U308" s="214"/>
      <c r="V308" s="214"/>
      <c r="W308" s="214"/>
      <c r="X308" s="214"/>
      <c r="Y308" s="214"/>
      <c r="Z308" s="214"/>
    </row>
    <row r="309" ht="15.75" customHeight="1">
      <c r="A309" s="214"/>
      <c r="B309" s="214"/>
      <c r="C309" s="214"/>
      <c r="D309" s="214"/>
      <c r="E309" s="214"/>
      <c r="F309" s="214"/>
      <c r="G309" s="214"/>
      <c r="H309" s="214"/>
      <c r="I309" s="214"/>
      <c r="J309" s="214"/>
      <c r="K309" s="214"/>
      <c r="L309" s="214"/>
      <c r="M309" s="214"/>
      <c r="N309" s="214"/>
      <c r="O309" s="214"/>
      <c r="P309" s="214"/>
      <c r="Q309" s="156"/>
      <c r="R309" s="214"/>
      <c r="S309" s="214"/>
      <c r="T309" s="214"/>
      <c r="U309" s="214"/>
      <c r="V309" s="214"/>
      <c r="W309" s="214"/>
      <c r="X309" s="214"/>
      <c r="Y309" s="214"/>
      <c r="Z309" s="214"/>
    </row>
    <row r="310" ht="15.75" customHeight="1">
      <c r="A310" s="214"/>
      <c r="B310" s="214"/>
      <c r="C310" s="214"/>
      <c r="D310" s="214"/>
      <c r="E310" s="214"/>
      <c r="F310" s="214"/>
      <c r="G310" s="214"/>
      <c r="H310" s="214"/>
      <c r="I310" s="214"/>
      <c r="J310" s="214"/>
      <c r="K310" s="214"/>
      <c r="L310" s="214"/>
      <c r="M310" s="214"/>
      <c r="N310" s="214"/>
      <c r="O310" s="214"/>
      <c r="P310" s="214"/>
      <c r="Q310" s="156"/>
      <c r="R310" s="214"/>
      <c r="S310" s="214"/>
      <c r="T310" s="214"/>
      <c r="U310" s="214"/>
      <c r="V310" s="214"/>
      <c r="W310" s="214"/>
      <c r="X310" s="214"/>
      <c r="Y310" s="214"/>
      <c r="Z310" s="214"/>
    </row>
    <row r="311" ht="15.75" customHeight="1">
      <c r="A311" s="214"/>
      <c r="B311" s="214"/>
      <c r="C311" s="214"/>
      <c r="D311" s="214"/>
      <c r="E311" s="214"/>
      <c r="F311" s="214"/>
      <c r="G311" s="214"/>
      <c r="H311" s="214"/>
      <c r="I311" s="214"/>
      <c r="J311" s="214"/>
      <c r="K311" s="214"/>
      <c r="L311" s="214"/>
      <c r="M311" s="214"/>
      <c r="N311" s="214"/>
      <c r="O311" s="214"/>
      <c r="P311" s="214"/>
      <c r="Q311" s="156"/>
      <c r="R311" s="214"/>
      <c r="S311" s="214"/>
      <c r="T311" s="214"/>
      <c r="U311" s="214"/>
      <c r="V311" s="214"/>
      <c r="W311" s="214"/>
      <c r="X311" s="214"/>
      <c r="Y311" s="214"/>
      <c r="Z311" s="214"/>
    </row>
    <row r="312" ht="15.75" customHeight="1">
      <c r="A312" s="214"/>
      <c r="B312" s="214"/>
      <c r="C312" s="214"/>
      <c r="D312" s="214"/>
      <c r="E312" s="214"/>
      <c r="F312" s="214"/>
      <c r="G312" s="214"/>
      <c r="H312" s="214"/>
      <c r="I312" s="214"/>
      <c r="J312" s="214"/>
      <c r="K312" s="214"/>
      <c r="L312" s="214"/>
      <c r="M312" s="214"/>
      <c r="N312" s="214"/>
      <c r="O312" s="214"/>
      <c r="P312" s="214"/>
      <c r="Q312" s="156"/>
      <c r="R312" s="214"/>
      <c r="S312" s="214"/>
      <c r="T312" s="214"/>
      <c r="U312" s="214"/>
      <c r="V312" s="214"/>
      <c r="W312" s="214"/>
      <c r="X312" s="214"/>
      <c r="Y312" s="214"/>
      <c r="Z312" s="214"/>
    </row>
    <row r="313" ht="15.75" customHeight="1">
      <c r="A313" s="214"/>
      <c r="B313" s="214"/>
      <c r="C313" s="214"/>
      <c r="D313" s="214"/>
      <c r="E313" s="214"/>
      <c r="F313" s="214"/>
      <c r="G313" s="214"/>
      <c r="H313" s="214"/>
      <c r="I313" s="214"/>
      <c r="J313" s="214"/>
      <c r="K313" s="214"/>
      <c r="L313" s="214"/>
      <c r="M313" s="214"/>
      <c r="N313" s="214"/>
      <c r="O313" s="214"/>
      <c r="P313" s="214"/>
      <c r="Q313" s="156"/>
      <c r="R313" s="214"/>
      <c r="S313" s="214"/>
      <c r="T313" s="214"/>
      <c r="U313" s="214"/>
      <c r="V313" s="214"/>
      <c r="W313" s="214"/>
      <c r="X313" s="214"/>
      <c r="Y313" s="214"/>
      <c r="Z313" s="214"/>
    </row>
    <row r="314" ht="15.75" customHeight="1">
      <c r="A314" s="214"/>
      <c r="B314" s="214"/>
      <c r="C314" s="214"/>
      <c r="D314" s="214"/>
      <c r="E314" s="214"/>
      <c r="F314" s="214"/>
      <c r="G314" s="214"/>
      <c r="H314" s="214"/>
      <c r="I314" s="214"/>
      <c r="J314" s="214"/>
      <c r="K314" s="214"/>
      <c r="L314" s="214"/>
      <c r="M314" s="214"/>
      <c r="N314" s="214"/>
      <c r="O314" s="214"/>
      <c r="P314" s="214"/>
      <c r="Q314" s="156"/>
      <c r="R314" s="214"/>
      <c r="S314" s="214"/>
      <c r="T314" s="214"/>
      <c r="U314" s="214"/>
      <c r="V314" s="214"/>
      <c r="W314" s="214"/>
      <c r="X314" s="214"/>
      <c r="Y314" s="214"/>
      <c r="Z314" s="214"/>
    </row>
    <row r="315" ht="15.75" customHeight="1">
      <c r="A315" s="214"/>
      <c r="B315" s="214"/>
      <c r="C315" s="214"/>
      <c r="D315" s="214"/>
      <c r="E315" s="214"/>
      <c r="F315" s="214"/>
      <c r="G315" s="214"/>
      <c r="H315" s="214"/>
      <c r="I315" s="214"/>
      <c r="J315" s="214"/>
      <c r="K315" s="214"/>
      <c r="L315" s="214"/>
      <c r="M315" s="214"/>
      <c r="N315" s="214"/>
      <c r="O315" s="214"/>
      <c r="P315" s="214"/>
      <c r="Q315" s="156"/>
      <c r="R315" s="214"/>
      <c r="S315" s="214"/>
      <c r="T315" s="214"/>
      <c r="U315" s="214"/>
      <c r="V315" s="214"/>
      <c r="W315" s="214"/>
      <c r="X315" s="214"/>
      <c r="Y315" s="214"/>
      <c r="Z315" s="214"/>
    </row>
    <row r="316" ht="15.75" customHeight="1">
      <c r="A316" s="214"/>
      <c r="B316" s="214"/>
      <c r="C316" s="214"/>
      <c r="D316" s="214"/>
      <c r="E316" s="214"/>
      <c r="F316" s="214"/>
      <c r="G316" s="214"/>
      <c r="H316" s="214"/>
      <c r="I316" s="214"/>
      <c r="J316" s="214"/>
      <c r="K316" s="214"/>
      <c r="L316" s="214"/>
      <c r="M316" s="214"/>
      <c r="N316" s="214"/>
      <c r="O316" s="214"/>
      <c r="P316" s="214"/>
      <c r="Q316" s="156"/>
      <c r="R316" s="214"/>
      <c r="S316" s="214"/>
      <c r="T316" s="214"/>
      <c r="U316" s="214"/>
      <c r="V316" s="214"/>
      <c r="W316" s="214"/>
      <c r="X316" s="214"/>
      <c r="Y316" s="214"/>
      <c r="Z316" s="214"/>
    </row>
    <row r="317" ht="15.75" customHeight="1">
      <c r="A317" s="214"/>
      <c r="B317" s="214"/>
      <c r="C317" s="214"/>
      <c r="D317" s="214"/>
      <c r="E317" s="214"/>
      <c r="F317" s="214"/>
      <c r="G317" s="214"/>
      <c r="H317" s="214"/>
      <c r="I317" s="214"/>
      <c r="J317" s="214"/>
      <c r="K317" s="214"/>
      <c r="L317" s="214"/>
      <c r="M317" s="214"/>
      <c r="N317" s="214"/>
      <c r="O317" s="214"/>
      <c r="P317" s="214"/>
      <c r="Q317" s="156"/>
      <c r="R317" s="214"/>
      <c r="S317" s="214"/>
      <c r="T317" s="214"/>
      <c r="U317" s="214"/>
      <c r="V317" s="214"/>
      <c r="W317" s="214"/>
      <c r="X317" s="214"/>
      <c r="Y317" s="214"/>
      <c r="Z317" s="214"/>
    </row>
    <row r="318" ht="15.75" customHeight="1">
      <c r="A318" s="214"/>
      <c r="B318" s="214"/>
      <c r="C318" s="214"/>
      <c r="D318" s="214"/>
      <c r="E318" s="214"/>
      <c r="F318" s="214"/>
      <c r="G318" s="214"/>
      <c r="H318" s="214"/>
      <c r="I318" s="214"/>
      <c r="J318" s="214"/>
      <c r="K318" s="214"/>
      <c r="L318" s="214"/>
      <c r="M318" s="214"/>
      <c r="N318" s="214"/>
      <c r="O318" s="214"/>
      <c r="P318" s="214"/>
      <c r="Q318" s="156"/>
      <c r="R318" s="214"/>
      <c r="S318" s="214"/>
      <c r="T318" s="214"/>
      <c r="U318" s="214"/>
      <c r="V318" s="214"/>
      <c r="W318" s="214"/>
      <c r="X318" s="214"/>
      <c r="Y318" s="214"/>
      <c r="Z318" s="214"/>
    </row>
    <row r="319" ht="15.75" customHeight="1">
      <c r="A319" s="214"/>
      <c r="B319" s="214"/>
      <c r="C319" s="214"/>
      <c r="D319" s="214"/>
      <c r="E319" s="214"/>
      <c r="F319" s="214"/>
      <c r="G319" s="214"/>
      <c r="H319" s="214"/>
      <c r="I319" s="214"/>
      <c r="J319" s="214"/>
      <c r="K319" s="214"/>
      <c r="L319" s="214"/>
      <c r="M319" s="214"/>
      <c r="N319" s="214"/>
      <c r="O319" s="214"/>
      <c r="P319" s="214"/>
      <c r="Q319" s="156"/>
      <c r="R319" s="214"/>
      <c r="S319" s="214"/>
      <c r="T319" s="214"/>
      <c r="U319" s="214"/>
      <c r="V319" s="214"/>
      <c r="W319" s="214"/>
      <c r="X319" s="214"/>
      <c r="Y319" s="214"/>
      <c r="Z319" s="214"/>
    </row>
    <row r="320" ht="15.75" customHeight="1">
      <c r="A320" s="214"/>
      <c r="B320" s="214"/>
      <c r="C320" s="214"/>
      <c r="D320" s="214"/>
      <c r="E320" s="214"/>
      <c r="F320" s="214"/>
      <c r="G320" s="214"/>
      <c r="H320" s="214"/>
      <c r="I320" s="214"/>
      <c r="J320" s="214"/>
      <c r="K320" s="214"/>
      <c r="L320" s="214"/>
      <c r="M320" s="214"/>
      <c r="N320" s="214"/>
      <c r="O320" s="214"/>
      <c r="P320" s="214"/>
      <c r="Q320" s="156"/>
      <c r="R320" s="214"/>
      <c r="S320" s="214"/>
      <c r="T320" s="214"/>
      <c r="U320" s="214"/>
      <c r="V320" s="214"/>
      <c r="W320" s="214"/>
      <c r="X320" s="214"/>
      <c r="Y320" s="214"/>
      <c r="Z320" s="214"/>
    </row>
    <row r="321" ht="15.75" customHeight="1">
      <c r="A321" s="214"/>
      <c r="B321" s="214"/>
      <c r="C321" s="214"/>
      <c r="D321" s="214"/>
      <c r="E321" s="214"/>
      <c r="F321" s="214"/>
      <c r="G321" s="214"/>
      <c r="H321" s="214"/>
      <c r="I321" s="214"/>
      <c r="J321" s="214"/>
      <c r="K321" s="214"/>
      <c r="L321" s="214"/>
      <c r="M321" s="214"/>
      <c r="N321" s="214"/>
      <c r="O321" s="214"/>
      <c r="P321" s="214"/>
      <c r="Q321" s="156"/>
      <c r="R321" s="214"/>
      <c r="S321" s="214"/>
      <c r="T321" s="214"/>
      <c r="U321" s="214"/>
      <c r="V321" s="214"/>
      <c r="W321" s="214"/>
      <c r="X321" s="214"/>
      <c r="Y321" s="214"/>
      <c r="Z321" s="214"/>
    </row>
    <row r="322" ht="15.75" customHeight="1">
      <c r="A322" s="214"/>
      <c r="B322" s="214"/>
      <c r="C322" s="214"/>
      <c r="D322" s="214"/>
      <c r="E322" s="214"/>
      <c r="F322" s="214"/>
      <c r="G322" s="214"/>
      <c r="H322" s="214"/>
      <c r="I322" s="214"/>
      <c r="J322" s="214"/>
      <c r="K322" s="214"/>
      <c r="L322" s="214"/>
      <c r="M322" s="214"/>
      <c r="N322" s="214"/>
      <c r="O322" s="214"/>
      <c r="P322" s="214"/>
      <c r="Q322" s="156"/>
      <c r="R322" s="214"/>
      <c r="S322" s="214"/>
      <c r="T322" s="214"/>
      <c r="U322" s="214"/>
      <c r="V322" s="214"/>
      <c r="W322" s="214"/>
      <c r="X322" s="214"/>
      <c r="Y322" s="214"/>
      <c r="Z322" s="214"/>
    </row>
    <row r="323" ht="15.75" customHeight="1">
      <c r="A323" s="214"/>
      <c r="B323" s="214"/>
      <c r="C323" s="214"/>
      <c r="D323" s="214"/>
      <c r="E323" s="214"/>
      <c r="F323" s="214"/>
      <c r="G323" s="214"/>
      <c r="H323" s="214"/>
      <c r="I323" s="214"/>
      <c r="J323" s="214"/>
      <c r="K323" s="214"/>
      <c r="L323" s="214"/>
      <c r="M323" s="214"/>
      <c r="N323" s="214"/>
      <c r="O323" s="214"/>
      <c r="P323" s="214"/>
      <c r="Q323" s="156"/>
      <c r="R323" s="214"/>
      <c r="S323" s="214"/>
      <c r="T323" s="214"/>
      <c r="U323" s="214"/>
      <c r="V323" s="214"/>
      <c r="W323" s="214"/>
      <c r="X323" s="214"/>
      <c r="Y323" s="214"/>
      <c r="Z323" s="214"/>
    </row>
    <row r="324" ht="15.75" customHeight="1">
      <c r="A324" s="214"/>
      <c r="B324" s="214"/>
      <c r="C324" s="214"/>
      <c r="D324" s="214"/>
      <c r="E324" s="214"/>
      <c r="F324" s="214"/>
      <c r="G324" s="214"/>
      <c r="H324" s="214"/>
      <c r="I324" s="214"/>
      <c r="J324" s="214"/>
      <c r="K324" s="214"/>
      <c r="L324" s="214"/>
      <c r="M324" s="214"/>
      <c r="N324" s="214"/>
      <c r="O324" s="214"/>
      <c r="P324" s="214"/>
      <c r="Q324" s="156"/>
      <c r="R324" s="214"/>
      <c r="S324" s="214"/>
      <c r="T324" s="214"/>
      <c r="U324" s="214"/>
      <c r="V324" s="214"/>
      <c r="W324" s="214"/>
      <c r="X324" s="214"/>
      <c r="Y324" s="214"/>
      <c r="Z324" s="214"/>
    </row>
    <row r="325" ht="15.75" customHeight="1">
      <c r="A325" s="214"/>
      <c r="B325" s="214"/>
      <c r="C325" s="214"/>
      <c r="D325" s="214"/>
      <c r="E325" s="214"/>
      <c r="F325" s="214"/>
      <c r="G325" s="214"/>
      <c r="H325" s="214"/>
      <c r="I325" s="214"/>
      <c r="J325" s="214"/>
      <c r="K325" s="214"/>
      <c r="L325" s="214"/>
      <c r="M325" s="214"/>
      <c r="N325" s="214"/>
      <c r="O325" s="214"/>
      <c r="P325" s="214"/>
      <c r="Q325" s="156"/>
      <c r="R325" s="214"/>
      <c r="S325" s="214"/>
      <c r="T325" s="214"/>
      <c r="U325" s="214"/>
      <c r="V325" s="214"/>
      <c r="W325" s="214"/>
      <c r="X325" s="214"/>
      <c r="Y325" s="214"/>
      <c r="Z325" s="214"/>
    </row>
    <row r="326" ht="15.75" customHeight="1">
      <c r="A326" s="214"/>
      <c r="B326" s="214"/>
      <c r="C326" s="214"/>
      <c r="D326" s="214"/>
      <c r="E326" s="214"/>
      <c r="F326" s="214"/>
      <c r="G326" s="214"/>
      <c r="H326" s="214"/>
      <c r="I326" s="214"/>
      <c r="J326" s="214"/>
      <c r="K326" s="214"/>
      <c r="L326" s="214"/>
      <c r="M326" s="214"/>
      <c r="N326" s="214"/>
      <c r="O326" s="214"/>
      <c r="P326" s="214"/>
      <c r="Q326" s="156"/>
      <c r="R326" s="214"/>
      <c r="S326" s="214"/>
      <c r="T326" s="214"/>
      <c r="U326" s="214"/>
      <c r="V326" s="214"/>
      <c r="W326" s="214"/>
      <c r="X326" s="214"/>
      <c r="Y326" s="214"/>
      <c r="Z326" s="214"/>
    </row>
    <row r="327" ht="15.75" customHeight="1">
      <c r="A327" s="214"/>
      <c r="B327" s="214"/>
      <c r="C327" s="214"/>
      <c r="D327" s="214"/>
      <c r="E327" s="214"/>
      <c r="F327" s="214"/>
      <c r="G327" s="214"/>
      <c r="H327" s="214"/>
      <c r="I327" s="214"/>
      <c r="J327" s="214"/>
      <c r="K327" s="214"/>
      <c r="L327" s="214"/>
      <c r="M327" s="214"/>
      <c r="N327" s="214"/>
      <c r="O327" s="214"/>
      <c r="P327" s="214"/>
      <c r="Q327" s="156"/>
      <c r="R327" s="214"/>
      <c r="S327" s="214"/>
      <c r="T327" s="214"/>
      <c r="U327" s="214"/>
      <c r="V327" s="214"/>
      <c r="W327" s="214"/>
      <c r="X327" s="214"/>
      <c r="Y327" s="214"/>
      <c r="Z327" s="214"/>
    </row>
    <row r="328" ht="15.75" customHeight="1">
      <c r="A328" s="214"/>
      <c r="B328" s="214"/>
      <c r="C328" s="214"/>
      <c r="D328" s="214"/>
      <c r="E328" s="214"/>
      <c r="F328" s="214"/>
      <c r="G328" s="214"/>
      <c r="H328" s="214"/>
      <c r="I328" s="214"/>
      <c r="J328" s="214"/>
      <c r="K328" s="214"/>
      <c r="L328" s="214"/>
      <c r="M328" s="214"/>
      <c r="N328" s="214"/>
      <c r="O328" s="214"/>
      <c r="P328" s="214"/>
      <c r="Q328" s="156"/>
      <c r="R328" s="214"/>
      <c r="S328" s="214"/>
      <c r="T328" s="214"/>
      <c r="U328" s="214"/>
      <c r="V328" s="214"/>
      <c r="W328" s="214"/>
      <c r="X328" s="214"/>
      <c r="Y328" s="214"/>
      <c r="Z328" s="214"/>
    </row>
    <row r="329" ht="15.75" customHeight="1">
      <c r="A329" s="214"/>
      <c r="B329" s="214"/>
      <c r="C329" s="214"/>
      <c r="D329" s="214"/>
      <c r="E329" s="214"/>
      <c r="F329" s="214"/>
      <c r="G329" s="214"/>
      <c r="H329" s="214"/>
      <c r="I329" s="214"/>
      <c r="J329" s="214"/>
      <c r="K329" s="214"/>
      <c r="L329" s="214"/>
      <c r="M329" s="214"/>
      <c r="N329" s="214"/>
      <c r="O329" s="214"/>
      <c r="P329" s="214"/>
      <c r="Q329" s="156"/>
      <c r="R329" s="214"/>
      <c r="S329" s="214"/>
      <c r="T329" s="214"/>
      <c r="U329" s="214"/>
      <c r="V329" s="214"/>
      <c r="W329" s="214"/>
      <c r="X329" s="214"/>
      <c r="Y329" s="214"/>
      <c r="Z329" s="214"/>
    </row>
    <row r="330" ht="15.75" customHeight="1">
      <c r="A330" s="214"/>
      <c r="B330" s="214"/>
      <c r="C330" s="214"/>
      <c r="D330" s="214"/>
      <c r="E330" s="214"/>
      <c r="F330" s="214"/>
      <c r="G330" s="214"/>
      <c r="H330" s="214"/>
      <c r="I330" s="214"/>
      <c r="J330" s="214"/>
      <c r="K330" s="214"/>
      <c r="L330" s="214"/>
      <c r="M330" s="214"/>
      <c r="N330" s="214"/>
      <c r="O330" s="214"/>
      <c r="P330" s="214"/>
      <c r="Q330" s="156"/>
      <c r="R330" s="214"/>
      <c r="S330" s="214"/>
      <c r="T330" s="214"/>
      <c r="U330" s="214"/>
      <c r="V330" s="214"/>
      <c r="W330" s="214"/>
      <c r="X330" s="214"/>
      <c r="Y330" s="214"/>
      <c r="Z330" s="214"/>
    </row>
    <row r="331" ht="15.75" customHeight="1">
      <c r="A331" s="214"/>
      <c r="B331" s="214"/>
      <c r="C331" s="214"/>
      <c r="D331" s="214"/>
      <c r="E331" s="214"/>
      <c r="F331" s="214"/>
      <c r="G331" s="214"/>
      <c r="H331" s="214"/>
      <c r="I331" s="214"/>
      <c r="J331" s="214"/>
      <c r="K331" s="214"/>
      <c r="L331" s="214"/>
      <c r="M331" s="214"/>
      <c r="N331" s="214"/>
      <c r="O331" s="214"/>
      <c r="P331" s="214"/>
      <c r="Q331" s="156"/>
      <c r="R331" s="214"/>
      <c r="S331" s="214"/>
      <c r="T331" s="214"/>
      <c r="U331" s="214"/>
      <c r="V331" s="214"/>
      <c r="W331" s="214"/>
      <c r="X331" s="214"/>
      <c r="Y331" s="214"/>
      <c r="Z331" s="214"/>
    </row>
    <row r="332" ht="15.75" customHeight="1">
      <c r="A332" s="214"/>
      <c r="B332" s="214"/>
      <c r="C332" s="214"/>
      <c r="D332" s="214"/>
      <c r="E332" s="214"/>
      <c r="F332" s="214"/>
      <c r="G332" s="214"/>
      <c r="H332" s="214"/>
      <c r="I332" s="214"/>
      <c r="J332" s="214"/>
      <c r="K332" s="214"/>
      <c r="L332" s="214"/>
      <c r="M332" s="214"/>
      <c r="N332" s="214"/>
      <c r="O332" s="214"/>
      <c r="P332" s="214"/>
      <c r="Q332" s="156"/>
      <c r="R332" s="214"/>
      <c r="S332" s="214"/>
      <c r="T332" s="214"/>
      <c r="U332" s="214"/>
      <c r="V332" s="214"/>
      <c r="W332" s="214"/>
      <c r="X332" s="214"/>
      <c r="Y332" s="214"/>
      <c r="Z332" s="214"/>
    </row>
    <row r="333" ht="15.75" customHeight="1">
      <c r="A333" s="214"/>
      <c r="B333" s="214"/>
      <c r="C333" s="214"/>
      <c r="D333" s="214"/>
      <c r="E333" s="214"/>
      <c r="F333" s="214"/>
      <c r="G333" s="214"/>
      <c r="H333" s="214"/>
      <c r="I333" s="214"/>
      <c r="J333" s="214"/>
      <c r="K333" s="214"/>
      <c r="L333" s="214"/>
      <c r="M333" s="214"/>
      <c r="N333" s="214"/>
      <c r="O333" s="214"/>
      <c r="P333" s="214"/>
      <c r="Q333" s="156"/>
      <c r="R333" s="214"/>
      <c r="S333" s="214"/>
      <c r="T333" s="214"/>
      <c r="U333" s="214"/>
      <c r="V333" s="214"/>
      <c r="W333" s="214"/>
      <c r="X333" s="214"/>
      <c r="Y333" s="214"/>
      <c r="Z333" s="214"/>
    </row>
    <row r="334" ht="15.75" customHeight="1">
      <c r="A334" s="214"/>
      <c r="B334" s="214"/>
      <c r="C334" s="214"/>
      <c r="D334" s="214"/>
      <c r="E334" s="214"/>
      <c r="F334" s="214"/>
      <c r="G334" s="214"/>
      <c r="H334" s="214"/>
      <c r="I334" s="214"/>
      <c r="J334" s="214"/>
      <c r="K334" s="214"/>
      <c r="L334" s="214"/>
      <c r="M334" s="214"/>
      <c r="N334" s="214"/>
      <c r="O334" s="214"/>
      <c r="P334" s="214"/>
      <c r="Q334" s="156"/>
      <c r="R334" s="214"/>
      <c r="S334" s="214"/>
      <c r="T334" s="214"/>
      <c r="U334" s="214"/>
      <c r="V334" s="214"/>
      <c r="W334" s="214"/>
      <c r="X334" s="214"/>
      <c r="Y334" s="214"/>
      <c r="Z334" s="214"/>
    </row>
    <row r="335" ht="15.75" customHeight="1">
      <c r="A335" s="214"/>
      <c r="B335" s="214"/>
      <c r="C335" s="214"/>
      <c r="D335" s="214"/>
      <c r="E335" s="214"/>
      <c r="F335" s="214"/>
      <c r="G335" s="214"/>
      <c r="H335" s="214"/>
      <c r="I335" s="214"/>
      <c r="J335" s="214"/>
      <c r="K335" s="214"/>
      <c r="L335" s="214"/>
      <c r="M335" s="214"/>
      <c r="N335" s="214"/>
      <c r="O335" s="214"/>
      <c r="P335" s="214"/>
      <c r="Q335" s="156"/>
      <c r="R335" s="214"/>
      <c r="S335" s="214"/>
      <c r="T335" s="214"/>
      <c r="U335" s="214"/>
      <c r="V335" s="214"/>
      <c r="W335" s="214"/>
      <c r="X335" s="214"/>
      <c r="Y335" s="214"/>
      <c r="Z335" s="214"/>
    </row>
    <row r="336" ht="15.75" customHeight="1">
      <c r="A336" s="214"/>
      <c r="B336" s="214"/>
      <c r="C336" s="214"/>
      <c r="D336" s="214"/>
      <c r="E336" s="214"/>
      <c r="F336" s="214"/>
      <c r="G336" s="214"/>
      <c r="H336" s="214"/>
      <c r="I336" s="214"/>
      <c r="J336" s="214"/>
      <c r="K336" s="214"/>
      <c r="L336" s="214"/>
      <c r="M336" s="214"/>
      <c r="N336" s="214"/>
      <c r="O336" s="214"/>
      <c r="P336" s="214"/>
      <c r="Q336" s="156"/>
      <c r="R336" s="214"/>
      <c r="S336" s="214"/>
      <c r="T336" s="214"/>
      <c r="U336" s="214"/>
      <c r="V336" s="214"/>
      <c r="W336" s="214"/>
      <c r="X336" s="214"/>
      <c r="Y336" s="214"/>
      <c r="Z336" s="214"/>
    </row>
    <row r="337" ht="15.75" customHeight="1">
      <c r="A337" s="214"/>
      <c r="B337" s="214"/>
      <c r="C337" s="214"/>
      <c r="D337" s="214"/>
      <c r="E337" s="214"/>
      <c r="F337" s="214"/>
      <c r="G337" s="214"/>
      <c r="H337" s="214"/>
      <c r="I337" s="214"/>
      <c r="J337" s="214"/>
      <c r="K337" s="214"/>
      <c r="L337" s="214"/>
      <c r="M337" s="214"/>
      <c r="N337" s="214"/>
      <c r="O337" s="214"/>
      <c r="P337" s="214"/>
      <c r="Q337" s="156"/>
      <c r="R337" s="214"/>
      <c r="S337" s="214"/>
      <c r="T337" s="214"/>
      <c r="U337" s="214"/>
      <c r="V337" s="214"/>
      <c r="W337" s="214"/>
      <c r="X337" s="214"/>
      <c r="Y337" s="214"/>
      <c r="Z337" s="214"/>
    </row>
    <row r="338" ht="15.75" customHeight="1">
      <c r="A338" s="214"/>
      <c r="B338" s="214"/>
      <c r="C338" s="214"/>
      <c r="D338" s="214"/>
      <c r="E338" s="214"/>
      <c r="F338" s="214"/>
      <c r="G338" s="214"/>
      <c r="H338" s="214"/>
      <c r="I338" s="214"/>
      <c r="J338" s="214"/>
      <c r="K338" s="214"/>
      <c r="L338" s="214"/>
      <c r="M338" s="214"/>
      <c r="N338" s="214"/>
      <c r="O338" s="214"/>
      <c r="P338" s="214"/>
      <c r="Q338" s="156"/>
      <c r="R338" s="214"/>
      <c r="S338" s="214"/>
      <c r="T338" s="214"/>
      <c r="U338" s="214"/>
      <c r="V338" s="214"/>
      <c r="W338" s="214"/>
      <c r="X338" s="214"/>
      <c r="Y338" s="214"/>
      <c r="Z338" s="214"/>
    </row>
    <row r="339" ht="15.75" customHeight="1">
      <c r="A339" s="214"/>
      <c r="B339" s="214"/>
      <c r="C339" s="214"/>
      <c r="D339" s="214"/>
      <c r="E339" s="214"/>
      <c r="F339" s="214"/>
      <c r="G339" s="214"/>
      <c r="H339" s="214"/>
      <c r="I339" s="214"/>
      <c r="J339" s="214"/>
      <c r="K339" s="214"/>
      <c r="L339" s="214"/>
      <c r="M339" s="214"/>
      <c r="N339" s="214"/>
      <c r="O339" s="214"/>
      <c r="P339" s="214"/>
      <c r="Q339" s="156"/>
      <c r="R339" s="214"/>
      <c r="S339" s="214"/>
      <c r="T339" s="214"/>
      <c r="U339" s="214"/>
      <c r="V339" s="214"/>
      <c r="W339" s="214"/>
      <c r="X339" s="214"/>
      <c r="Y339" s="214"/>
      <c r="Z339" s="214"/>
    </row>
    <row r="340" ht="15.75" customHeight="1">
      <c r="A340" s="214"/>
      <c r="B340" s="214"/>
      <c r="C340" s="214"/>
      <c r="D340" s="214"/>
      <c r="E340" s="214"/>
      <c r="F340" s="214"/>
      <c r="G340" s="214"/>
      <c r="H340" s="214"/>
      <c r="I340" s="214"/>
      <c r="J340" s="214"/>
      <c r="K340" s="214"/>
      <c r="L340" s="214"/>
      <c r="M340" s="214"/>
      <c r="N340" s="214"/>
      <c r="O340" s="214"/>
      <c r="P340" s="214"/>
      <c r="Q340" s="156"/>
      <c r="R340" s="214"/>
      <c r="S340" s="214"/>
      <c r="T340" s="214"/>
      <c r="U340" s="214"/>
      <c r="V340" s="214"/>
      <c r="W340" s="214"/>
      <c r="X340" s="214"/>
      <c r="Y340" s="214"/>
      <c r="Z340" s="214"/>
    </row>
    <row r="341" ht="15.75" customHeight="1">
      <c r="A341" s="214"/>
      <c r="B341" s="214"/>
      <c r="C341" s="214"/>
      <c r="D341" s="214"/>
      <c r="E341" s="214"/>
      <c r="F341" s="214"/>
      <c r="G341" s="214"/>
      <c r="H341" s="214"/>
      <c r="I341" s="214"/>
      <c r="J341" s="214"/>
      <c r="K341" s="214"/>
      <c r="L341" s="214"/>
      <c r="M341" s="214"/>
      <c r="N341" s="214"/>
      <c r="O341" s="214"/>
      <c r="P341" s="214"/>
      <c r="Q341" s="156"/>
      <c r="R341" s="214"/>
      <c r="S341" s="214"/>
      <c r="T341" s="214"/>
      <c r="U341" s="214"/>
      <c r="V341" s="214"/>
      <c r="W341" s="214"/>
      <c r="X341" s="214"/>
      <c r="Y341" s="214"/>
      <c r="Z341" s="214"/>
    </row>
    <row r="342" ht="15.75" customHeight="1">
      <c r="A342" s="214"/>
      <c r="B342" s="214"/>
      <c r="C342" s="214"/>
      <c r="D342" s="214"/>
      <c r="E342" s="214"/>
      <c r="F342" s="214"/>
      <c r="G342" s="214"/>
      <c r="H342" s="214"/>
      <c r="I342" s="214"/>
      <c r="J342" s="214"/>
      <c r="K342" s="214"/>
      <c r="L342" s="214"/>
      <c r="M342" s="214"/>
      <c r="N342" s="214"/>
      <c r="O342" s="214"/>
      <c r="P342" s="214"/>
      <c r="Q342" s="156"/>
      <c r="R342" s="214"/>
      <c r="S342" s="214"/>
      <c r="T342" s="214"/>
      <c r="U342" s="214"/>
      <c r="V342" s="214"/>
      <c r="W342" s="214"/>
      <c r="X342" s="214"/>
      <c r="Y342" s="214"/>
      <c r="Z342" s="214"/>
    </row>
    <row r="343" ht="15.75" customHeight="1">
      <c r="A343" s="214"/>
      <c r="B343" s="214"/>
      <c r="C343" s="214"/>
      <c r="D343" s="214"/>
      <c r="E343" s="214"/>
      <c r="F343" s="214"/>
      <c r="G343" s="214"/>
      <c r="H343" s="214"/>
      <c r="I343" s="214"/>
      <c r="J343" s="214"/>
      <c r="K343" s="214"/>
      <c r="L343" s="214"/>
      <c r="M343" s="214"/>
      <c r="N343" s="214"/>
      <c r="O343" s="214"/>
      <c r="P343" s="214"/>
      <c r="Q343" s="156"/>
      <c r="R343" s="214"/>
      <c r="S343" s="214"/>
      <c r="T343" s="214"/>
      <c r="U343" s="214"/>
      <c r="V343" s="214"/>
      <c r="W343" s="214"/>
      <c r="X343" s="214"/>
      <c r="Y343" s="214"/>
      <c r="Z343" s="214"/>
    </row>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sheetViews>
  <sheetFormatPr customHeight="1" defaultColWidth="12.63" defaultRowHeight="15.0"/>
  <cols>
    <col customWidth="1" min="1" max="1" width="5.38"/>
    <col customWidth="1" min="2" max="2" width="14.75"/>
    <col customWidth="1" min="3" max="3" width="13.13"/>
    <col customWidth="1" min="4" max="4" width="20.0"/>
    <col customWidth="1" min="5" max="5" width="21.13"/>
    <col customWidth="1" min="6" max="8" width="17.38"/>
    <col customWidth="1" min="9" max="9" width="18.13"/>
    <col customWidth="1" min="10" max="10" width="11.88"/>
    <col customWidth="1" min="11" max="11" width="16.5"/>
    <col customWidth="1" min="12" max="12" width="11.63"/>
    <col customWidth="1" min="13" max="13" width="9.38"/>
    <col customWidth="1" min="14" max="14" width="13.0"/>
    <col customWidth="1" min="15" max="15" width="12.0"/>
    <col customWidth="1" min="17" max="17" width="7.63"/>
    <col customWidth="1" min="18" max="18" width="11.75"/>
    <col customWidth="1" min="19" max="19" width="15.5"/>
    <col customWidth="1" min="22" max="22" width="9.5"/>
    <col customWidth="1" min="23" max="23" width="9.63"/>
  </cols>
  <sheetData>
    <row r="1" ht="24.0" customHeight="1">
      <c r="A1" s="1"/>
      <c r="B1" s="2"/>
      <c r="C1" s="1"/>
      <c r="D1" s="1"/>
      <c r="E1" s="1"/>
      <c r="G1" s="218"/>
      <c r="I1" s="1"/>
      <c r="J1" s="1"/>
      <c r="K1" s="4"/>
      <c r="L1" s="4"/>
      <c r="M1" s="5"/>
      <c r="N1" s="4"/>
      <c r="O1" s="4"/>
      <c r="P1" s="3"/>
      <c r="Q1" s="1"/>
      <c r="R1" s="1"/>
      <c r="S1" s="1"/>
      <c r="T1" s="1"/>
      <c r="U1" s="1"/>
      <c r="V1" s="1"/>
      <c r="W1" s="1"/>
      <c r="X1" s="1"/>
      <c r="Y1" s="1"/>
      <c r="Z1" s="1"/>
      <c r="AA1" s="1"/>
      <c r="AB1" s="1"/>
    </row>
    <row r="2" ht="29.25" customHeight="1">
      <c r="A2" s="1"/>
      <c r="B2" s="7" t="s">
        <v>687</v>
      </c>
      <c r="C2" s="9"/>
      <c r="D2" s="9"/>
      <c r="E2" s="9"/>
      <c r="F2" s="10"/>
      <c r="G2" s="231"/>
      <c r="H2" s="10"/>
      <c r="I2" s="9"/>
      <c r="J2" s="14"/>
      <c r="L2" s="13"/>
      <c r="M2" s="14"/>
      <c r="P2" s="3"/>
      <c r="Q2" s="1"/>
      <c r="R2" s="1"/>
      <c r="S2" s="1"/>
      <c r="T2" s="1"/>
      <c r="U2" s="1"/>
      <c r="V2" s="1"/>
      <c r="W2" s="1"/>
      <c r="X2" s="1"/>
      <c r="Y2" s="1"/>
      <c r="Z2" s="1"/>
      <c r="AA2" s="1"/>
      <c r="AB2" s="1"/>
    </row>
    <row r="3" ht="33.75" customHeight="1">
      <c r="A3" s="1"/>
      <c r="B3" s="18" t="s">
        <v>2</v>
      </c>
      <c r="C3" s="232">
        <v>45901.0</v>
      </c>
      <c r="E3" s="233">
        <f>NOW()</f>
        <v>46082.13814</v>
      </c>
      <c r="I3" s="1"/>
      <c r="J3" s="1"/>
      <c r="K3" s="4"/>
      <c r="L3" s="4"/>
      <c r="M3" s="5"/>
      <c r="N3" s="4"/>
      <c r="O3" s="4"/>
      <c r="P3" s="3"/>
      <c r="Q3" s="1"/>
      <c r="R3" s="1"/>
      <c r="S3" s="1"/>
      <c r="T3" s="1"/>
      <c r="U3" s="1"/>
      <c r="V3" s="1"/>
      <c r="W3" s="1"/>
      <c r="X3" s="1"/>
      <c r="Y3" s="1"/>
      <c r="Z3" s="1"/>
      <c r="AA3" s="1"/>
      <c r="AB3" s="1"/>
    </row>
    <row r="4" ht="15.75" customHeight="1">
      <c r="A4" s="1"/>
      <c r="B4" s="1"/>
      <c r="C4" s="1"/>
      <c r="D4" s="1"/>
      <c r="E4" s="1"/>
      <c r="F4" s="1"/>
      <c r="G4" s="110"/>
      <c r="H4" s="1"/>
      <c r="I4" s="1"/>
      <c r="J4" s="1"/>
      <c r="K4" s="1"/>
      <c r="L4" s="1"/>
      <c r="M4" s="1"/>
      <c r="N4" s="1"/>
      <c r="O4" s="1"/>
      <c r="P4" s="3"/>
      <c r="Q4" s="1"/>
      <c r="R4" s="1"/>
      <c r="S4" s="1"/>
      <c r="T4" s="1"/>
      <c r="U4" s="1"/>
      <c r="V4" s="1"/>
      <c r="W4" s="1"/>
      <c r="X4" s="1"/>
      <c r="Y4" s="1"/>
      <c r="Z4" s="1"/>
      <c r="AA4" s="1"/>
      <c r="AB4" s="1"/>
    </row>
    <row r="5" ht="24.0" customHeight="1">
      <c r="A5" s="1"/>
      <c r="B5" s="234" t="s">
        <v>681</v>
      </c>
      <c r="C5" s="234" t="s">
        <v>688</v>
      </c>
      <c r="D5" s="234" t="s">
        <v>16</v>
      </c>
      <c r="E5" s="234" t="s">
        <v>689</v>
      </c>
      <c r="F5" s="234" t="s">
        <v>690</v>
      </c>
      <c r="G5" s="234" t="s">
        <v>691</v>
      </c>
      <c r="H5" s="234" t="s">
        <v>692</v>
      </c>
      <c r="I5" s="1"/>
      <c r="J5" s="1"/>
      <c r="K5" s="1"/>
      <c r="L5" s="1"/>
      <c r="M5" s="1"/>
      <c r="N5" s="1"/>
      <c r="O5" s="1"/>
      <c r="P5" s="3"/>
      <c r="Q5" s="1"/>
      <c r="R5" s="1"/>
      <c r="S5" s="1"/>
      <c r="T5" s="1"/>
      <c r="U5" s="1"/>
      <c r="V5" s="1"/>
      <c r="W5" s="1"/>
      <c r="X5" s="1"/>
      <c r="Y5" s="1"/>
      <c r="Z5" s="1"/>
      <c r="AA5" s="1"/>
      <c r="AB5" s="1"/>
    </row>
    <row r="6" ht="15.75" customHeight="1">
      <c r="A6" s="1"/>
      <c r="B6" s="235">
        <v>1.0</v>
      </c>
      <c r="C6" s="236"/>
      <c r="D6" s="236">
        <f>SUMIF('DS Shoppe (đã xác nhận)'!Q:Q,B6,'DS Shoppe (đã xác nhận)'!B:B)+SUMIF(LAZADA!S:S,B6,LAZADA!B:B)+SUMIF(WEB!N:N,B6,WEB!C:C)+SUMIF(ZALO!M:M,B6,ZALO!C:C)+SUMIF(FANPAGE!M:M,B6,FANPAGE!C:C)</f>
        <v>100518008</v>
      </c>
      <c r="E6" s="236"/>
      <c r="F6" s="236"/>
      <c r="G6" s="237"/>
      <c r="H6" s="235"/>
      <c r="I6" s="1"/>
      <c r="J6" s="1"/>
      <c r="K6" s="1"/>
      <c r="L6" s="1"/>
      <c r="M6" s="1"/>
      <c r="N6" s="1"/>
      <c r="O6" s="1"/>
      <c r="P6" s="3"/>
      <c r="Q6" s="1"/>
      <c r="R6" s="1"/>
      <c r="S6" s="1"/>
      <c r="T6" s="1"/>
      <c r="U6" s="1"/>
      <c r="V6" s="1"/>
      <c r="W6" s="1"/>
      <c r="X6" s="1"/>
      <c r="Y6" s="1"/>
      <c r="Z6" s="1"/>
      <c r="AA6" s="1"/>
      <c r="AB6" s="1"/>
    </row>
    <row r="7" ht="15.75" customHeight="1">
      <c r="A7" s="1"/>
      <c r="B7" s="235">
        <v>2.0</v>
      </c>
      <c r="C7" s="236"/>
      <c r="D7" s="236">
        <f>SUMIF('DS Shoppe (đã xác nhận)'!Q:Q,B7,'DS Shoppe (đã xác nhận)'!B:B)+SUMIF(LAZADA!S:S,B7,LAZADA!B:B)+SUMIF(WEB!N:N,B7,WEB!C:C)+SUMIF(ZALO!M:M,B7,ZALO!C:C)+SUMIF(FANPAGE!M:M,B7,FANPAGE!C:C)</f>
        <v>83066785</v>
      </c>
      <c r="E7" s="236"/>
      <c r="F7" s="236"/>
      <c r="G7" s="237"/>
      <c r="H7" s="235"/>
      <c r="I7" s="1"/>
      <c r="J7" s="1"/>
      <c r="K7" s="1"/>
      <c r="L7" s="1"/>
      <c r="M7" s="1"/>
      <c r="N7" s="1"/>
      <c r="O7" s="1"/>
      <c r="P7" s="3"/>
      <c r="Q7" s="1"/>
      <c r="R7" s="1"/>
      <c r="S7" s="1"/>
      <c r="T7" s="1"/>
      <c r="U7" s="1"/>
      <c r="V7" s="1"/>
      <c r="W7" s="1"/>
      <c r="X7" s="1"/>
      <c r="Y7" s="1"/>
      <c r="Z7" s="1"/>
      <c r="AA7" s="1"/>
      <c r="AB7" s="1"/>
    </row>
    <row r="8" ht="15.75" customHeight="1">
      <c r="A8" s="1"/>
      <c r="B8" s="235">
        <v>3.0</v>
      </c>
      <c r="C8" s="236"/>
      <c r="D8" s="236">
        <f>SUMIF('DS Shoppe (đã xác nhận)'!Q:Q,B8,'DS Shoppe (đã xác nhận)'!B:B)+SUMIF(LAZADA!S:S,B8,LAZADA!B:B)+SUMIF(WEB!N:N,B8,WEB!C:C)+SUMIF(ZALO!M:M,B8,ZALO!C:C)+SUMIF(FANPAGE!M:M,B8,FANPAGE!C:C)</f>
        <v>0</v>
      </c>
      <c r="E8" s="236"/>
      <c r="F8" s="236"/>
      <c r="G8" s="237"/>
      <c r="H8" s="235"/>
      <c r="I8" s="1"/>
      <c r="J8" s="1"/>
      <c r="K8" s="1"/>
      <c r="L8" s="1"/>
      <c r="M8" s="1"/>
      <c r="N8" s="1"/>
      <c r="O8" s="1"/>
      <c r="P8" s="3"/>
      <c r="Q8" s="1"/>
      <c r="R8" s="1"/>
      <c r="S8" s="1"/>
      <c r="T8" s="1"/>
      <c r="U8" s="1"/>
      <c r="V8" s="1"/>
      <c r="W8" s="1"/>
      <c r="X8" s="1"/>
      <c r="Y8" s="1"/>
      <c r="Z8" s="1"/>
      <c r="AA8" s="1"/>
      <c r="AB8" s="1"/>
    </row>
    <row r="9" ht="15.75" customHeight="1">
      <c r="A9" s="1"/>
      <c r="B9" s="235">
        <v>4.0</v>
      </c>
      <c r="C9" s="236"/>
      <c r="D9" s="236">
        <f>SUMIF('DS Shoppe (đã xác nhận)'!Q:Q,B9,'DS Shoppe (đã xác nhận)'!B:B)+SUMIF(LAZADA!S:S,B9,LAZADA!B:B)+SUMIF(WEB!N:N,B9,WEB!C:C)+SUMIF(ZALO!M:M,B9,ZALO!C:C)+SUMIF(FANPAGE!M:M,B9,FANPAGE!C:C)</f>
        <v>0</v>
      </c>
      <c r="E9" s="236"/>
      <c r="F9" s="236"/>
      <c r="G9" s="237"/>
      <c r="H9" s="235"/>
      <c r="I9" s="1"/>
      <c r="J9" s="1"/>
      <c r="K9" s="1"/>
      <c r="L9" s="1"/>
      <c r="M9" s="1"/>
      <c r="N9" s="1"/>
      <c r="O9" s="1"/>
      <c r="P9" s="3"/>
      <c r="Q9" s="1"/>
      <c r="R9" s="1"/>
      <c r="S9" s="1"/>
      <c r="T9" s="1"/>
      <c r="U9" s="1"/>
      <c r="V9" s="1"/>
      <c r="W9" s="1"/>
      <c r="X9" s="1"/>
      <c r="Y9" s="1"/>
      <c r="Z9" s="1"/>
      <c r="AA9" s="1"/>
      <c r="AB9" s="1"/>
    </row>
    <row r="10" ht="15.75" customHeight="1">
      <c r="A10" s="1"/>
      <c r="B10" s="235">
        <v>5.0</v>
      </c>
      <c r="C10" s="236"/>
      <c r="D10" s="236">
        <f>SUMIF('DS Shoppe (đã xác nhận)'!Q:Q,B10,'DS Shoppe (đã xác nhận)'!B:B)+SUMIF(LAZADA!S:S,B10,LAZADA!B:B)+SUMIF(WEB!N:N,B10,WEB!C:C)+SUMIF(ZALO!M:M,B10,ZALO!C:C)+SUMIF(FANPAGE!M:M,B10,FANPAGE!C:C)</f>
        <v>0</v>
      </c>
      <c r="E10" s="236"/>
      <c r="F10" s="236"/>
      <c r="G10" s="237"/>
      <c r="H10" s="235"/>
      <c r="I10" s="1"/>
      <c r="J10" s="1"/>
      <c r="K10" s="1"/>
      <c r="L10" s="1"/>
      <c r="M10" s="1"/>
      <c r="N10" s="1"/>
      <c r="O10" s="1"/>
      <c r="P10" s="3"/>
      <c r="Q10" s="1"/>
      <c r="R10" s="1"/>
      <c r="S10" s="1"/>
      <c r="T10" s="1"/>
      <c r="U10" s="1"/>
      <c r="V10" s="1"/>
      <c r="W10" s="1"/>
      <c r="X10" s="1"/>
      <c r="Y10" s="1"/>
      <c r="Z10" s="1"/>
      <c r="AA10" s="1"/>
      <c r="AB10" s="1"/>
    </row>
    <row r="11" ht="15.75" customHeight="1">
      <c r="A11" s="1"/>
      <c r="B11" s="235">
        <v>6.0</v>
      </c>
      <c r="C11" s="236"/>
      <c r="D11" s="236">
        <f>SUMIF('DS Shoppe (đã xác nhận)'!Q:Q,B11,'DS Shoppe (đã xác nhận)'!B:B)+SUMIF(LAZADA!S:S,B11,LAZADA!B:B)+SUMIF(WEB!N:N,B11,WEB!C:C)+SUMIF(ZALO!M:M,B11,ZALO!C:C)+SUMIF(FANPAGE!M:M,B11,FANPAGE!C:C)</f>
        <v>0</v>
      </c>
      <c r="E11" s="236"/>
      <c r="F11" s="236"/>
      <c r="G11" s="237"/>
      <c r="H11" s="235"/>
      <c r="I11" s="1"/>
      <c r="J11" s="1"/>
      <c r="K11" s="1"/>
      <c r="L11" s="1"/>
      <c r="M11" s="1"/>
      <c r="N11" s="1"/>
      <c r="O11" s="1"/>
      <c r="P11" s="3"/>
      <c r="Q11" s="1"/>
      <c r="R11" s="1"/>
      <c r="S11" s="1"/>
      <c r="T11" s="1"/>
      <c r="U11" s="1"/>
      <c r="V11" s="1"/>
      <c r="W11" s="1"/>
      <c r="X11" s="1"/>
      <c r="Y11" s="1"/>
      <c r="Z11" s="1"/>
      <c r="AA11" s="1"/>
      <c r="AB11" s="1"/>
    </row>
    <row r="12" ht="15.75" customHeight="1">
      <c r="A12" s="1"/>
      <c r="B12" s="235">
        <v>7.0</v>
      </c>
      <c r="C12" s="236"/>
      <c r="D12" s="236">
        <f>SUMIF('DS Shoppe (đã xác nhận)'!Q:Q,B12,'DS Shoppe (đã xác nhận)'!B:B)+SUMIF(LAZADA!S:S,B12,LAZADA!B:B)+SUMIF(WEB!N:N,B12,WEB!C:C)+SUMIF(ZALO!M:M,B12,ZALO!C:C)+SUMIF(FANPAGE!M:M,B12,FANPAGE!C:C)</f>
        <v>0</v>
      </c>
      <c r="E12" s="236"/>
      <c r="F12" s="236"/>
      <c r="G12" s="237"/>
      <c r="H12" s="235"/>
      <c r="I12" s="1"/>
      <c r="J12" s="1"/>
      <c r="K12" s="1"/>
      <c r="L12" s="1"/>
      <c r="M12" s="1"/>
      <c r="N12" s="1"/>
      <c r="O12" s="1"/>
      <c r="P12" s="3"/>
      <c r="Q12" s="1"/>
      <c r="R12" s="1"/>
      <c r="S12" s="1"/>
      <c r="T12" s="1"/>
      <c r="U12" s="1"/>
      <c r="V12" s="1"/>
      <c r="W12" s="1"/>
      <c r="X12" s="1"/>
      <c r="Y12" s="1"/>
      <c r="Z12" s="1"/>
      <c r="AA12" s="1"/>
      <c r="AB12" s="1"/>
    </row>
    <row r="13" ht="15.75" customHeight="1">
      <c r="A13" s="1"/>
      <c r="B13" s="235">
        <v>8.0</v>
      </c>
      <c r="C13" s="236">
        <v>1.0E8</v>
      </c>
      <c r="D13" s="236">
        <f>SUMIF('DS Shoppe (đã xác nhận)'!Q:Q,B13,'DS Shoppe (đã xác nhận)'!B:B)+SUMIF(LAZADA!S:S,B13,LAZADA!B:B)+SUMIF(WEB!N:N,B13,WEB!C:C)+SUMIF(ZALO!M:M,B13,ZALO!C:C)+SUMIF(FANPAGE!M:M,B13,FANPAGE!C:C)</f>
        <v>61588731</v>
      </c>
      <c r="E13" s="236">
        <f>SUMIFS('ADS SHOPEE'!Y:Y,'ADS SHOPEE'!AG:AG,B13)</f>
        <v>3368692</v>
      </c>
      <c r="F13" s="236">
        <f t="shared" ref="F13:F17" si="1">D13-C13</f>
        <v>-38411269</v>
      </c>
      <c r="G13" s="237">
        <f t="shared" ref="G13:G17" si="2">D13/C13-1</f>
        <v>-0.38411269</v>
      </c>
      <c r="H13" s="237">
        <f t="shared" ref="H13:H17" si="3">E13/D13</f>
        <v>0.05469656454</v>
      </c>
      <c r="I13" s="1"/>
      <c r="J13" s="1"/>
      <c r="K13" s="1"/>
      <c r="L13" s="1"/>
      <c r="M13" s="1"/>
      <c r="N13" s="1"/>
      <c r="O13" s="1"/>
      <c r="P13" s="3"/>
      <c r="Q13" s="1"/>
      <c r="R13" s="1"/>
      <c r="S13" s="1"/>
      <c r="T13" s="1"/>
      <c r="U13" s="1"/>
      <c r="V13" s="1"/>
      <c r="W13" s="1"/>
      <c r="X13" s="1"/>
      <c r="Y13" s="1"/>
      <c r="Z13" s="1"/>
      <c r="AA13" s="1"/>
      <c r="AB13" s="1"/>
    </row>
    <row r="14" ht="15.75" customHeight="1">
      <c r="A14" s="1"/>
      <c r="B14" s="235">
        <v>9.0</v>
      </c>
      <c r="C14" s="236">
        <v>1.43182134E8</v>
      </c>
      <c r="D14" s="236">
        <f>SUMIF('DS Shoppe (đã xác nhận)'!Q:Q,B14,'DS Shoppe (đã xác nhận)'!B:B)+SUMIF(LAZADA!S:S,B14,LAZADA!B:B)+SUMIF(WEB!N:N,B14,WEB!C:C)+SUMIF(ZALO!M:M,B14,ZALO!C:C)+SUMIF(FANPAGE!M:M,B14,FANPAGE!C:C)</f>
        <v>91815640</v>
      </c>
      <c r="E14" s="236">
        <f>SUMIFS('ADS SHOPEE'!Y:Y,'ADS SHOPEE'!AG:AG,B14)</f>
        <v>10589865</v>
      </c>
      <c r="F14" s="236">
        <f t="shared" si="1"/>
        <v>-51366494</v>
      </c>
      <c r="G14" s="237">
        <f t="shared" si="2"/>
        <v>-0.3587493255</v>
      </c>
      <c r="H14" s="237">
        <f t="shared" si="3"/>
        <v>0.1153383563</v>
      </c>
      <c r="I14" s="1"/>
      <c r="J14" s="1"/>
      <c r="K14" s="1"/>
      <c r="L14" s="1"/>
      <c r="M14" s="1"/>
      <c r="N14" s="1"/>
      <c r="O14" s="1"/>
      <c r="P14" s="3"/>
      <c r="Q14" s="1"/>
      <c r="R14" s="1"/>
      <c r="S14" s="1"/>
      <c r="T14" s="1"/>
      <c r="U14" s="1"/>
      <c r="V14" s="1"/>
      <c r="W14" s="1"/>
      <c r="X14" s="1"/>
      <c r="Y14" s="1"/>
      <c r="Z14" s="1"/>
      <c r="AA14" s="1"/>
      <c r="AB14" s="1"/>
    </row>
    <row r="15" ht="15.75" customHeight="1">
      <c r="A15" s="1"/>
      <c r="B15" s="235">
        <v>10.0</v>
      </c>
      <c r="C15" s="236"/>
      <c r="D15" s="236">
        <f>SUMIF('DS Shoppe (đã xác nhận)'!Q:Q,B15,'DS Shoppe (đã xác nhận)'!B:B)+SUMIF(LAZADA!S:S,B15,LAZADA!B:B)+SUMIF(WEB!N:N,B15,WEB!C:C)+SUMIF(ZALO!M:M,B15,ZALO!C:C)+SUMIF(FANPAGE!M:M,B15,FANPAGE!C:C)</f>
        <v>95224742</v>
      </c>
      <c r="E15" s="236">
        <f>SUMIFS('ADS SHOPEE'!Y:Y,'ADS SHOPEE'!AG:AG,B15)</f>
        <v>4947883</v>
      </c>
      <c r="F15" s="236">
        <f t="shared" si="1"/>
        <v>95224742</v>
      </c>
      <c r="G15" s="237" t="str">
        <f t="shared" si="2"/>
        <v>#DIV/0!</v>
      </c>
      <c r="H15" s="237">
        <f t="shared" si="3"/>
        <v>0.05196005677</v>
      </c>
      <c r="I15" s="1"/>
      <c r="J15" s="1"/>
      <c r="K15" s="1"/>
      <c r="L15" s="1"/>
      <c r="M15" s="1"/>
      <c r="N15" s="1"/>
      <c r="O15" s="1"/>
      <c r="P15" s="3"/>
      <c r="Q15" s="1"/>
      <c r="R15" s="1"/>
      <c r="S15" s="1"/>
      <c r="T15" s="1"/>
      <c r="U15" s="1"/>
      <c r="V15" s="1"/>
      <c r="W15" s="1"/>
      <c r="X15" s="1"/>
      <c r="Y15" s="1"/>
      <c r="Z15" s="1"/>
      <c r="AA15" s="1"/>
      <c r="AB15" s="1"/>
    </row>
    <row r="16" ht="15.75" customHeight="1">
      <c r="A16" s="1"/>
      <c r="B16" s="235">
        <v>11.0</v>
      </c>
      <c r="C16" s="236"/>
      <c r="D16" s="236">
        <f>SUMIF('DS Shoppe (đã xác nhận)'!Q:Q,B16,'DS Shoppe (đã xác nhận)'!B:B)+SUMIF(LAZADA!S:S,B16,LAZADA!B:B)+SUMIF(WEB!N:N,B16,WEB!C:C)+SUMIF(ZALO!M:M,B16,ZALO!C:C)+SUMIF(FANPAGE!M:M,B16,FANPAGE!C:C)</f>
        <v>81368273</v>
      </c>
      <c r="E16" s="236">
        <f>SUMIFS('ADS SHOPEE'!Y:Y,'ADS SHOPEE'!AG:AG,B16)</f>
        <v>10659302</v>
      </c>
      <c r="F16" s="236">
        <f t="shared" si="1"/>
        <v>81368273</v>
      </c>
      <c r="G16" s="237" t="str">
        <f t="shared" si="2"/>
        <v>#DIV/0!</v>
      </c>
      <c r="H16" s="237">
        <f t="shared" si="3"/>
        <v>0.1310007157</v>
      </c>
      <c r="I16" s="1"/>
      <c r="J16" s="1"/>
      <c r="K16" s="1"/>
      <c r="L16" s="1"/>
      <c r="M16" s="1"/>
      <c r="N16" s="1"/>
      <c r="O16" s="1"/>
      <c r="P16" s="3"/>
      <c r="Q16" s="1"/>
      <c r="R16" s="1"/>
      <c r="S16" s="1"/>
      <c r="T16" s="1"/>
      <c r="U16" s="1"/>
      <c r="V16" s="1"/>
      <c r="W16" s="1"/>
      <c r="X16" s="1"/>
      <c r="Y16" s="1"/>
      <c r="Z16" s="1"/>
      <c r="AA16" s="1"/>
      <c r="AB16" s="1"/>
    </row>
    <row r="17" ht="15.75" customHeight="1">
      <c r="A17" s="1"/>
      <c r="B17" s="235">
        <v>12.0</v>
      </c>
      <c r="C17" s="236"/>
      <c r="D17" s="236">
        <f>SUMIF('DS Shoppe (đã xác nhận)'!Q:Q,B17,'DS Shoppe (đã xác nhận)'!B:B)+SUMIF(LAZADA!S:S,B17,LAZADA!B:B)+SUMIF(WEB!N:N,B17,WEB!C:C)+SUMIF(ZALO!M:M,B17,ZALO!C:C)+SUMIF(FANPAGE!M:M,B17,FANPAGE!C:C)</f>
        <v>89895107</v>
      </c>
      <c r="E17" s="236">
        <f>SUMIFS('ADS SHOPEE'!Y:Y,'ADS SHOPEE'!AG:AG,B17)</f>
        <v>8399114</v>
      </c>
      <c r="F17" s="236">
        <f t="shared" si="1"/>
        <v>89895107</v>
      </c>
      <c r="G17" s="237" t="str">
        <f t="shared" si="2"/>
        <v>#DIV/0!</v>
      </c>
      <c r="H17" s="237">
        <f t="shared" si="3"/>
        <v>0.09343238225</v>
      </c>
      <c r="I17" s="1"/>
      <c r="J17" s="1"/>
      <c r="K17" s="1"/>
      <c r="L17" s="1"/>
      <c r="M17" s="1"/>
      <c r="N17" s="1"/>
      <c r="O17" s="1"/>
      <c r="P17" s="3"/>
      <c r="Q17" s="1"/>
      <c r="R17" s="1"/>
      <c r="S17" s="1"/>
      <c r="T17" s="1"/>
      <c r="U17" s="1"/>
      <c r="V17" s="1"/>
      <c r="W17" s="1"/>
      <c r="X17" s="1"/>
      <c r="Y17" s="1"/>
      <c r="Z17" s="1"/>
      <c r="AA17" s="1"/>
      <c r="AB17" s="1"/>
    </row>
    <row r="18" ht="15.75" customHeight="1">
      <c r="A18" s="1"/>
      <c r="B18" s="238" t="s">
        <v>693</v>
      </c>
      <c r="C18" s="239">
        <f t="shared" ref="C18:H18" si="4">SUM(C6:C17)</f>
        <v>243182134</v>
      </c>
      <c r="D18" s="239">
        <f t="shared" si="4"/>
        <v>603477286</v>
      </c>
      <c r="E18" s="239">
        <f t="shared" si="4"/>
        <v>37964856</v>
      </c>
      <c r="F18" s="239">
        <f t="shared" si="4"/>
        <v>176710359</v>
      </c>
      <c r="G18" s="240" t="str">
        <f t="shared" si="4"/>
        <v>#DIV/0!</v>
      </c>
      <c r="H18" s="240">
        <f t="shared" si="4"/>
        <v>0.4464280756</v>
      </c>
      <c r="I18" s="1"/>
      <c r="J18" s="1"/>
      <c r="K18" s="1"/>
      <c r="L18" s="1"/>
      <c r="M18" s="1"/>
      <c r="N18" s="1"/>
      <c r="O18" s="1"/>
      <c r="P18" s="3"/>
      <c r="Q18" s="1"/>
      <c r="R18" s="1"/>
      <c r="S18" s="1"/>
      <c r="T18" s="1"/>
      <c r="U18" s="1"/>
      <c r="V18" s="1"/>
      <c r="W18" s="1"/>
      <c r="X18" s="1"/>
      <c r="Y18" s="1"/>
      <c r="Z18" s="1"/>
      <c r="AA18" s="1"/>
      <c r="AB18" s="1"/>
    </row>
    <row r="19" ht="15.75" customHeight="1">
      <c r="A19" s="1"/>
      <c r="B19" s="1"/>
      <c r="C19" s="1"/>
      <c r="D19" s="1"/>
      <c r="E19" s="1"/>
      <c r="F19" s="1"/>
      <c r="G19" s="1"/>
      <c r="H19" s="1"/>
      <c r="I19" s="1"/>
      <c r="J19" s="1"/>
      <c r="K19" s="1"/>
      <c r="L19" s="1"/>
      <c r="M19" s="1"/>
      <c r="N19" s="1"/>
      <c r="O19" s="1"/>
      <c r="P19" s="3"/>
      <c r="Q19" s="1"/>
      <c r="R19" s="1"/>
      <c r="S19" s="1"/>
      <c r="T19" s="1"/>
      <c r="U19" s="1"/>
      <c r="V19" s="1"/>
      <c r="W19" s="1"/>
      <c r="X19" s="1"/>
      <c r="Y19" s="1"/>
      <c r="Z19" s="1"/>
      <c r="AA19" s="1"/>
      <c r="AB19" s="1"/>
    </row>
    <row r="20" ht="15.75" customHeight="1">
      <c r="A20" s="1"/>
      <c r="B20" s="1"/>
      <c r="C20" s="1"/>
      <c r="D20" s="1"/>
      <c r="E20" s="1"/>
      <c r="F20" s="1"/>
      <c r="G20" s="1"/>
      <c r="H20" s="1"/>
      <c r="I20" s="1"/>
      <c r="J20" s="1"/>
      <c r="K20" s="1"/>
      <c r="L20" s="1"/>
      <c r="M20" s="1"/>
      <c r="N20" s="1"/>
      <c r="O20" s="1"/>
      <c r="P20" s="3"/>
      <c r="Q20" s="1"/>
      <c r="R20" s="1"/>
      <c r="S20" s="1"/>
      <c r="T20" s="1"/>
      <c r="U20" s="1"/>
      <c r="V20" s="1"/>
      <c r="W20" s="1"/>
      <c r="X20" s="1"/>
      <c r="Y20" s="1"/>
      <c r="Z20" s="1"/>
      <c r="AA20" s="1"/>
      <c r="AB20" s="1"/>
    </row>
    <row r="21" ht="15.75" customHeight="1">
      <c r="A21" s="1"/>
      <c r="B21" s="1"/>
      <c r="C21" s="1"/>
      <c r="D21" s="1"/>
      <c r="E21" s="1"/>
      <c r="F21" s="1"/>
      <c r="G21" s="1"/>
      <c r="H21" s="1"/>
      <c r="I21" s="1"/>
      <c r="J21" s="1"/>
      <c r="K21" s="1"/>
      <c r="L21" s="1"/>
      <c r="M21" s="1"/>
      <c r="N21" s="1"/>
      <c r="O21" s="1"/>
      <c r="P21" s="3"/>
      <c r="Q21" s="1"/>
      <c r="R21" s="1"/>
      <c r="S21" s="1"/>
      <c r="T21" s="1"/>
      <c r="U21" s="1"/>
      <c r="V21" s="1"/>
      <c r="W21" s="1"/>
      <c r="X21" s="1"/>
      <c r="Y21" s="1"/>
      <c r="Z21" s="1"/>
      <c r="AA21" s="1"/>
      <c r="AB21" s="1"/>
    </row>
    <row r="22" ht="15.75" customHeight="1">
      <c r="A22" s="1"/>
      <c r="B22" s="1"/>
      <c r="C22" s="1"/>
      <c r="D22" s="1"/>
      <c r="E22" s="1"/>
      <c r="F22" s="1"/>
      <c r="G22" s="110"/>
      <c r="H22" s="1"/>
      <c r="I22" s="1"/>
      <c r="J22" s="1"/>
      <c r="K22" s="1"/>
      <c r="L22" s="1"/>
      <c r="M22" s="1"/>
      <c r="N22" s="1"/>
      <c r="O22" s="1"/>
      <c r="P22" s="3"/>
      <c r="Q22" s="1"/>
      <c r="R22" s="1"/>
      <c r="S22" s="1"/>
      <c r="T22" s="1"/>
      <c r="U22" s="1"/>
      <c r="V22" s="1"/>
      <c r="W22" s="1"/>
      <c r="X22" s="1"/>
      <c r="Y22" s="1"/>
      <c r="Z22" s="1"/>
      <c r="AA22" s="1"/>
      <c r="AB22" s="1"/>
    </row>
    <row r="23" ht="15.75" customHeight="1">
      <c r="A23" s="1"/>
      <c r="B23" s="1"/>
      <c r="C23" s="1"/>
      <c r="D23" s="1"/>
      <c r="E23" s="1"/>
      <c r="F23" s="1"/>
      <c r="G23" s="110"/>
      <c r="H23" s="1"/>
      <c r="I23" s="1"/>
      <c r="J23" s="1"/>
      <c r="K23" s="1"/>
      <c r="L23" s="1"/>
      <c r="M23" s="1"/>
      <c r="N23" s="1"/>
      <c r="O23" s="1"/>
      <c r="P23" s="3"/>
      <c r="Q23" s="1"/>
      <c r="R23" s="1"/>
      <c r="S23" s="1"/>
      <c r="T23" s="1"/>
      <c r="U23" s="1"/>
      <c r="V23" s="1"/>
      <c r="W23" s="1"/>
      <c r="X23" s="1"/>
      <c r="Y23" s="1"/>
      <c r="Z23" s="1"/>
      <c r="AA23" s="1"/>
      <c r="AB23" s="1"/>
    </row>
    <row r="24" ht="15.75" customHeight="1">
      <c r="A24" s="1"/>
      <c r="B24" s="1"/>
      <c r="C24" s="1"/>
      <c r="D24" s="1"/>
      <c r="E24" s="1"/>
      <c r="F24" s="1"/>
      <c r="G24" s="110"/>
      <c r="H24" s="1"/>
      <c r="I24" s="1"/>
      <c r="J24" s="1"/>
      <c r="K24" s="1"/>
      <c r="L24" s="1"/>
      <c r="M24" s="1"/>
      <c r="N24" s="1"/>
      <c r="O24" s="1"/>
      <c r="P24" s="3"/>
      <c r="Q24" s="1"/>
      <c r="R24" s="1"/>
      <c r="S24" s="1"/>
      <c r="T24" s="1"/>
      <c r="U24" s="1"/>
      <c r="V24" s="1"/>
      <c r="W24" s="1"/>
      <c r="X24" s="1"/>
      <c r="Y24" s="1"/>
      <c r="Z24" s="1"/>
      <c r="AA24" s="1"/>
      <c r="AB24" s="1"/>
    </row>
    <row r="25" ht="15.75" customHeight="1">
      <c r="A25" s="1"/>
      <c r="B25" s="1"/>
      <c r="C25" s="1"/>
      <c r="D25" s="1"/>
      <c r="E25" s="1"/>
      <c r="F25" s="1"/>
      <c r="G25" s="110"/>
      <c r="H25" s="1"/>
      <c r="I25" s="1"/>
      <c r="J25" s="1"/>
      <c r="K25" s="1"/>
      <c r="L25" s="1"/>
      <c r="M25" s="1"/>
      <c r="N25" s="1"/>
      <c r="O25" s="1"/>
      <c r="P25" s="3"/>
      <c r="Q25" s="1"/>
      <c r="R25" s="1"/>
      <c r="S25" s="1"/>
      <c r="T25" s="1"/>
      <c r="U25" s="1"/>
      <c r="V25" s="1"/>
      <c r="W25" s="1"/>
      <c r="X25" s="1"/>
      <c r="Y25" s="1"/>
      <c r="Z25" s="1"/>
      <c r="AA25" s="1"/>
      <c r="AB25" s="1"/>
    </row>
    <row r="26" ht="15.75" customHeight="1">
      <c r="A26" s="1"/>
      <c r="B26" s="1"/>
      <c r="C26" s="1"/>
      <c r="D26" s="1"/>
      <c r="E26" s="1"/>
      <c r="F26" s="1"/>
      <c r="G26" s="110"/>
      <c r="H26" s="1"/>
      <c r="I26" s="1"/>
      <c r="J26" s="1"/>
      <c r="K26" s="1"/>
      <c r="L26" s="1"/>
      <c r="M26" s="1"/>
      <c r="N26" s="1"/>
      <c r="O26" s="1"/>
      <c r="P26" s="3"/>
      <c r="Q26" s="1"/>
      <c r="R26" s="1"/>
      <c r="S26" s="1"/>
      <c r="T26" s="1"/>
      <c r="U26" s="1"/>
      <c r="V26" s="1"/>
      <c r="W26" s="1"/>
      <c r="X26" s="1"/>
      <c r="Y26" s="1"/>
      <c r="Z26" s="1"/>
      <c r="AA26" s="1"/>
      <c r="AB26" s="1"/>
    </row>
    <row r="27" ht="15.75" customHeight="1">
      <c r="A27" s="1"/>
      <c r="B27" s="1"/>
      <c r="C27" s="1"/>
      <c r="D27" s="1"/>
      <c r="E27" s="1"/>
      <c r="F27" s="1"/>
      <c r="G27" s="110"/>
      <c r="H27" s="1"/>
      <c r="I27" s="1"/>
      <c r="J27" s="1"/>
      <c r="K27" s="1"/>
      <c r="L27" s="1"/>
      <c r="M27" s="1"/>
      <c r="N27" s="1"/>
      <c r="O27" s="1"/>
      <c r="P27" s="3"/>
      <c r="Q27" s="1"/>
      <c r="R27" s="1"/>
      <c r="S27" s="1"/>
      <c r="T27" s="1"/>
      <c r="U27" s="1"/>
      <c r="V27" s="1"/>
      <c r="W27" s="1"/>
      <c r="X27" s="1"/>
      <c r="Y27" s="1"/>
      <c r="Z27" s="1"/>
      <c r="AA27" s="1"/>
      <c r="AB27" s="1"/>
    </row>
    <row r="28" ht="15.75" customHeight="1">
      <c r="A28" s="1"/>
      <c r="B28" s="1"/>
      <c r="C28" s="1"/>
      <c r="D28" s="1"/>
      <c r="E28" s="1"/>
      <c r="F28" s="1"/>
      <c r="G28" s="110"/>
      <c r="H28" s="1"/>
      <c r="I28" s="1"/>
      <c r="J28" s="1"/>
      <c r="K28" s="1"/>
      <c r="L28" s="1"/>
      <c r="M28" s="1"/>
      <c r="N28" s="1"/>
      <c r="O28" s="1"/>
      <c r="P28" s="3"/>
      <c r="Q28" s="1"/>
      <c r="R28" s="1"/>
      <c r="S28" s="1"/>
      <c r="T28" s="1"/>
      <c r="U28" s="1"/>
      <c r="V28" s="1"/>
      <c r="W28" s="1"/>
      <c r="X28" s="1"/>
      <c r="Y28" s="1"/>
      <c r="Z28" s="1"/>
      <c r="AA28" s="1"/>
      <c r="AB28" s="1"/>
    </row>
    <row r="29" ht="15.75" customHeight="1">
      <c r="A29" s="1"/>
      <c r="B29" s="1"/>
      <c r="C29" s="1"/>
      <c r="D29" s="1"/>
      <c r="E29" s="1"/>
      <c r="F29" s="1"/>
      <c r="G29" s="110"/>
      <c r="H29" s="1"/>
      <c r="I29" s="1"/>
      <c r="J29" s="1"/>
      <c r="K29" s="1"/>
      <c r="L29" s="1"/>
      <c r="M29" s="1"/>
      <c r="N29" s="1"/>
      <c r="O29" s="1"/>
      <c r="P29" s="3"/>
      <c r="Q29" s="1"/>
      <c r="R29" s="1"/>
      <c r="S29" s="1"/>
      <c r="T29" s="1"/>
      <c r="U29" s="1"/>
      <c r="V29" s="1"/>
      <c r="W29" s="1"/>
      <c r="X29" s="1"/>
      <c r="Y29" s="1"/>
      <c r="Z29" s="1"/>
      <c r="AA29" s="1"/>
      <c r="AB29" s="1"/>
    </row>
    <row r="30" ht="15.75" customHeight="1">
      <c r="A30" s="1"/>
      <c r="B30" s="1"/>
      <c r="C30" s="1"/>
      <c r="D30" s="1"/>
      <c r="E30" s="1"/>
      <c r="F30" s="1"/>
      <c r="G30" s="110"/>
      <c r="H30" s="1"/>
      <c r="I30" s="1"/>
      <c r="J30" s="1"/>
      <c r="K30" s="1"/>
      <c r="L30" s="1"/>
      <c r="M30" s="1"/>
      <c r="N30" s="1"/>
      <c r="O30" s="1"/>
      <c r="P30" s="3"/>
      <c r="Q30" s="1"/>
      <c r="R30" s="1"/>
      <c r="S30" s="1"/>
      <c r="T30" s="1"/>
      <c r="U30" s="1"/>
      <c r="V30" s="1"/>
      <c r="W30" s="1"/>
      <c r="X30" s="1"/>
      <c r="Y30" s="1"/>
      <c r="Z30" s="1"/>
      <c r="AA30" s="1"/>
      <c r="AB30" s="1"/>
    </row>
    <row r="31" ht="15.75" customHeight="1">
      <c r="A31" s="1"/>
      <c r="B31" s="1"/>
      <c r="C31" s="1"/>
      <c r="D31" s="1"/>
      <c r="E31" s="1"/>
      <c r="F31" s="1"/>
      <c r="G31" s="110"/>
      <c r="H31" s="1"/>
      <c r="I31" s="1"/>
      <c r="J31" s="1"/>
      <c r="K31" s="1"/>
      <c r="L31" s="1"/>
      <c r="M31" s="1"/>
      <c r="N31" s="1"/>
      <c r="O31" s="1"/>
      <c r="P31" s="3"/>
      <c r="Q31" s="1"/>
      <c r="R31" s="1"/>
      <c r="S31" s="1"/>
      <c r="T31" s="1"/>
      <c r="U31" s="1"/>
      <c r="V31" s="1"/>
      <c r="W31" s="1"/>
      <c r="X31" s="1"/>
      <c r="Y31" s="1"/>
      <c r="Z31" s="1"/>
      <c r="AA31" s="1"/>
      <c r="AB31" s="1"/>
    </row>
    <row r="32" ht="15.75" customHeight="1">
      <c r="A32" s="1"/>
      <c r="B32" s="1"/>
      <c r="C32" s="1"/>
      <c r="D32" s="1"/>
      <c r="E32" s="1"/>
      <c r="F32" s="1"/>
      <c r="G32" s="110"/>
      <c r="H32" s="1"/>
      <c r="I32" s="1"/>
      <c r="J32" s="1"/>
      <c r="K32" s="1"/>
      <c r="L32" s="1"/>
      <c r="M32" s="1"/>
      <c r="N32" s="1"/>
      <c r="O32" s="1"/>
      <c r="P32" s="3"/>
      <c r="Q32" s="1"/>
      <c r="R32" s="1"/>
      <c r="S32" s="1"/>
      <c r="T32" s="1"/>
      <c r="U32" s="1"/>
      <c r="V32" s="1"/>
      <c r="W32" s="1"/>
      <c r="X32" s="1"/>
      <c r="Y32" s="1"/>
      <c r="Z32" s="1"/>
      <c r="AA32" s="1"/>
      <c r="AB32" s="1"/>
    </row>
    <row r="33" ht="15.75" customHeight="1">
      <c r="A33" s="1"/>
      <c r="B33" s="1"/>
      <c r="C33" s="1"/>
      <c r="D33" s="1"/>
      <c r="E33" s="1"/>
      <c r="F33" s="1"/>
      <c r="G33" s="110"/>
      <c r="H33" s="1"/>
      <c r="I33" s="1"/>
      <c r="J33" s="1"/>
      <c r="K33" s="1"/>
      <c r="L33" s="1"/>
      <c r="M33" s="1"/>
      <c r="N33" s="1"/>
      <c r="O33" s="1"/>
      <c r="P33" s="3"/>
      <c r="Q33" s="1"/>
      <c r="R33" s="1"/>
      <c r="S33" s="1"/>
      <c r="T33" s="1"/>
      <c r="U33" s="1"/>
      <c r="V33" s="1"/>
      <c r="W33" s="1"/>
      <c r="X33" s="1"/>
      <c r="Y33" s="1"/>
      <c r="Z33" s="1"/>
      <c r="AA33" s="1"/>
      <c r="AB33" s="1"/>
    </row>
    <row r="34" ht="15.75" customHeight="1">
      <c r="A34" s="1"/>
      <c r="B34" s="1"/>
      <c r="C34" s="1"/>
      <c r="D34" s="1"/>
      <c r="E34" s="1"/>
      <c r="F34" s="1"/>
      <c r="G34" s="110"/>
      <c r="H34" s="1"/>
      <c r="I34" s="1"/>
      <c r="J34" s="1"/>
      <c r="K34" s="1"/>
      <c r="L34" s="1"/>
      <c r="M34" s="1"/>
      <c r="N34" s="1"/>
      <c r="O34" s="1"/>
      <c r="P34" s="3"/>
      <c r="Q34" s="1"/>
      <c r="R34" s="1"/>
      <c r="S34" s="1"/>
      <c r="T34" s="1"/>
      <c r="U34" s="1"/>
      <c r="V34" s="1"/>
      <c r="W34" s="1"/>
      <c r="X34" s="1"/>
      <c r="Y34" s="1"/>
      <c r="Z34" s="1"/>
      <c r="AA34" s="1"/>
      <c r="AB34" s="1"/>
    </row>
    <row r="35" ht="15.75" customHeight="1">
      <c r="A35" s="1"/>
      <c r="B35" s="1"/>
      <c r="C35" s="1"/>
      <c r="D35" s="1"/>
      <c r="E35" s="1"/>
      <c r="F35" s="1"/>
      <c r="G35" s="110"/>
      <c r="H35" s="1"/>
      <c r="I35" s="1"/>
      <c r="J35" s="1"/>
      <c r="K35" s="1"/>
      <c r="L35" s="1"/>
      <c r="M35" s="1"/>
      <c r="N35" s="1"/>
      <c r="O35" s="1"/>
      <c r="P35" s="3"/>
      <c r="Q35" s="1"/>
      <c r="R35" s="1"/>
      <c r="S35" s="1"/>
      <c r="T35" s="1"/>
      <c r="U35" s="1"/>
      <c r="V35" s="1"/>
      <c r="W35" s="1"/>
      <c r="X35" s="1"/>
      <c r="Y35" s="1"/>
      <c r="Z35" s="1"/>
      <c r="AA35" s="1"/>
      <c r="AB35" s="1"/>
    </row>
    <row r="36" ht="15.75" customHeight="1">
      <c r="A36" s="1"/>
      <c r="B36" s="1"/>
      <c r="C36" s="1"/>
      <c r="D36" s="1"/>
      <c r="E36" s="1"/>
      <c r="F36" s="1"/>
      <c r="G36" s="110"/>
      <c r="H36" s="1"/>
      <c r="I36" s="1"/>
      <c r="J36" s="1"/>
      <c r="K36" s="1"/>
      <c r="L36" s="1"/>
      <c r="M36" s="1"/>
      <c r="N36" s="1"/>
      <c r="O36" s="1"/>
      <c r="P36" s="3"/>
      <c r="Q36" s="1"/>
      <c r="R36" s="1"/>
      <c r="S36" s="1"/>
      <c r="T36" s="1"/>
      <c r="U36" s="1"/>
      <c r="V36" s="1"/>
      <c r="W36" s="1"/>
      <c r="X36" s="1"/>
      <c r="Y36" s="1"/>
      <c r="Z36" s="1"/>
      <c r="AA36" s="1"/>
      <c r="AB36" s="1"/>
    </row>
    <row r="37" ht="15.75" customHeight="1">
      <c r="A37" s="1"/>
      <c r="B37" s="1"/>
      <c r="C37" s="1"/>
      <c r="D37" s="1"/>
      <c r="E37" s="1"/>
      <c r="F37" s="1"/>
      <c r="G37" s="110"/>
      <c r="H37" s="1"/>
      <c r="I37" s="1"/>
      <c r="J37" s="1"/>
      <c r="K37" s="1"/>
      <c r="L37" s="1"/>
      <c r="M37" s="1"/>
      <c r="N37" s="1"/>
      <c r="O37" s="1"/>
      <c r="P37" s="3"/>
      <c r="Q37" s="1"/>
      <c r="R37" s="1"/>
      <c r="S37" s="1"/>
      <c r="T37" s="1"/>
      <c r="U37" s="1"/>
      <c r="V37" s="1"/>
      <c r="W37" s="1"/>
      <c r="X37" s="1"/>
      <c r="Y37" s="1"/>
      <c r="Z37" s="1"/>
      <c r="AA37" s="1"/>
      <c r="AB37" s="1"/>
    </row>
    <row r="38" ht="15.75" customHeight="1">
      <c r="A38" s="1"/>
      <c r="B38" s="1"/>
      <c r="C38" s="1"/>
      <c r="D38" s="1"/>
      <c r="E38" s="1"/>
      <c r="F38" s="1"/>
      <c r="G38" s="110"/>
      <c r="H38" s="1"/>
      <c r="I38" s="1"/>
      <c r="J38" s="1"/>
      <c r="K38" s="1"/>
      <c r="L38" s="1"/>
      <c r="M38" s="1"/>
      <c r="N38" s="1"/>
      <c r="O38" s="1"/>
      <c r="P38" s="3"/>
      <c r="Q38" s="1"/>
      <c r="R38" s="1"/>
      <c r="S38" s="1"/>
      <c r="T38" s="1"/>
      <c r="U38" s="1"/>
      <c r="V38" s="1"/>
      <c r="W38" s="1"/>
      <c r="X38" s="1"/>
      <c r="Y38" s="1"/>
      <c r="Z38" s="1"/>
      <c r="AA38" s="1"/>
      <c r="AB38" s="1"/>
    </row>
    <row r="39" ht="15.75" customHeight="1">
      <c r="A39" s="1"/>
      <c r="B39" s="1"/>
      <c r="C39" s="1"/>
      <c r="D39" s="1"/>
      <c r="E39" s="1"/>
      <c r="F39" s="1"/>
      <c r="G39" s="110"/>
      <c r="H39" s="1"/>
      <c r="I39" s="1"/>
      <c r="J39" s="1"/>
      <c r="K39" s="1"/>
      <c r="L39" s="1"/>
      <c r="M39" s="1"/>
      <c r="N39" s="1"/>
      <c r="O39" s="1"/>
      <c r="P39" s="3"/>
      <c r="Q39" s="1"/>
      <c r="R39" s="1"/>
      <c r="S39" s="1"/>
      <c r="T39" s="1"/>
      <c r="U39" s="1"/>
      <c r="V39" s="1"/>
      <c r="W39" s="1"/>
      <c r="X39" s="1"/>
      <c r="Y39" s="1"/>
      <c r="Z39" s="1"/>
      <c r="AA39" s="1"/>
      <c r="AB39" s="1"/>
    </row>
    <row r="40" ht="15.75" customHeight="1">
      <c r="A40" s="1"/>
      <c r="B40" s="1"/>
      <c r="C40" s="1"/>
      <c r="D40" s="1"/>
      <c r="E40" s="1"/>
      <c r="F40" s="1"/>
      <c r="G40" s="110"/>
      <c r="H40" s="1"/>
      <c r="I40" s="1"/>
      <c r="J40" s="1"/>
      <c r="K40" s="1"/>
      <c r="L40" s="1"/>
      <c r="M40" s="1"/>
      <c r="N40" s="1"/>
      <c r="O40" s="1"/>
      <c r="P40" s="3"/>
      <c r="Q40" s="1"/>
      <c r="R40" s="1"/>
      <c r="S40" s="1"/>
      <c r="T40" s="1"/>
      <c r="U40" s="1"/>
      <c r="V40" s="1"/>
      <c r="W40" s="1"/>
      <c r="X40" s="1"/>
      <c r="Y40" s="1"/>
      <c r="Z40" s="1"/>
      <c r="AA40" s="1"/>
      <c r="AB40" s="1"/>
    </row>
    <row r="41" ht="15.75" customHeight="1">
      <c r="A41" s="1"/>
      <c r="B41" s="1"/>
      <c r="C41" s="1"/>
      <c r="D41" s="1"/>
      <c r="E41" s="1"/>
      <c r="F41" s="1"/>
      <c r="G41" s="110"/>
      <c r="H41" s="1"/>
      <c r="I41" s="1"/>
      <c r="J41" s="1"/>
      <c r="K41" s="1"/>
      <c r="L41" s="1"/>
      <c r="M41" s="1"/>
      <c r="N41" s="1"/>
      <c r="O41" s="1"/>
      <c r="P41" s="3"/>
      <c r="Q41" s="1"/>
      <c r="R41" s="1"/>
      <c r="S41" s="1"/>
      <c r="T41" s="1"/>
      <c r="U41" s="1"/>
      <c r="V41" s="1"/>
      <c r="W41" s="1"/>
      <c r="X41" s="1"/>
      <c r="Y41" s="1"/>
      <c r="Z41" s="1"/>
      <c r="AA41" s="1"/>
      <c r="AB41" s="1"/>
    </row>
    <row r="42" ht="15.75" customHeight="1">
      <c r="A42" s="1"/>
      <c r="B42" s="1"/>
      <c r="C42" s="1"/>
      <c r="D42" s="1"/>
      <c r="E42" s="1"/>
      <c r="F42" s="1"/>
      <c r="G42" s="110"/>
      <c r="H42" s="1"/>
      <c r="I42" s="1"/>
      <c r="J42" s="1"/>
      <c r="K42" s="1"/>
      <c r="L42" s="1"/>
      <c r="M42" s="1"/>
      <c r="N42" s="1"/>
      <c r="O42" s="1"/>
      <c r="P42" s="3"/>
      <c r="Q42" s="1"/>
      <c r="R42" s="1"/>
      <c r="S42" s="1"/>
      <c r="T42" s="1"/>
      <c r="U42" s="1"/>
      <c r="V42" s="1"/>
      <c r="W42" s="1"/>
      <c r="X42" s="1"/>
      <c r="Y42" s="1"/>
      <c r="Z42" s="1"/>
      <c r="AA42" s="1"/>
      <c r="AB42" s="1"/>
    </row>
    <row r="43" ht="15.75" customHeight="1">
      <c r="A43" s="1"/>
      <c r="B43" s="1"/>
      <c r="C43" s="1"/>
      <c r="D43" s="1"/>
      <c r="E43" s="1"/>
      <c r="F43" s="1"/>
      <c r="G43" s="110"/>
      <c r="H43" s="1"/>
      <c r="I43" s="1"/>
      <c r="J43" s="1"/>
      <c r="K43" s="1"/>
      <c r="L43" s="1"/>
      <c r="M43" s="1"/>
      <c r="N43" s="1"/>
      <c r="O43" s="1"/>
      <c r="P43" s="3"/>
      <c r="Q43" s="1"/>
      <c r="R43" s="1"/>
      <c r="S43" s="1"/>
      <c r="T43" s="1"/>
      <c r="U43" s="1"/>
      <c r="V43" s="1"/>
      <c r="W43" s="1"/>
      <c r="X43" s="1"/>
      <c r="Y43" s="1"/>
      <c r="Z43" s="1"/>
      <c r="AA43" s="1"/>
      <c r="AB43" s="1"/>
    </row>
    <row r="44" ht="15.75" customHeight="1">
      <c r="A44" s="1"/>
      <c r="B44" s="1"/>
      <c r="C44" s="1"/>
      <c r="D44" s="1"/>
      <c r="E44" s="1"/>
      <c r="F44" s="1"/>
      <c r="G44" s="110"/>
      <c r="H44" s="1"/>
      <c r="I44" s="1"/>
      <c r="J44" s="1"/>
      <c r="K44" s="1"/>
      <c r="L44" s="1"/>
      <c r="M44" s="1"/>
      <c r="N44" s="1"/>
      <c r="O44" s="1"/>
      <c r="P44" s="3"/>
      <c r="Q44" s="1"/>
      <c r="R44" s="1"/>
      <c r="S44" s="1"/>
      <c r="T44" s="1"/>
      <c r="U44" s="1"/>
      <c r="V44" s="1"/>
      <c r="W44" s="1"/>
      <c r="X44" s="1"/>
      <c r="Y44" s="1"/>
      <c r="Z44" s="1"/>
      <c r="AA44" s="1"/>
      <c r="AB44" s="1"/>
    </row>
    <row r="45" ht="15.75" customHeight="1">
      <c r="A45" s="1"/>
      <c r="B45" s="1"/>
      <c r="C45" s="1"/>
      <c r="D45" s="1"/>
      <c r="E45" s="1"/>
      <c r="F45" s="1"/>
      <c r="G45" s="110"/>
      <c r="H45" s="1"/>
      <c r="I45" s="1"/>
      <c r="J45" s="1"/>
      <c r="K45" s="1"/>
      <c r="L45" s="1"/>
      <c r="M45" s="1"/>
      <c r="N45" s="1"/>
      <c r="O45" s="1"/>
      <c r="P45" s="3"/>
      <c r="Q45" s="1"/>
      <c r="R45" s="1"/>
      <c r="S45" s="1"/>
      <c r="T45" s="1"/>
      <c r="U45" s="1"/>
      <c r="V45" s="1"/>
      <c r="W45" s="1"/>
      <c r="X45" s="1"/>
      <c r="Y45" s="1"/>
      <c r="Z45" s="1"/>
      <c r="AA45" s="1"/>
      <c r="AB45" s="1"/>
    </row>
    <row r="46" ht="15.75" customHeight="1">
      <c r="A46" s="1"/>
      <c r="B46" s="1"/>
      <c r="C46" s="1"/>
      <c r="D46" s="1"/>
      <c r="E46" s="1"/>
      <c r="F46" s="1"/>
      <c r="G46" s="110"/>
      <c r="H46" s="1"/>
      <c r="I46" s="1"/>
      <c r="J46" s="1"/>
      <c r="K46" s="1"/>
      <c r="L46" s="1"/>
      <c r="M46" s="1"/>
      <c r="N46" s="1"/>
      <c r="O46" s="1"/>
      <c r="P46" s="3"/>
      <c r="Q46" s="1"/>
      <c r="R46" s="1"/>
      <c r="S46" s="1"/>
      <c r="T46" s="1"/>
      <c r="U46" s="1"/>
      <c r="V46" s="1"/>
      <c r="W46" s="1"/>
      <c r="X46" s="1"/>
      <c r="Y46" s="1"/>
      <c r="Z46" s="1"/>
      <c r="AA46" s="1"/>
      <c r="AB46" s="1"/>
    </row>
    <row r="47" ht="15.75" customHeight="1">
      <c r="A47" s="1"/>
      <c r="B47" s="1"/>
      <c r="C47" s="1"/>
      <c r="D47" s="1"/>
      <c r="E47" s="1"/>
      <c r="F47" s="1"/>
      <c r="G47" s="110"/>
      <c r="H47" s="1"/>
      <c r="I47" s="1"/>
      <c r="J47" s="1"/>
      <c r="K47" s="1"/>
      <c r="L47" s="1"/>
      <c r="M47" s="1"/>
      <c r="N47" s="1"/>
      <c r="O47" s="1"/>
      <c r="P47" s="3"/>
      <c r="Q47" s="1"/>
      <c r="R47" s="1"/>
      <c r="S47" s="1"/>
      <c r="T47" s="1"/>
      <c r="U47" s="1"/>
      <c r="V47" s="1"/>
      <c r="W47" s="1"/>
      <c r="X47" s="1"/>
      <c r="Y47" s="1"/>
      <c r="Z47" s="1"/>
      <c r="AA47" s="1"/>
      <c r="AB47" s="1"/>
    </row>
    <row r="48" ht="15.75" customHeight="1">
      <c r="A48" s="1"/>
      <c r="B48" s="1"/>
      <c r="C48" s="1"/>
      <c r="D48" s="1"/>
      <c r="E48" s="1"/>
      <c r="F48" s="1"/>
      <c r="G48" s="110"/>
      <c r="H48" s="1"/>
      <c r="I48" s="1"/>
      <c r="J48" s="1"/>
      <c r="K48" s="1"/>
      <c r="L48" s="1"/>
      <c r="M48" s="1"/>
      <c r="N48" s="1"/>
      <c r="O48" s="1"/>
      <c r="P48" s="3"/>
      <c r="Q48" s="1"/>
      <c r="R48" s="1"/>
      <c r="S48" s="1"/>
      <c r="T48" s="1"/>
      <c r="U48" s="1"/>
      <c r="V48" s="1"/>
      <c r="W48" s="1"/>
      <c r="X48" s="1"/>
      <c r="Y48" s="1"/>
      <c r="Z48" s="1"/>
      <c r="AA48" s="1"/>
      <c r="AB48" s="1"/>
    </row>
    <row r="49" ht="15.75" customHeight="1">
      <c r="A49" s="1"/>
      <c r="B49" s="1"/>
      <c r="C49" s="1"/>
      <c r="D49" s="1"/>
      <c r="E49" s="1"/>
      <c r="F49" s="1"/>
      <c r="G49" s="110"/>
      <c r="H49" s="1"/>
      <c r="I49" s="1"/>
      <c r="J49" s="1"/>
      <c r="K49" s="1"/>
      <c r="L49" s="1"/>
      <c r="M49" s="1"/>
      <c r="N49" s="1"/>
      <c r="O49" s="1"/>
      <c r="P49" s="3"/>
      <c r="Q49" s="1"/>
      <c r="R49" s="1"/>
      <c r="S49" s="1"/>
      <c r="T49" s="1"/>
      <c r="U49" s="1"/>
      <c r="V49" s="1"/>
      <c r="W49" s="1"/>
      <c r="X49" s="1"/>
      <c r="Y49" s="1"/>
      <c r="Z49" s="1"/>
      <c r="AA49" s="1"/>
      <c r="AB49" s="1"/>
    </row>
    <row r="50" ht="15.75" customHeight="1">
      <c r="A50" s="1"/>
      <c r="B50" s="1"/>
      <c r="C50" s="1"/>
      <c r="D50" s="1"/>
      <c r="E50" s="1"/>
      <c r="F50" s="1"/>
      <c r="G50" s="110"/>
      <c r="H50" s="1"/>
      <c r="I50" s="1"/>
      <c r="J50" s="1"/>
      <c r="K50" s="1"/>
      <c r="L50" s="1"/>
      <c r="M50" s="1"/>
      <c r="N50" s="1"/>
      <c r="O50" s="1"/>
      <c r="P50" s="3"/>
      <c r="Q50" s="1"/>
      <c r="R50" s="1"/>
      <c r="S50" s="1"/>
      <c r="T50" s="1"/>
      <c r="U50" s="1"/>
      <c r="V50" s="1"/>
      <c r="W50" s="1"/>
      <c r="X50" s="1"/>
      <c r="Y50" s="1"/>
      <c r="Z50" s="1"/>
      <c r="AA50" s="1"/>
      <c r="AB50" s="1"/>
    </row>
    <row r="51" ht="15.75" customHeight="1">
      <c r="A51" s="1"/>
      <c r="B51" s="1"/>
      <c r="C51" s="1"/>
      <c r="D51" s="1"/>
      <c r="E51" s="1"/>
      <c r="F51" s="1"/>
      <c r="G51" s="110"/>
      <c r="H51" s="1"/>
      <c r="I51" s="1"/>
      <c r="J51" s="1"/>
      <c r="K51" s="1"/>
      <c r="L51" s="1"/>
      <c r="M51" s="1"/>
      <c r="N51" s="1"/>
      <c r="O51" s="1"/>
      <c r="P51" s="3"/>
      <c r="Q51" s="1"/>
      <c r="R51" s="1"/>
      <c r="S51" s="1"/>
      <c r="T51" s="1"/>
      <c r="U51" s="1"/>
      <c r="V51" s="1"/>
      <c r="W51" s="1"/>
      <c r="X51" s="1"/>
      <c r="Y51" s="1"/>
      <c r="Z51" s="1"/>
      <c r="AA51" s="1"/>
      <c r="AB51" s="1"/>
    </row>
    <row r="52" ht="15.75" customHeight="1">
      <c r="A52" s="1"/>
      <c r="B52" s="1"/>
      <c r="C52" s="1"/>
      <c r="D52" s="1"/>
      <c r="E52" s="1"/>
      <c r="F52" s="1"/>
      <c r="G52" s="110"/>
      <c r="H52" s="1"/>
      <c r="I52" s="1"/>
      <c r="J52" s="1"/>
      <c r="K52" s="1"/>
      <c r="L52" s="1"/>
      <c r="M52" s="1"/>
      <c r="N52" s="1"/>
      <c r="O52" s="1"/>
      <c r="P52" s="3"/>
      <c r="Q52" s="1"/>
      <c r="R52" s="1"/>
      <c r="S52" s="1"/>
      <c r="T52" s="1"/>
      <c r="U52" s="1"/>
      <c r="V52" s="1"/>
      <c r="W52" s="1"/>
      <c r="X52" s="1"/>
      <c r="Y52" s="1"/>
      <c r="Z52" s="1"/>
      <c r="AA52" s="1"/>
      <c r="AB52" s="1"/>
    </row>
    <row r="53" ht="15.75" customHeight="1">
      <c r="A53" s="1"/>
      <c r="B53" s="1"/>
      <c r="C53" s="1"/>
      <c r="D53" s="1"/>
      <c r="E53" s="1"/>
      <c r="F53" s="1"/>
      <c r="G53" s="110"/>
      <c r="H53" s="1"/>
      <c r="I53" s="1"/>
      <c r="J53" s="1"/>
      <c r="K53" s="1"/>
      <c r="L53" s="1"/>
      <c r="M53" s="1"/>
      <c r="N53" s="1"/>
      <c r="O53" s="1"/>
      <c r="P53" s="3"/>
      <c r="Q53" s="1"/>
      <c r="R53" s="1"/>
      <c r="S53" s="1"/>
      <c r="T53" s="1"/>
      <c r="U53" s="1"/>
      <c r="V53" s="1"/>
      <c r="W53" s="1"/>
      <c r="X53" s="1"/>
      <c r="Y53" s="1"/>
      <c r="Z53" s="1"/>
      <c r="AA53" s="1"/>
      <c r="AB53" s="1"/>
    </row>
    <row r="54" ht="15.75" customHeight="1">
      <c r="A54" s="1"/>
      <c r="B54" s="1"/>
      <c r="C54" s="1"/>
      <c r="D54" s="1"/>
      <c r="E54" s="1"/>
      <c r="F54" s="1"/>
      <c r="G54" s="110"/>
      <c r="H54" s="1"/>
      <c r="I54" s="1"/>
      <c r="J54" s="1"/>
      <c r="K54" s="1"/>
      <c r="L54" s="1"/>
      <c r="M54" s="1"/>
      <c r="N54" s="1"/>
      <c r="O54" s="1"/>
      <c r="P54" s="3"/>
      <c r="Q54" s="1"/>
      <c r="R54" s="1"/>
      <c r="S54" s="1"/>
      <c r="T54" s="1"/>
      <c r="U54" s="1"/>
      <c r="V54" s="1"/>
      <c r="W54" s="1"/>
      <c r="X54" s="1"/>
      <c r="Y54" s="1"/>
      <c r="Z54" s="1"/>
      <c r="AA54" s="1"/>
      <c r="AB54" s="1"/>
    </row>
    <row r="55" ht="15.75" customHeight="1">
      <c r="A55" s="1"/>
      <c r="B55" s="1"/>
      <c r="C55" s="1"/>
      <c r="D55" s="1"/>
      <c r="E55" s="1"/>
      <c r="F55" s="1"/>
      <c r="G55" s="110"/>
      <c r="H55" s="1"/>
      <c r="I55" s="1"/>
      <c r="J55" s="1"/>
      <c r="K55" s="1"/>
      <c r="L55" s="1"/>
      <c r="M55" s="1"/>
      <c r="N55" s="1"/>
      <c r="O55" s="1"/>
      <c r="P55" s="3"/>
      <c r="Q55" s="1"/>
      <c r="R55" s="1"/>
      <c r="S55" s="1"/>
      <c r="T55" s="1"/>
      <c r="U55" s="1"/>
      <c r="V55" s="1"/>
      <c r="W55" s="1"/>
      <c r="X55" s="1"/>
      <c r="Y55" s="1"/>
      <c r="Z55" s="1"/>
      <c r="AA55" s="1"/>
      <c r="AB55" s="1"/>
    </row>
    <row r="56" ht="15.75" customHeight="1">
      <c r="A56" s="1"/>
      <c r="B56" s="1"/>
      <c r="C56" s="1"/>
      <c r="D56" s="1"/>
      <c r="E56" s="1"/>
      <c r="F56" s="1"/>
      <c r="G56" s="110"/>
      <c r="H56" s="1"/>
      <c r="I56" s="1"/>
      <c r="J56" s="1"/>
      <c r="K56" s="1"/>
      <c r="L56" s="1"/>
      <c r="M56" s="1"/>
      <c r="N56" s="1"/>
      <c r="O56" s="1"/>
      <c r="P56" s="3"/>
      <c r="Q56" s="1"/>
      <c r="R56" s="1"/>
      <c r="S56" s="1"/>
      <c r="T56" s="1"/>
      <c r="U56" s="1"/>
      <c r="V56" s="1"/>
      <c r="W56" s="1"/>
      <c r="X56" s="1"/>
      <c r="Y56" s="1"/>
      <c r="Z56" s="1"/>
      <c r="AA56" s="1"/>
      <c r="AB56" s="1"/>
    </row>
    <row r="57" ht="15.75" customHeight="1">
      <c r="A57" s="1"/>
      <c r="B57" s="1"/>
      <c r="C57" s="1"/>
      <c r="D57" s="1"/>
      <c r="E57" s="1"/>
      <c r="F57" s="1"/>
      <c r="G57" s="110"/>
      <c r="H57" s="1"/>
      <c r="I57" s="1"/>
      <c r="J57" s="1"/>
      <c r="K57" s="1"/>
      <c r="L57" s="1"/>
      <c r="M57" s="1"/>
      <c r="N57" s="1"/>
      <c r="O57" s="1"/>
      <c r="P57" s="3"/>
      <c r="Q57" s="1"/>
      <c r="R57" s="1"/>
      <c r="S57" s="1"/>
      <c r="T57" s="1"/>
      <c r="U57" s="1"/>
      <c r="V57" s="1"/>
      <c r="W57" s="1"/>
      <c r="X57" s="1"/>
      <c r="Y57" s="1"/>
      <c r="Z57" s="1"/>
      <c r="AA57" s="1"/>
      <c r="AB57" s="1"/>
    </row>
    <row r="58" ht="15.75" customHeight="1">
      <c r="A58" s="1"/>
      <c r="B58" s="1"/>
      <c r="C58" s="1"/>
      <c r="D58" s="1"/>
      <c r="E58" s="1"/>
      <c r="F58" s="1"/>
      <c r="G58" s="110"/>
      <c r="H58" s="1"/>
      <c r="I58" s="1"/>
      <c r="J58" s="1"/>
      <c r="K58" s="1"/>
      <c r="L58" s="1"/>
      <c r="M58" s="1"/>
      <c r="N58" s="1"/>
      <c r="O58" s="1"/>
      <c r="P58" s="3"/>
      <c r="Q58" s="1"/>
      <c r="R58" s="1"/>
      <c r="S58" s="1"/>
      <c r="T58" s="1"/>
      <c r="U58" s="1"/>
      <c r="V58" s="1"/>
      <c r="W58" s="1"/>
      <c r="X58" s="1"/>
      <c r="Y58" s="1"/>
      <c r="Z58" s="1"/>
      <c r="AA58" s="1"/>
      <c r="AB58" s="1"/>
    </row>
    <row r="59" ht="15.75" customHeight="1">
      <c r="A59" s="1"/>
      <c r="B59" s="1"/>
      <c r="C59" s="1"/>
      <c r="D59" s="1"/>
      <c r="E59" s="1"/>
      <c r="F59" s="1"/>
      <c r="G59" s="110"/>
      <c r="H59" s="1"/>
      <c r="I59" s="1"/>
      <c r="J59" s="1"/>
      <c r="K59" s="1"/>
      <c r="L59" s="1"/>
      <c r="M59" s="1"/>
      <c r="N59" s="1"/>
      <c r="O59" s="1"/>
      <c r="P59" s="3"/>
      <c r="Q59" s="1"/>
      <c r="R59" s="1"/>
      <c r="S59" s="1"/>
      <c r="T59" s="1"/>
      <c r="U59" s="1"/>
      <c r="V59" s="1"/>
      <c r="W59" s="1"/>
      <c r="X59" s="1"/>
      <c r="Y59" s="1"/>
      <c r="Z59" s="1"/>
      <c r="AA59" s="1"/>
      <c r="AB59" s="1"/>
    </row>
    <row r="60" ht="15.75" customHeight="1">
      <c r="A60" s="1"/>
      <c r="B60" s="1"/>
      <c r="C60" s="1"/>
      <c r="D60" s="1"/>
      <c r="E60" s="1"/>
      <c r="F60" s="1"/>
      <c r="G60" s="110"/>
      <c r="H60" s="1"/>
      <c r="I60" s="1"/>
      <c r="J60" s="1"/>
      <c r="K60" s="1"/>
      <c r="L60" s="1"/>
      <c r="M60" s="1"/>
      <c r="N60" s="1"/>
      <c r="O60" s="1"/>
      <c r="P60" s="3"/>
      <c r="Q60" s="1"/>
      <c r="R60" s="1"/>
      <c r="S60" s="1"/>
      <c r="T60" s="1"/>
      <c r="U60" s="1"/>
      <c r="V60" s="1"/>
      <c r="W60" s="1"/>
      <c r="X60" s="1"/>
      <c r="Y60" s="1"/>
      <c r="Z60" s="1"/>
      <c r="AA60" s="1"/>
      <c r="AB60" s="1"/>
    </row>
    <row r="61" ht="15.75" customHeight="1">
      <c r="A61" s="1"/>
      <c r="B61" s="1"/>
      <c r="C61" s="1"/>
      <c r="D61" s="1"/>
      <c r="E61" s="1"/>
      <c r="F61" s="1"/>
      <c r="G61" s="110"/>
      <c r="H61" s="1"/>
      <c r="I61" s="1"/>
      <c r="J61" s="1"/>
      <c r="K61" s="1"/>
      <c r="L61" s="1"/>
      <c r="M61" s="1"/>
      <c r="N61" s="1"/>
      <c r="O61" s="1"/>
      <c r="P61" s="3"/>
      <c r="Q61" s="1"/>
      <c r="R61" s="1"/>
      <c r="S61" s="1"/>
      <c r="T61" s="1"/>
      <c r="U61" s="1"/>
      <c r="V61" s="1"/>
      <c r="W61" s="1"/>
      <c r="X61" s="1"/>
      <c r="Y61" s="1"/>
      <c r="Z61" s="1"/>
      <c r="AA61" s="1"/>
      <c r="AB61" s="1"/>
    </row>
    <row r="62" ht="15.75" customHeight="1">
      <c r="A62" s="1"/>
      <c r="B62" s="1"/>
      <c r="C62" s="1"/>
      <c r="D62" s="1"/>
      <c r="E62" s="1"/>
      <c r="F62" s="1"/>
      <c r="G62" s="110"/>
      <c r="H62" s="1"/>
      <c r="I62" s="1"/>
      <c r="J62" s="1"/>
      <c r="K62" s="1"/>
      <c r="L62" s="1"/>
      <c r="M62" s="1"/>
      <c r="N62" s="1"/>
      <c r="O62" s="1"/>
      <c r="P62" s="3"/>
      <c r="Q62" s="1"/>
      <c r="R62" s="1"/>
      <c r="S62" s="1"/>
      <c r="T62" s="1"/>
      <c r="U62" s="1"/>
      <c r="V62" s="1"/>
      <c r="W62" s="1"/>
      <c r="X62" s="1"/>
      <c r="Y62" s="1"/>
      <c r="Z62" s="1"/>
      <c r="AA62" s="1"/>
      <c r="AB62" s="1"/>
    </row>
    <row r="63" ht="15.75" customHeight="1">
      <c r="A63" s="1"/>
      <c r="B63" s="1"/>
      <c r="C63" s="1"/>
      <c r="D63" s="1"/>
      <c r="E63" s="1"/>
      <c r="F63" s="1"/>
      <c r="G63" s="110"/>
      <c r="H63" s="1"/>
      <c r="I63" s="1"/>
      <c r="J63" s="1"/>
      <c r="K63" s="1"/>
      <c r="L63" s="1"/>
      <c r="M63" s="1"/>
      <c r="N63" s="1"/>
      <c r="O63" s="1"/>
      <c r="P63" s="3"/>
      <c r="Q63" s="1"/>
      <c r="R63" s="1"/>
      <c r="S63" s="1"/>
      <c r="T63" s="1"/>
      <c r="U63" s="1"/>
      <c r="V63" s="1"/>
      <c r="W63" s="1"/>
      <c r="X63" s="1"/>
      <c r="Y63" s="1"/>
      <c r="Z63" s="1"/>
      <c r="AA63" s="1"/>
      <c r="AB63" s="1"/>
    </row>
    <row r="64" ht="15.75" customHeight="1">
      <c r="A64" s="1"/>
      <c r="B64" s="1"/>
      <c r="C64" s="1"/>
      <c r="D64" s="1"/>
      <c r="E64" s="1"/>
      <c r="F64" s="1"/>
      <c r="G64" s="110"/>
      <c r="H64" s="1"/>
      <c r="I64" s="1"/>
      <c r="J64" s="1"/>
      <c r="K64" s="1"/>
      <c r="L64" s="1"/>
      <c r="M64" s="1"/>
      <c r="N64" s="1"/>
      <c r="O64" s="1"/>
      <c r="P64" s="3"/>
      <c r="Q64" s="1"/>
      <c r="R64" s="1"/>
      <c r="S64" s="1"/>
      <c r="T64" s="1"/>
      <c r="U64" s="1"/>
      <c r="V64" s="1"/>
      <c r="W64" s="1"/>
      <c r="X64" s="1"/>
      <c r="Y64" s="1"/>
      <c r="Z64" s="1"/>
      <c r="AA64" s="1"/>
      <c r="AB64" s="1"/>
    </row>
    <row r="65" ht="15.75" customHeight="1">
      <c r="A65" s="1"/>
      <c r="B65" s="1"/>
      <c r="C65" s="1"/>
      <c r="D65" s="1"/>
      <c r="E65" s="1"/>
      <c r="F65" s="1"/>
      <c r="G65" s="110"/>
      <c r="H65" s="1"/>
      <c r="I65" s="1"/>
      <c r="J65" s="1"/>
      <c r="K65" s="1"/>
      <c r="L65" s="1"/>
      <c r="M65" s="1"/>
      <c r="N65" s="1"/>
      <c r="O65" s="1"/>
      <c r="P65" s="3"/>
      <c r="Q65" s="1"/>
      <c r="R65" s="1"/>
      <c r="S65" s="1"/>
      <c r="T65" s="1"/>
      <c r="U65" s="1"/>
      <c r="V65" s="1"/>
      <c r="W65" s="1"/>
      <c r="X65" s="1"/>
      <c r="Y65" s="1"/>
      <c r="Z65" s="1"/>
      <c r="AA65" s="1"/>
      <c r="AB65" s="1"/>
    </row>
    <row r="66" ht="15.75" customHeight="1">
      <c r="A66" s="1"/>
      <c r="B66" s="1"/>
      <c r="C66" s="1"/>
      <c r="D66" s="1"/>
      <c r="E66" s="1"/>
      <c r="F66" s="1"/>
      <c r="G66" s="110"/>
      <c r="H66" s="1"/>
      <c r="I66" s="1"/>
      <c r="J66" s="1"/>
      <c r="K66" s="1"/>
      <c r="L66" s="1"/>
      <c r="M66" s="1"/>
      <c r="N66" s="1"/>
      <c r="O66" s="1"/>
      <c r="P66" s="3"/>
      <c r="Q66" s="1"/>
      <c r="R66" s="1"/>
      <c r="S66" s="1"/>
      <c r="T66" s="1"/>
      <c r="U66" s="1"/>
      <c r="V66" s="1"/>
      <c r="W66" s="1"/>
      <c r="X66" s="1"/>
      <c r="Y66" s="1"/>
      <c r="Z66" s="1"/>
      <c r="AA66" s="1"/>
      <c r="AB66" s="1"/>
    </row>
    <row r="67" ht="15.75" customHeight="1">
      <c r="A67" s="1"/>
      <c r="B67" s="1"/>
      <c r="C67" s="1"/>
      <c r="D67" s="1"/>
      <c r="E67" s="1"/>
      <c r="F67" s="1"/>
      <c r="G67" s="110"/>
      <c r="H67" s="1"/>
      <c r="I67" s="1"/>
      <c r="J67" s="1"/>
      <c r="K67" s="1"/>
      <c r="L67" s="1"/>
      <c r="M67" s="1"/>
      <c r="N67" s="1"/>
      <c r="O67" s="1"/>
      <c r="P67" s="3"/>
      <c r="Q67" s="1"/>
      <c r="R67" s="1"/>
      <c r="S67" s="1"/>
      <c r="T67" s="1"/>
      <c r="U67" s="1"/>
      <c r="V67" s="1"/>
      <c r="W67" s="1"/>
      <c r="X67" s="1"/>
      <c r="Y67" s="1"/>
      <c r="Z67" s="1"/>
      <c r="AA67" s="1"/>
      <c r="AB67" s="1"/>
    </row>
    <row r="68" ht="15.75" customHeight="1">
      <c r="A68" s="1"/>
      <c r="B68" s="1"/>
      <c r="C68" s="1"/>
      <c r="D68" s="1"/>
      <c r="E68" s="1"/>
      <c r="F68" s="1"/>
      <c r="G68" s="110"/>
      <c r="H68" s="1"/>
      <c r="I68" s="1"/>
      <c r="J68" s="1"/>
      <c r="K68" s="1"/>
      <c r="L68" s="1"/>
      <c r="M68" s="1"/>
      <c r="N68" s="1"/>
      <c r="O68" s="1"/>
      <c r="P68" s="3"/>
      <c r="Q68" s="1"/>
      <c r="R68" s="1"/>
      <c r="S68" s="1"/>
      <c r="T68" s="1"/>
      <c r="U68" s="1"/>
      <c r="V68" s="1"/>
      <c r="W68" s="1"/>
      <c r="X68" s="1"/>
      <c r="Y68" s="1"/>
      <c r="Z68" s="1"/>
      <c r="AA68" s="1"/>
      <c r="AB68" s="1"/>
    </row>
    <row r="69" ht="15.75" customHeight="1">
      <c r="A69" s="1"/>
      <c r="B69" s="1"/>
      <c r="C69" s="1"/>
      <c r="D69" s="1"/>
      <c r="E69" s="1"/>
      <c r="F69" s="1"/>
      <c r="G69" s="110"/>
      <c r="H69" s="1"/>
      <c r="I69" s="1"/>
      <c r="J69" s="1"/>
      <c r="K69" s="1"/>
      <c r="L69" s="1"/>
      <c r="M69" s="1"/>
      <c r="N69" s="1"/>
      <c r="O69" s="1"/>
      <c r="P69" s="3"/>
      <c r="Q69" s="1"/>
      <c r="R69" s="1"/>
      <c r="S69" s="1"/>
      <c r="T69" s="1"/>
      <c r="U69" s="1"/>
      <c r="V69" s="1"/>
      <c r="W69" s="1"/>
      <c r="X69" s="1"/>
      <c r="Y69" s="1"/>
      <c r="Z69" s="1"/>
      <c r="AA69" s="1"/>
      <c r="AB69" s="1"/>
    </row>
    <row r="70" ht="15.75" customHeight="1">
      <c r="A70" s="1"/>
      <c r="B70" s="1"/>
      <c r="C70" s="1"/>
      <c r="D70" s="1"/>
      <c r="E70" s="1"/>
      <c r="F70" s="1"/>
      <c r="G70" s="110"/>
      <c r="H70" s="1"/>
      <c r="I70" s="1"/>
      <c r="J70" s="1"/>
      <c r="K70" s="1"/>
      <c r="L70" s="1"/>
      <c r="M70" s="1"/>
      <c r="N70" s="1"/>
      <c r="O70" s="1"/>
      <c r="P70" s="3"/>
      <c r="Q70" s="1"/>
      <c r="R70" s="1"/>
      <c r="S70" s="1"/>
      <c r="T70" s="1"/>
      <c r="U70" s="1"/>
      <c r="V70" s="1"/>
      <c r="W70" s="1"/>
      <c r="X70" s="1"/>
      <c r="Y70" s="1"/>
      <c r="Z70" s="1"/>
      <c r="AA70" s="1"/>
      <c r="AB70" s="1"/>
    </row>
    <row r="71" ht="15.75" customHeight="1">
      <c r="A71" s="1"/>
      <c r="B71" s="1"/>
      <c r="C71" s="1"/>
      <c r="D71" s="1"/>
      <c r="E71" s="1"/>
      <c r="F71" s="1"/>
      <c r="G71" s="110"/>
      <c r="H71" s="1"/>
      <c r="I71" s="1"/>
      <c r="J71" s="1"/>
      <c r="K71" s="1"/>
      <c r="L71" s="1"/>
      <c r="M71" s="1"/>
      <c r="N71" s="1"/>
      <c r="O71" s="1"/>
      <c r="P71" s="3"/>
      <c r="Q71" s="1"/>
      <c r="R71" s="1"/>
      <c r="S71" s="1"/>
      <c r="T71" s="1"/>
      <c r="U71" s="1"/>
      <c r="V71" s="1"/>
      <c r="W71" s="1"/>
      <c r="X71" s="1"/>
      <c r="Y71" s="1"/>
      <c r="Z71" s="1"/>
      <c r="AA71" s="1"/>
      <c r="AB71" s="1"/>
    </row>
    <row r="72" ht="15.75" customHeight="1">
      <c r="A72" s="1"/>
      <c r="B72" s="1"/>
      <c r="C72" s="1"/>
      <c r="D72" s="1"/>
      <c r="E72" s="1"/>
      <c r="F72" s="1"/>
      <c r="G72" s="110"/>
      <c r="H72" s="1"/>
      <c r="I72" s="1"/>
      <c r="J72" s="1"/>
      <c r="K72" s="1"/>
      <c r="L72" s="1"/>
      <c r="M72" s="1"/>
      <c r="N72" s="1"/>
      <c r="O72" s="1"/>
      <c r="P72" s="3"/>
      <c r="Q72" s="1"/>
      <c r="R72" s="1"/>
      <c r="S72" s="1"/>
      <c r="T72" s="1"/>
      <c r="U72" s="1"/>
      <c r="V72" s="1"/>
      <c r="W72" s="1"/>
      <c r="X72" s="1"/>
      <c r="Y72" s="1"/>
      <c r="Z72" s="1"/>
      <c r="AA72" s="1"/>
      <c r="AB72" s="1"/>
    </row>
    <row r="73" ht="15.75" customHeight="1">
      <c r="A73" s="1"/>
      <c r="B73" s="1"/>
      <c r="C73" s="1"/>
      <c r="D73" s="1"/>
      <c r="E73" s="1"/>
      <c r="F73" s="1"/>
      <c r="G73" s="110"/>
      <c r="H73" s="1"/>
      <c r="I73" s="1"/>
      <c r="J73" s="1"/>
      <c r="K73" s="1"/>
      <c r="L73" s="1"/>
      <c r="M73" s="1"/>
      <c r="N73" s="1"/>
      <c r="O73" s="1"/>
      <c r="P73" s="3"/>
      <c r="Q73" s="1"/>
      <c r="R73" s="1"/>
      <c r="S73" s="1"/>
      <c r="T73" s="1"/>
      <c r="U73" s="1"/>
      <c r="V73" s="1"/>
      <c r="W73" s="1"/>
      <c r="X73" s="1"/>
      <c r="Y73" s="1"/>
      <c r="Z73" s="1"/>
      <c r="AA73" s="1"/>
      <c r="AB73" s="1"/>
    </row>
    <row r="74" ht="15.75" customHeight="1">
      <c r="A74" s="1"/>
      <c r="B74" s="1"/>
      <c r="C74" s="1"/>
      <c r="D74" s="1"/>
      <c r="E74" s="1"/>
      <c r="F74" s="1"/>
      <c r="G74" s="110"/>
      <c r="H74" s="1"/>
      <c r="I74" s="1"/>
      <c r="J74" s="1"/>
      <c r="K74" s="1"/>
      <c r="L74" s="1"/>
      <c r="M74" s="1"/>
      <c r="N74" s="1"/>
      <c r="O74" s="1"/>
      <c r="P74" s="3"/>
      <c r="Q74" s="1"/>
      <c r="R74" s="1"/>
      <c r="S74" s="1"/>
      <c r="T74" s="1"/>
      <c r="U74" s="1"/>
      <c r="V74" s="1"/>
      <c r="W74" s="1"/>
      <c r="X74" s="1"/>
      <c r="Y74" s="1"/>
      <c r="Z74" s="1"/>
      <c r="AA74" s="1"/>
      <c r="AB74" s="1"/>
    </row>
    <row r="75" ht="15.75" customHeight="1">
      <c r="A75" s="1"/>
      <c r="B75" s="1"/>
      <c r="C75" s="1"/>
      <c r="D75" s="1"/>
      <c r="E75" s="1"/>
      <c r="F75" s="1"/>
      <c r="G75" s="110"/>
      <c r="H75" s="1"/>
      <c r="I75" s="1"/>
      <c r="J75" s="1"/>
      <c r="K75" s="1"/>
      <c r="L75" s="1"/>
      <c r="M75" s="1"/>
      <c r="N75" s="1"/>
      <c r="O75" s="1"/>
      <c r="P75" s="3"/>
      <c r="Q75" s="1"/>
      <c r="R75" s="1"/>
      <c r="S75" s="1"/>
      <c r="T75" s="1"/>
      <c r="U75" s="1"/>
      <c r="V75" s="1"/>
      <c r="W75" s="1"/>
      <c r="X75" s="1"/>
      <c r="Y75" s="1"/>
      <c r="Z75" s="1"/>
      <c r="AA75" s="1"/>
      <c r="AB75" s="1"/>
    </row>
    <row r="76" ht="15.75" customHeight="1">
      <c r="A76" s="1"/>
      <c r="B76" s="1"/>
      <c r="C76" s="1"/>
      <c r="D76" s="1"/>
      <c r="E76" s="1"/>
      <c r="F76" s="1"/>
      <c r="G76" s="110"/>
      <c r="H76" s="1"/>
      <c r="I76" s="1"/>
      <c r="J76" s="1"/>
      <c r="K76" s="1"/>
      <c r="L76" s="1"/>
      <c r="M76" s="1"/>
      <c r="N76" s="1"/>
      <c r="O76" s="1"/>
      <c r="P76" s="3"/>
      <c r="Q76" s="1"/>
      <c r="R76" s="1"/>
      <c r="S76" s="1"/>
      <c r="T76" s="1"/>
      <c r="U76" s="1"/>
      <c r="V76" s="1"/>
      <c r="W76" s="1"/>
      <c r="X76" s="1"/>
      <c r="Y76" s="1"/>
      <c r="Z76" s="1"/>
      <c r="AA76" s="1"/>
      <c r="AB76" s="1"/>
    </row>
    <row r="77" ht="15.75" customHeight="1">
      <c r="A77" s="1"/>
      <c r="B77" s="1"/>
      <c r="C77" s="1"/>
      <c r="D77" s="1"/>
      <c r="E77" s="1"/>
      <c r="F77" s="1"/>
      <c r="G77" s="110"/>
      <c r="H77" s="1"/>
      <c r="I77" s="1"/>
      <c r="J77" s="1"/>
      <c r="K77" s="1"/>
      <c r="L77" s="1"/>
      <c r="M77" s="1"/>
      <c r="N77" s="1"/>
      <c r="O77" s="1"/>
      <c r="P77" s="3"/>
      <c r="Q77" s="1"/>
      <c r="R77" s="1"/>
      <c r="S77" s="1"/>
      <c r="T77" s="1"/>
      <c r="U77" s="1"/>
      <c r="V77" s="1"/>
      <c r="W77" s="1"/>
      <c r="X77" s="1"/>
      <c r="Y77" s="1"/>
      <c r="Z77" s="1"/>
      <c r="AA77" s="1"/>
      <c r="AB77" s="1"/>
    </row>
    <row r="78" ht="15.75" customHeight="1">
      <c r="A78" s="1"/>
      <c r="B78" s="1"/>
      <c r="C78" s="1"/>
      <c r="D78" s="1"/>
      <c r="E78" s="1"/>
      <c r="F78" s="1"/>
      <c r="G78" s="110"/>
      <c r="H78" s="1"/>
      <c r="I78" s="1"/>
      <c r="J78" s="1"/>
      <c r="K78" s="1"/>
      <c r="L78" s="1"/>
      <c r="M78" s="1"/>
      <c r="N78" s="1"/>
      <c r="O78" s="1"/>
      <c r="P78" s="3"/>
      <c r="Q78" s="1"/>
      <c r="R78" s="1"/>
      <c r="S78" s="1"/>
      <c r="T78" s="1"/>
      <c r="U78" s="1"/>
      <c r="V78" s="1"/>
      <c r="W78" s="1"/>
      <c r="X78" s="1"/>
      <c r="Y78" s="1"/>
      <c r="Z78" s="1"/>
      <c r="AA78" s="1"/>
      <c r="AB78" s="1"/>
    </row>
    <row r="79" ht="15.75" customHeight="1">
      <c r="A79" s="1"/>
      <c r="B79" s="1"/>
      <c r="C79" s="1"/>
      <c r="D79" s="1"/>
      <c r="E79" s="1"/>
      <c r="F79" s="1"/>
      <c r="G79" s="110"/>
      <c r="H79" s="1"/>
      <c r="I79" s="1"/>
      <c r="J79" s="1"/>
      <c r="K79" s="1"/>
      <c r="L79" s="1"/>
      <c r="M79" s="1"/>
      <c r="N79" s="1"/>
      <c r="O79" s="1"/>
      <c r="P79" s="3"/>
      <c r="Q79" s="1"/>
      <c r="R79" s="1"/>
      <c r="S79" s="1"/>
      <c r="T79" s="1"/>
      <c r="U79" s="1"/>
      <c r="V79" s="1"/>
      <c r="W79" s="1"/>
      <c r="X79" s="1"/>
      <c r="Y79" s="1"/>
      <c r="Z79" s="1"/>
      <c r="AA79" s="1"/>
      <c r="AB79" s="1"/>
    </row>
    <row r="80" ht="15.75" customHeight="1">
      <c r="A80" s="1"/>
      <c r="B80" s="1"/>
      <c r="C80" s="1"/>
      <c r="D80" s="1"/>
      <c r="E80" s="1"/>
      <c r="F80" s="1"/>
      <c r="G80" s="110"/>
      <c r="H80" s="1"/>
      <c r="I80" s="1"/>
      <c r="J80" s="1"/>
      <c r="K80" s="1"/>
      <c r="L80" s="1"/>
      <c r="M80" s="1"/>
      <c r="N80" s="1"/>
      <c r="O80" s="1"/>
      <c r="P80" s="3"/>
      <c r="Q80" s="1"/>
      <c r="R80" s="1"/>
      <c r="S80" s="1"/>
      <c r="T80" s="1"/>
      <c r="U80" s="1"/>
      <c r="V80" s="1"/>
      <c r="W80" s="1"/>
      <c r="X80" s="1"/>
      <c r="Y80" s="1"/>
      <c r="Z80" s="1"/>
      <c r="AA80" s="1"/>
      <c r="AB80" s="1"/>
    </row>
    <row r="81" ht="15.75" customHeight="1">
      <c r="A81" s="1"/>
      <c r="B81" s="1"/>
      <c r="C81" s="1"/>
      <c r="D81" s="1"/>
      <c r="E81" s="1"/>
      <c r="F81" s="1"/>
      <c r="G81" s="110"/>
      <c r="H81" s="1"/>
      <c r="I81" s="1"/>
      <c r="J81" s="1"/>
      <c r="K81" s="1"/>
      <c r="L81" s="1"/>
      <c r="M81" s="1"/>
      <c r="N81" s="1"/>
      <c r="O81" s="1"/>
      <c r="P81" s="3"/>
      <c r="Q81" s="1"/>
      <c r="R81" s="1"/>
      <c r="S81" s="1"/>
      <c r="T81" s="1"/>
      <c r="U81" s="1"/>
      <c r="V81" s="1"/>
      <c r="W81" s="1"/>
      <c r="X81" s="1"/>
      <c r="Y81" s="1"/>
      <c r="Z81" s="1"/>
      <c r="AA81" s="1"/>
      <c r="AB81" s="1"/>
    </row>
    <row r="82" ht="15.75" customHeight="1">
      <c r="A82" s="1"/>
      <c r="B82" s="1"/>
      <c r="C82" s="1"/>
      <c r="D82" s="1"/>
      <c r="E82" s="1"/>
      <c r="F82" s="1"/>
      <c r="G82" s="110"/>
      <c r="H82" s="1"/>
      <c r="I82" s="1"/>
      <c r="J82" s="1"/>
      <c r="K82" s="1"/>
      <c r="L82" s="1"/>
      <c r="M82" s="1"/>
      <c r="N82" s="1"/>
      <c r="O82" s="1"/>
      <c r="P82" s="3"/>
      <c r="Q82" s="1"/>
      <c r="R82" s="1"/>
      <c r="S82" s="1"/>
      <c r="T82" s="1"/>
      <c r="U82" s="1"/>
      <c r="V82" s="1"/>
      <c r="W82" s="1"/>
      <c r="X82" s="1"/>
      <c r="Y82" s="1"/>
      <c r="Z82" s="1"/>
      <c r="AA82" s="1"/>
      <c r="AB82" s="1"/>
    </row>
    <row r="83" ht="15.75" customHeight="1">
      <c r="A83" s="1"/>
      <c r="B83" s="1"/>
      <c r="C83" s="1"/>
      <c r="D83" s="1"/>
      <c r="E83" s="1"/>
      <c r="F83" s="1"/>
      <c r="G83" s="110"/>
      <c r="H83" s="1"/>
      <c r="I83" s="1"/>
      <c r="J83" s="1"/>
      <c r="K83" s="1"/>
      <c r="L83" s="1"/>
      <c r="M83" s="1"/>
      <c r="N83" s="1"/>
      <c r="O83" s="1"/>
      <c r="P83" s="3"/>
      <c r="Q83" s="1"/>
      <c r="R83" s="1"/>
      <c r="S83" s="1"/>
      <c r="T83" s="1"/>
      <c r="U83" s="1"/>
      <c r="V83" s="1"/>
      <c r="W83" s="1"/>
      <c r="X83" s="1"/>
      <c r="Y83" s="1"/>
      <c r="Z83" s="1"/>
      <c r="AA83" s="1"/>
      <c r="AB83" s="1"/>
    </row>
    <row r="84" ht="15.75" customHeight="1">
      <c r="A84" s="1"/>
      <c r="B84" s="1"/>
      <c r="C84" s="1"/>
      <c r="D84" s="1"/>
      <c r="E84" s="1"/>
      <c r="F84" s="1"/>
      <c r="G84" s="110"/>
      <c r="H84" s="1"/>
      <c r="I84" s="1"/>
      <c r="J84" s="1"/>
      <c r="K84" s="1"/>
      <c r="L84" s="1"/>
      <c r="M84" s="1"/>
      <c r="N84" s="1"/>
      <c r="O84" s="1"/>
      <c r="P84" s="3"/>
      <c r="Q84" s="1"/>
      <c r="R84" s="1"/>
      <c r="S84" s="1"/>
      <c r="T84" s="1"/>
      <c r="U84" s="1"/>
      <c r="V84" s="1"/>
      <c r="W84" s="1"/>
      <c r="X84" s="1"/>
      <c r="Y84" s="1"/>
      <c r="Z84" s="1"/>
      <c r="AA84" s="1"/>
      <c r="AB84" s="1"/>
    </row>
    <row r="85" ht="15.75" customHeight="1">
      <c r="A85" s="1"/>
      <c r="B85" s="1"/>
      <c r="C85" s="1"/>
      <c r="D85" s="1"/>
      <c r="E85" s="1"/>
      <c r="F85" s="1"/>
      <c r="G85" s="110"/>
      <c r="H85" s="1"/>
      <c r="I85" s="1"/>
      <c r="J85" s="1"/>
      <c r="K85" s="1"/>
      <c r="L85" s="1"/>
      <c r="M85" s="1"/>
      <c r="N85" s="1"/>
      <c r="O85" s="1"/>
      <c r="P85" s="3"/>
      <c r="Q85" s="1"/>
      <c r="R85" s="1"/>
      <c r="S85" s="1"/>
      <c r="T85" s="1"/>
      <c r="U85" s="1"/>
      <c r="V85" s="1"/>
      <c r="W85" s="1"/>
      <c r="X85" s="1"/>
      <c r="Y85" s="1"/>
      <c r="Z85" s="1"/>
      <c r="AA85" s="1"/>
      <c r="AB85" s="1"/>
    </row>
    <row r="86" ht="15.75" customHeight="1">
      <c r="A86" s="1"/>
      <c r="B86" s="1"/>
      <c r="C86" s="1"/>
      <c r="D86" s="1"/>
      <c r="E86" s="1"/>
      <c r="F86" s="1"/>
      <c r="G86" s="110"/>
      <c r="H86" s="1"/>
      <c r="I86" s="1"/>
      <c r="J86" s="1"/>
      <c r="K86" s="1"/>
      <c r="L86" s="1"/>
      <c r="M86" s="1"/>
      <c r="N86" s="1"/>
      <c r="O86" s="1"/>
      <c r="P86" s="3"/>
      <c r="Q86" s="1"/>
      <c r="R86" s="1"/>
      <c r="S86" s="1"/>
      <c r="T86" s="1"/>
      <c r="U86" s="1"/>
      <c r="V86" s="1"/>
      <c r="W86" s="1"/>
      <c r="X86" s="1"/>
      <c r="Y86" s="1"/>
      <c r="Z86" s="1"/>
      <c r="AA86" s="1"/>
      <c r="AB86" s="1"/>
    </row>
    <row r="87" ht="15.75" customHeight="1">
      <c r="A87" s="1"/>
      <c r="B87" s="1"/>
      <c r="C87" s="1"/>
      <c r="D87" s="1"/>
      <c r="E87" s="1"/>
      <c r="F87" s="1"/>
      <c r="G87" s="110"/>
      <c r="H87" s="1"/>
      <c r="I87" s="1"/>
      <c r="J87" s="1"/>
      <c r="K87" s="1"/>
      <c r="L87" s="1"/>
      <c r="M87" s="1"/>
      <c r="N87" s="1"/>
      <c r="O87" s="1"/>
      <c r="P87" s="3"/>
      <c r="Q87" s="1"/>
      <c r="R87" s="1"/>
      <c r="S87" s="1"/>
      <c r="T87" s="1"/>
      <c r="U87" s="1"/>
      <c r="V87" s="1"/>
      <c r="W87" s="1"/>
      <c r="X87" s="1"/>
      <c r="Y87" s="1"/>
      <c r="Z87" s="1"/>
      <c r="AA87" s="1"/>
      <c r="AB87" s="1"/>
    </row>
    <row r="88" ht="15.75" customHeight="1">
      <c r="A88" s="1"/>
      <c r="B88" s="1"/>
      <c r="C88" s="1"/>
      <c r="D88" s="1"/>
      <c r="E88" s="1"/>
      <c r="F88" s="1"/>
      <c r="G88" s="110"/>
      <c r="H88" s="1"/>
      <c r="I88" s="1"/>
      <c r="J88" s="1"/>
      <c r="K88" s="1"/>
      <c r="L88" s="1"/>
      <c r="M88" s="1"/>
      <c r="N88" s="1"/>
      <c r="O88" s="1"/>
      <c r="P88" s="3"/>
      <c r="Q88" s="1"/>
      <c r="R88" s="1"/>
      <c r="S88" s="1"/>
      <c r="T88" s="1"/>
      <c r="U88" s="1"/>
      <c r="V88" s="1"/>
      <c r="W88" s="1"/>
      <c r="X88" s="1"/>
      <c r="Y88" s="1"/>
      <c r="Z88" s="1"/>
      <c r="AA88" s="1"/>
      <c r="AB88" s="1"/>
    </row>
    <row r="89" ht="15.75" customHeight="1">
      <c r="A89" s="1"/>
      <c r="B89" s="1"/>
      <c r="C89" s="1"/>
      <c r="D89" s="1"/>
      <c r="E89" s="1"/>
      <c r="F89" s="1"/>
      <c r="G89" s="110"/>
      <c r="H89" s="1"/>
      <c r="I89" s="1"/>
      <c r="J89" s="1"/>
      <c r="K89" s="1"/>
      <c r="L89" s="1"/>
      <c r="M89" s="1"/>
      <c r="N89" s="1"/>
      <c r="O89" s="1"/>
      <c r="P89" s="3"/>
      <c r="Q89" s="1"/>
      <c r="R89" s="1"/>
      <c r="S89" s="1"/>
      <c r="T89" s="1"/>
      <c r="U89" s="1"/>
      <c r="V89" s="1"/>
      <c r="W89" s="1"/>
      <c r="X89" s="1"/>
      <c r="Y89" s="1"/>
      <c r="Z89" s="1"/>
      <c r="AA89" s="1"/>
      <c r="AB89" s="1"/>
    </row>
    <row r="90" ht="15.75" customHeight="1">
      <c r="A90" s="1"/>
      <c r="B90" s="1"/>
      <c r="C90" s="1"/>
      <c r="D90" s="1"/>
      <c r="E90" s="1"/>
      <c r="F90" s="1"/>
      <c r="G90" s="110"/>
      <c r="H90" s="1"/>
      <c r="I90" s="1"/>
      <c r="J90" s="1"/>
      <c r="K90" s="1"/>
      <c r="L90" s="1"/>
      <c r="M90" s="1"/>
      <c r="N90" s="1"/>
      <c r="O90" s="1"/>
      <c r="P90" s="3"/>
      <c r="Q90" s="1"/>
      <c r="R90" s="1"/>
      <c r="S90" s="1"/>
      <c r="T90" s="1"/>
      <c r="U90" s="1"/>
      <c r="V90" s="1"/>
      <c r="W90" s="1"/>
      <c r="X90" s="1"/>
      <c r="Y90" s="1"/>
      <c r="Z90" s="1"/>
      <c r="AA90" s="1"/>
      <c r="AB90" s="1"/>
    </row>
    <row r="91" ht="15.75" customHeight="1">
      <c r="A91" s="1"/>
      <c r="B91" s="1"/>
      <c r="C91" s="1"/>
      <c r="D91" s="1"/>
      <c r="E91" s="1"/>
      <c r="F91" s="1"/>
      <c r="G91" s="110"/>
      <c r="H91" s="1"/>
      <c r="I91" s="1"/>
      <c r="J91" s="1"/>
      <c r="K91" s="1"/>
      <c r="L91" s="1"/>
      <c r="M91" s="1"/>
      <c r="N91" s="1"/>
      <c r="O91" s="1"/>
      <c r="P91" s="3"/>
      <c r="Q91" s="1"/>
      <c r="R91" s="1"/>
      <c r="S91" s="1"/>
      <c r="T91" s="1"/>
      <c r="U91" s="1"/>
      <c r="V91" s="1"/>
      <c r="W91" s="1"/>
      <c r="X91" s="1"/>
      <c r="Y91" s="1"/>
      <c r="Z91" s="1"/>
      <c r="AA91" s="1"/>
      <c r="AB91" s="1"/>
    </row>
    <row r="92" ht="15.75" customHeight="1">
      <c r="A92" s="1"/>
      <c r="B92" s="1"/>
      <c r="C92" s="1"/>
      <c r="D92" s="1"/>
      <c r="E92" s="1"/>
      <c r="F92" s="1"/>
      <c r="G92" s="110"/>
      <c r="H92" s="1"/>
      <c r="I92" s="1"/>
      <c r="J92" s="1"/>
      <c r="K92" s="1"/>
      <c r="L92" s="1"/>
      <c r="M92" s="1"/>
      <c r="N92" s="1"/>
      <c r="O92" s="1"/>
      <c r="P92" s="3"/>
      <c r="Q92" s="1"/>
      <c r="R92" s="1"/>
      <c r="S92" s="1"/>
      <c r="T92" s="1"/>
      <c r="U92" s="1"/>
      <c r="V92" s="1"/>
      <c r="W92" s="1"/>
      <c r="X92" s="1"/>
      <c r="Y92" s="1"/>
      <c r="Z92" s="1"/>
      <c r="AA92" s="1"/>
      <c r="AB92" s="1"/>
    </row>
    <row r="93" ht="15.75" customHeight="1">
      <c r="A93" s="1"/>
      <c r="B93" s="1"/>
      <c r="C93" s="1"/>
      <c r="D93" s="1"/>
      <c r="E93" s="1"/>
      <c r="F93" s="1"/>
      <c r="G93" s="110"/>
      <c r="H93" s="1"/>
      <c r="I93" s="1"/>
      <c r="J93" s="1"/>
      <c r="K93" s="1"/>
      <c r="L93" s="1"/>
      <c r="M93" s="1"/>
      <c r="N93" s="1"/>
      <c r="O93" s="1"/>
      <c r="P93" s="3"/>
      <c r="Q93" s="1"/>
      <c r="R93" s="1"/>
      <c r="S93" s="1"/>
      <c r="T93" s="1"/>
      <c r="U93" s="1"/>
      <c r="V93" s="1"/>
      <c r="W93" s="1"/>
      <c r="X93" s="1"/>
      <c r="Y93" s="1"/>
      <c r="Z93" s="1"/>
      <c r="AA93" s="1"/>
      <c r="AB93" s="1"/>
    </row>
    <row r="94" ht="15.75" customHeight="1">
      <c r="A94" s="1"/>
      <c r="B94" s="1"/>
      <c r="C94" s="1"/>
      <c r="D94" s="1"/>
      <c r="E94" s="1"/>
      <c r="F94" s="1"/>
      <c r="G94" s="110"/>
      <c r="H94" s="1"/>
      <c r="I94" s="1"/>
      <c r="J94" s="1"/>
      <c r="K94" s="1"/>
      <c r="L94" s="1"/>
      <c r="M94" s="1"/>
      <c r="N94" s="1"/>
      <c r="O94" s="1"/>
      <c r="P94" s="3"/>
      <c r="Q94" s="1"/>
      <c r="R94" s="1"/>
      <c r="S94" s="1"/>
      <c r="T94" s="1"/>
      <c r="U94" s="1"/>
      <c r="V94" s="1"/>
      <c r="W94" s="1"/>
      <c r="X94" s="1"/>
      <c r="Y94" s="1"/>
      <c r="Z94" s="1"/>
      <c r="AA94" s="1"/>
      <c r="AB94" s="1"/>
    </row>
    <row r="95" ht="15.75" customHeight="1">
      <c r="A95" s="1"/>
      <c r="B95" s="1"/>
      <c r="C95" s="1"/>
      <c r="D95" s="1"/>
      <c r="E95" s="1"/>
      <c r="F95" s="1"/>
      <c r="G95" s="110"/>
      <c r="H95" s="1"/>
      <c r="I95" s="1"/>
      <c r="J95" s="1"/>
      <c r="K95" s="1"/>
      <c r="L95" s="1"/>
      <c r="M95" s="1"/>
      <c r="N95" s="1"/>
      <c r="O95" s="1"/>
      <c r="P95" s="3"/>
      <c r="Q95" s="1"/>
      <c r="R95" s="1"/>
      <c r="S95" s="1"/>
      <c r="T95" s="1"/>
      <c r="U95" s="1"/>
      <c r="V95" s="1"/>
      <c r="W95" s="1"/>
      <c r="X95" s="1"/>
      <c r="Y95" s="1"/>
      <c r="Z95" s="1"/>
      <c r="AA95" s="1"/>
      <c r="AB95" s="1"/>
    </row>
    <row r="96" ht="15.75" customHeight="1">
      <c r="A96" s="1"/>
      <c r="B96" s="1"/>
      <c r="C96" s="1"/>
      <c r="D96" s="1"/>
      <c r="E96" s="1"/>
      <c r="F96" s="1"/>
      <c r="G96" s="110"/>
      <c r="H96" s="1"/>
      <c r="I96" s="1"/>
      <c r="J96" s="1"/>
      <c r="K96" s="1"/>
      <c r="L96" s="1"/>
      <c r="M96" s="1"/>
      <c r="N96" s="1"/>
      <c r="O96" s="1"/>
      <c r="P96" s="3"/>
      <c r="Q96" s="1"/>
      <c r="R96" s="1"/>
      <c r="S96" s="1"/>
      <c r="T96" s="1"/>
      <c r="U96" s="1"/>
      <c r="V96" s="1"/>
      <c r="W96" s="1"/>
      <c r="X96" s="1"/>
      <c r="Y96" s="1"/>
      <c r="Z96" s="1"/>
      <c r="AA96" s="1"/>
      <c r="AB96" s="1"/>
    </row>
    <row r="97" ht="15.75" customHeight="1">
      <c r="A97" s="1"/>
      <c r="B97" s="1"/>
      <c r="C97" s="1"/>
      <c r="D97" s="1"/>
      <c r="E97" s="1"/>
      <c r="F97" s="1"/>
      <c r="G97" s="110"/>
      <c r="H97" s="1"/>
      <c r="I97" s="1"/>
      <c r="J97" s="1"/>
      <c r="K97" s="1"/>
      <c r="L97" s="1"/>
      <c r="M97" s="1"/>
      <c r="N97" s="1"/>
      <c r="O97" s="1"/>
      <c r="P97" s="3"/>
      <c r="Q97" s="1"/>
      <c r="R97" s="1"/>
      <c r="S97" s="1"/>
      <c r="T97" s="1"/>
      <c r="U97" s="1"/>
      <c r="V97" s="1"/>
      <c r="W97" s="1"/>
      <c r="X97" s="1"/>
      <c r="Y97" s="1"/>
      <c r="Z97" s="1"/>
      <c r="AA97" s="1"/>
      <c r="AB97" s="1"/>
    </row>
    <row r="98" ht="15.75" customHeight="1">
      <c r="A98" s="1"/>
      <c r="B98" s="1"/>
      <c r="C98" s="1"/>
      <c r="D98" s="1"/>
      <c r="E98" s="1"/>
      <c r="F98" s="1"/>
      <c r="G98" s="110"/>
      <c r="H98" s="1"/>
      <c r="I98" s="1"/>
      <c r="J98" s="1"/>
      <c r="K98" s="1"/>
      <c r="L98" s="1"/>
      <c r="M98" s="1"/>
      <c r="N98" s="1"/>
      <c r="O98" s="1"/>
      <c r="P98" s="3"/>
      <c r="Q98" s="1"/>
      <c r="R98" s="1"/>
      <c r="S98" s="1"/>
      <c r="T98" s="1"/>
      <c r="U98" s="1"/>
      <c r="V98" s="1"/>
      <c r="W98" s="1"/>
      <c r="X98" s="1"/>
      <c r="Y98" s="1"/>
      <c r="Z98" s="1"/>
      <c r="AA98" s="1"/>
      <c r="AB98" s="1"/>
    </row>
    <row r="99" ht="15.75" customHeight="1">
      <c r="A99" s="1"/>
      <c r="B99" s="1"/>
      <c r="C99" s="1"/>
      <c r="D99" s="1"/>
      <c r="E99" s="1"/>
      <c r="F99" s="1"/>
      <c r="G99" s="110"/>
      <c r="H99" s="1"/>
      <c r="I99" s="1"/>
      <c r="J99" s="1"/>
      <c r="K99" s="1"/>
      <c r="L99" s="1"/>
      <c r="M99" s="1"/>
      <c r="N99" s="1"/>
      <c r="O99" s="1"/>
      <c r="P99" s="3"/>
      <c r="Q99" s="1"/>
      <c r="R99" s="1"/>
      <c r="S99" s="1"/>
      <c r="T99" s="1"/>
      <c r="U99" s="1"/>
      <c r="V99" s="1"/>
      <c r="W99" s="1"/>
      <c r="X99" s="1"/>
      <c r="Y99" s="1"/>
      <c r="Z99" s="1"/>
      <c r="AA99" s="1"/>
      <c r="AB99" s="1"/>
    </row>
    <row r="100" ht="15.75" customHeight="1">
      <c r="A100" s="1"/>
      <c r="B100" s="1"/>
      <c r="C100" s="1"/>
      <c r="D100" s="1"/>
      <c r="E100" s="1"/>
      <c r="F100" s="1"/>
      <c r="G100" s="110"/>
      <c r="H100" s="1"/>
      <c r="I100" s="1"/>
      <c r="J100" s="1"/>
      <c r="K100" s="1"/>
      <c r="L100" s="1"/>
      <c r="M100" s="1"/>
      <c r="N100" s="1"/>
      <c r="O100" s="1"/>
      <c r="P100" s="3"/>
      <c r="Q100" s="1"/>
      <c r="R100" s="1"/>
      <c r="S100" s="1"/>
      <c r="T100" s="1"/>
      <c r="U100" s="1"/>
      <c r="V100" s="1"/>
      <c r="W100" s="1"/>
      <c r="X100" s="1"/>
      <c r="Y100" s="1"/>
      <c r="Z100" s="1"/>
      <c r="AA100" s="1"/>
      <c r="AB100" s="1"/>
    </row>
    <row r="101" ht="15.75" customHeight="1">
      <c r="A101" s="1"/>
      <c r="B101" s="1"/>
      <c r="C101" s="1"/>
      <c r="D101" s="1"/>
      <c r="E101" s="1"/>
      <c r="F101" s="1"/>
      <c r="G101" s="110"/>
      <c r="H101" s="1"/>
      <c r="I101" s="1"/>
      <c r="J101" s="1"/>
      <c r="K101" s="1"/>
      <c r="L101" s="1"/>
      <c r="M101" s="1"/>
      <c r="N101" s="1"/>
      <c r="O101" s="1"/>
      <c r="P101" s="3"/>
      <c r="Q101" s="1"/>
      <c r="R101" s="1"/>
      <c r="S101" s="1"/>
      <c r="T101" s="1"/>
      <c r="U101" s="1"/>
      <c r="V101" s="1"/>
      <c r="W101" s="1"/>
      <c r="X101" s="1"/>
      <c r="Y101" s="1"/>
      <c r="Z101" s="1"/>
      <c r="AA101" s="1"/>
      <c r="AB101" s="1"/>
    </row>
    <row r="102" ht="15.75" customHeight="1">
      <c r="A102" s="1"/>
      <c r="B102" s="1"/>
      <c r="C102" s="1"/>
      <c r="D102" s="1"/>
      <c r="E102" s="1"/>
      <c r="F102" s="1"/>
      <c r="G102" s="110"/>
      <c r="H102" s="1"/>
      <c r="I102" s="1"/>
      <c r="J102" s="1"/>
      <c r="K102" s="1"/>
      <c r="L102" s="1"/>
      <c r="M102" s="1"/>
      <c r="N102" s="1"/>
      <c r="O102" s="1"/>
      <c r="P102" s="3"/>
      <c r="Q102" s="1"/>
      <c r="R102" s="1"/>
      <c r="S102" s="1"/>
      <c r="T102" s="1"/>
      <c r="U102" s="1"/>
      <c r="V102" s="1"/>
      <c r="W102" s="1"/>
      <c r="X102" s="1"/>
      <c r="Y102" s="1"/>
      <c r="Z102" s="1"/>
      <c r="AA102" s="1"/>
      <c r="AB102" s="1"/>
    </row>
    <row r="103" ht="15.75" customHeight="1">
      <c r="A103" s="1"/>
      <c r="B103" s="1"/>
      <c r="C103" s="1"/>
      <c r="D103" s="1"/>
      <c r="E103" s="1"/>
      <c r="F103" s="1"/>
      <c r="G103" s="110"/>
      <c r="H103" s="1"/>
      <c r="I103" s="1"/>
      <c r="J103" s="1"/>
      <c r="K103" s="1"/>
      <c r="L103" s="1"/>
      <c r="M103" s="1"/>
      <c r="N103" s="1"/>
      <c r="O103" s="1"/>
      <c r="P103" s="3"/>
      <c r="Q103" s="1"/>
      <c r="R103" s="1"/>
      <c r="S103" s="1"/>
      <c r="T103" s="1"/>
      <c r="U103" s="1"/>
      <c r="V103" s="1"/>
      <c r="W103" s="1"/>
      <c r="X103" s="1"/>
      <c r="Y103" s="1"/>
      <c r="Z103" s="1"/>
      <c r="AA103" s="1"/>
      <c r="AB103" s="1"/>
    </row>
    <row r="104" ht="15.75" customHeight="1">
      <c r="A104" s="1"/>
      <c r="B104" s="1"/>
      <c r="C104" s="1"/>
      <c r="D104" s="1"/>
      <c r="E104" s="1"/>
      <c r="F104" s="1"/>
      <c r="G104" s="110"/>
      <c r="H104" s="1"/>
      <c r="I104" s="1"/>
      <c r="J104" s="1"/>
      <c r="K104" s="1"/>
      <c r="L104" s="1"/>
      <c r="M104" s="1"/>
      <c r="N104" s="1"/>
      <c r="O104" s="1"/>
      <c r="P104" s="3"/>
      <c r="Q104" s="1"/>
      <c r="R104" s="1"/>
      <c r="S104" s="1"/>
      <c r="T104" s="1"/>
      <c r="U104" s="1"/>
      <c r="V104" s="1"/>
      <c r="W104" s="1"/>
      <c r="X104" s="1"/>
      <c r="Y104" s="1"/>
      <c r="Z104" s="1"/>
      <c r="AA104" s="1"/>
      <c r="AB104" s="1"/>
    </row>
    <row r="105" ht="15.75" customHeight="1">
      <c r="A105" s="1"/>
      <c r="B105" s="1"/>
      <c r="C105" s="1"/>
      <c r="D105" s="1"/>
      <c r="E105" s="1"/>
      <c r="F105" s="1"/>
      <c r="G105" s="110"/>
      <c r="H105" s="1"/>
      <c r="I105" s="1"/>
      <c r="J105" s="1"/>
      <c r="K105" s="1"/>
      <c r="L105" s="1"/>
      <c r="M105" s="1"/>
      <c r="N105" s="1"/>
      <c r="O105" s="1"/>
      <c r="P105" s="3"/>
      <c r="Q105" s="1"/>
      <c r="R105" s="1"/>
      <c r="S105" s="1"/>
      <c r="T105" s="1"/>
      <c r="U105" s="1"/>
      <c r="V105" s="1"/>
      <c r="W105" s="1"/>
      <c r="X105" s="1"/>
      <c r="Y105" s="1"/>
      <c r="Z105" s="1"/>
      <c r="AA105" s="1"/>
      <c r="AB105" s="1"/>
    </row>
    <row r="106" ht="15.75" customHeight="1">
      <c r="A106" s="1"/>
      <c r="B106" s="1"/>
      <c r="C106" s="1"/>
      <c r="D106" s="1"/>
      <c r="E106" s="1"/>
      <c r="F106" s="1"/>
      <c r="G106" s="110"/>
      <c r="H106" s="1"/>
      <c r="I106" s="1"/>
      <c r="J106" s="1"/>
      <c r="K106" s="1"/>
      <c r="L106" s="1"/>
      <c r="M106" s="1"/>
      <c r="N106" s="1"/>
      <c r="O106" s="1"/>
      <c r="P106" s="3"/>
      <c r="Q106" s="1"/>
      <c r="R106" s="1"/>
      <c r="S106" s="1"/>
      <c r="T106" s="1"/>
      <c r="U106" s="1"/>
      <c r="V106" s="1"/>
      <c r="W106" s="1"/>
      <c r="X106" s="1"/>
      <c r="Y106" s="1"/>
      <c r="Z106" s="1"/>
      <c r="AA106" s="1"/>
      <c r="AB106" s="1"/>
    </row>
    <row r="107" ht="15.75" customHeight="1">
      <c r="A107" s="1"/>
      <c r="B107" s="1"/>
      <c r="C107" s="1"/>
      <c r="D107" s="1"/>
      <c r="E107" s="1"/>
      <c r="F107" s="1"/>
      <c r="G107" s="110"/>
      <c r="H107" s="1"/>
      <c r="I107" s="1"/>
      <c r="J107" s="1"/>
      <c r="K107" s="1"/>
      <c r="L107" s="1"/>
      <c r="M107" s="1"/>
      <c r="N107" s="1"/>
      <c r="O107" s="1"/>
      <c r="P107" s="3"/>
      <c r="Q107" s="1"/>
      <c r="R107" s="1"/>
      <c r="S107" s="1"/>
      <c r="T107" s="1"/>
      <c r="U107" s="1"/>
      <c r="V107" s="1"/>
      <c r="W107" s="1"/>
      <c r="X107" s="1"/>
      <c r="Y107" s="1"/>
      <c r="Z107" s="1"/>
      <c r="AA107" s="1"/>
      <c r="AB107" s="1"/>
    </row>
    <row r="108" ht="15.75" customHeight="1">
      <c r="A108" s="1"/>
      <c r="B108" s="1"/>
      <c r="C108" s="1"/>
      <c r="D108" s="1"/>
      <c r="E108" s="1"/>
      <c r="F108" s="1"/>
      <c r="G108" s="110"/>
      <c r="H108" s="1"/>
      <c r="I108" s="1"/>
      <c r="J108" s="1"/>
      <c r="K108" s="1"/>
      <c r="L108" s="1"/>
      <c r="M108" s="1"/>
      <c r="N108" s="1"/>
      <c r="O108" s="1"/>
      <c r="P108" s="3"/>
      <c r="Q108" s="1"/>
      <c r="R108" s="1"/>
      <c r="S108" s="1"/>
      <c r="T108" s="1"/>
      <c r="U108" s="1"/>
      <c r="V108" s="1"/>
      <c r="W108" s="1"/>
      <c r="X108" s="1"/>
      <c r="Y108" s="1"/>
      <c r="Z108" s="1"/>
      <c r="AA108" s="1"/>
      <c r="AB108" s="1"/>
    </row>
    <row r="109" ht="15.75" customHeight="1">
      <c r="A109" s="1"/>
      <c r="B109" s="1"/>
      <c r="C109" s="1"/>
      <c r="D109" s="1"/>
      <c r="E109" s="1"/>
      <c r="F109" s="1"/>
      <c r="G109" s="110"/>
      <c r="H109" s="1"/>
      <c r="I109" s="1"/>
      <c r="J109" s="1"/>
      <c r="K109" s="1"/>
      <c r="L109" s="1"/>
      <c r="M109" s="1"/>
      <c r="N109" s="1"/>
      <c r="O109" s="1"/>
      <c r="P109" s="3"/>
      <c r="Q109" s="1"/>
      <c r="R109" s="1"/>
      <c r="S109" s="1"/>
      <c r="T109" s="1"/>
      <c r="U109" s="1"/>
      <c r="V109" s="1"/>
      <c r="W109" s="1"/>
      <c r="X109" s="1"/>
      <c r="Y109" s="1"/>
      <c r="Z109" s="1"/>
      <c r="AA109" s="1"/>
      <c r="AB109" s="1"/>
    </row>
    <row r="110" ht="15.75" customHeight="1">
      <c r="A110" s="1"/>
      <c r="B110" s="1"/>
      <c r="C110" s="1"/>
      <c r="D110" s="1"/>
      <c r="E110" s="1"/>
      <c r="F110" s="1"/>
      <c r="G110" s="110"/>
      <c r="H110" s="1"/>
      <c r="I110" s="1"/>
      <c r="J110" s="1"/>
      <c r="K110" s="1"/>
      <c r="L110" s="1"/>
      <c r="M110" s="1"/>
      <c r="N110" s="1"/>
      <c r="O110" s="1"/>
      <c r="P110" s="3"/>
      <c r="Q110" s="1"/>
      <c r="R110" s="1"/>
      <c r="S110" s="1"/>
      <c r="T110" s="1"/>
      <c r="U110" s="1"/>
      <c r="V110" s="1"/>
      <c r="W110" s="1"/>
      <c r="X110" s="1"/>
      <c r="Y110" s="1"/>
      <c r="Z110" s="1"/>
      <c r="AA110" s="1"/>
      <c r="AB110" s="1"/>
    </row>
    <row r="111" ht="15.75" customHeight="1">
      <c r="A111" s="1"/>
      <c r="B111" s="1"/>
      <c r="C111" s="1"/>
      <c r="D111" s="1"/>
      <c r="E111" s="1"/>
      <c r="F111" s="1"/>
      <c r="G111" s="110"/>
      <c r="H111" s="1"/>
      <c r="I111" s="1"/>
      <c r="J111" s="1"/>
      <c r="K111" s="1"/>
      <c r="L111" s="1"/>
      <c r="M111" s="1"/>
      <c r="N111" s="1"/>
      <c r="O111" s="1"/>
      <c r="P111" s="3"/>
      <c r="Q111" s="1"/>
      <c r="R111" s="1"/>
      <c r="S111" s="1"/>
      <c r="T111" s="1"/>
      <c r="U111" s="1"/>
      <c r="V111" s="1"/>
      <c r="W111" s="1"/>
      <c r="X111" s="1"/>
      <c r="Y111" s="1"/>
      <c r="Z111" s="1"/>
      <c r="AA111" s="1"/>
      <c r="AB111" s="1"/>
    </row>
    <row r="112" ht="15.75" customHeight="1">
      <c r="A112" s="1"/>
      <c r="B112" s="1"/>
      <c r="C112" s="1"/>
      <c r="D112" s="1"/>
      <c r="E112" s="1"/>
      <c r="F112" s="1"/>
      <c r="G112" s="110"/>
      <c r="H112" s="1"/>
      <c r="I112" s="1"/>
      <c r="J112" s="1"/>
      <c r="K112" s="1"/>
      <c r="L112" s="1"/>
      <c r="M112" s="1"/>
      <c r="N112" s="1"/>
      <c r="O112" s="1"/>
      <c r="P112" s="3"/>
      <c r="Q112" s="1"/>
      <c r="R112" s="1"/>
      <c r="S112" s="1"/>
      <c r="T112" s="1"/>
      <c r="U112" s="1"/>
      <c r="V112" s="1"/>
      <c r="W112" s="1"/>
      <c r="X112" s="1"/>
      <c r="Y112" s="1"/>
      <c r="Z112" s="1"/>
      <c r="AA112" s="1"/>
      <c r="AB112" s="1"/>
    </row>
    <row r="113" ht="15.75" customHeight="1">
      <c r="A113" s="1"/>
      <c r="B113" s="1"/>
      <c r="C113" s="1"/>
      <c r="D113" s="1"/>
      <c r="E113" s="1"/>
      <c r="F113" s="1"/>
      <c r="G113" s="110"/>
      <c r="H113" s="1"/>
      <c r="I113" s="1"/>
      <c r="J113" s="1"/>
      <c r="K113" s="1"/>
      <c r="L113" s="1"/>
      <c r="M113" s="1"/>
      <c r="N113" s="1"/>
      <c r="O113" s="1"/>
      <c r="P113" s="3"/>
      <c r="Q113" s="1"/>
      <c r="R113" s="1"/>
      <c r="S113" s="1"/>
      <c r="T113" s="1"/>
      <c r="U113" s="1"/>
      <c r="V113" s="1"/>
      <c r="W113" s="1"/>
      <c r="X113" s="1"/>
      <c r="Y113" s="1"/>
      <c r="Z113" s="1"/>
      <c r="AA113" s="1"/>
      <c r="AB113" s="1"/>
    </row>
    <row r="114" ht="15.75" customHeight="1">
      <c r="A114" s="1"/>
      <c r="B114" s="1"/>
      <c r="C114" s="1"/>
      <c r="D114" s="1"/>
      <c r="E114" s="1"/>
      <c r="F114" s="1"/>
      <c r="G114" s="110"/>
      <c r="H114" s="1"/>
      <c r="I114" s="1"/>
      <c r="J114" s="1"/>
      <c r="K114" s="1"/>
      <c r="L114" s="1"/>
      <c r="M114" s="1"/>
      <c r="N114" s="1"/>
      <c r="O114" s="1"/>
      <c r="P114" s="3"/>
      <c r="Q114" s="1"/>
      <c r="R114" s="1"/>
      <c r="S114" s="1"/>
      <c r="T114" s="1"/>
      <c r="U114" s="1"/>
      <c r="V114" s="1"/>
      <c r="W114" s="1"/>
      <c r="X114" s="1"/>
      <c r="Y114" s="1"/>
      <c r="Z114" s="1"/>
      <c r="AA114" s="1"/>
      <c r="AB114" s="1"/>
    </row>
    <row r="115" ht="15.75" customHeight="1">
      <c r="A115" s="1"/>
      <c r="B115" s="1"/>
      <c r="C115" s="1"/>
      <c r="D115" s="1"/>
      <c r="E115" s="1"/>
      <c r="F115" s="1"/>
      <c r="G115" s="110"/>
      <c r="H115" s="1"/>
      <c r="I115" s="1"/>
      <c r="J115" s="1"/>
      <c r="K115" s="1"/>
      <c r="L115" s="1"/>
      <c r="M115" s="1"/>
      <c r="N115" s="1"/>
      <c r="O115" s="1"/>
      <c r="P115" s="3"/>
      <c r="Q115" s="1"/>
      <c r="R115" s="1"/>
      <c r="S115" s="1"/>
      <c r="T115" s="1"/>
      <c r="U115" s="1"/>
      <c r="V115" s="1"/>
      <c r="W115" s="1"/>
      <c r="X115" s="1"/>
      <c r="Y115" s="1"/>
      <c r="Z115" s="1"/>
      <c r="AA115" s="1"/>
      <c r="AB115" s="1"/>
    </row>
    <row r="116" ht="15.75" customHeight="1">
      <c r="A116" s="1"/>
      <c r="B116" s="1"/>
      <c r="C116" s="1"/>
      <c r="D116" s="1"/>
      <c r="E116" s="1"/>
      <c r="F116" s="1"/>
      <c r="G116" s="110"/>
      <c r="H116" s="1"/>
      <c r="I116" s="1"/>
      <c r="J116" s="1"/>
      <c r="K116" s="1"/>
      <c r="L116" s="1"/>
      <c r="M116" s="1"/>
      <c r="N116" s="1"/>
      <c r="O116" s="1"/>
      <c r="P116" s="3"/>
      <c r="Q116" s="1"/>
      <c r="R116" s="1"/>
      <c r="S116" s="1"/>
      <c r="T116" s="1"/>
      <c r="U116" s="1"/>
      <c r="V116" s="1"/>
      <c r="W116" s="1"/>
      <c r="X116" s="1"/>
      <c r="Y116" s="1"/>
      <c r="Z116" s="1"/>
      <c r="AA116" s="1"/>
      <c r="AB116" s="1"/>
    </row>
    <row r="117" ht="15.75" customHeight="1">
      <c r="A117" s="1"/>
      <c r="B117" s="1"/>
      <c r="C117" s="1"/>
      <c r="D117" s="1"/>
      <c r="E117" s="1"/>
      <c r="F117" s="1"/>
      <c r="G117" s="110"/>
      <c r="H117" s="1"/>
      <c r="I117" s="1"/>
      <c r="J117" s="1"/>
      <c r="K117" s="1"/>
      <c r="L117" s="1"/>
      <c r="M117" s="1"/>
      <c r="N117" s="1"/>
      <c r="O117" s="1"/>
      <c r="P117" s="3"/>
      <c r="Q117" s="1"/>
      <c r="R117" s="1"/>
      <c r="S117" s="1"/>
      <c r="T117" s="1"/>
      <c r="U117" s="1"/>
      <c r="V117" s="1"/>
      <c r="W117" s="1"/>
      <c r="X117" s="1"/>
      <c r="Y117" s="1"/>
      <c r="Z117" s="1"/>
      <c r="AA117" s="1"/>
      <c r="AB117" s="1"/>
    </row>
    <row r="118" ht="15.75" customHeight="1">
      <c r="A118" s="1"/>
      <c r="B118" s="1"/>
      <c r="C118" s="1"/>
      <c r="D118" s="1"/>
      <c r="E118" s="1"/>
      <c r="F118" s="1"/>
      <c r="G118" s="110"/>
      <c r="H118" s="1"/>
      <c r="I118" s="1"/>
      <c r="J118" s="1"/>
      <c r="K118" s="1"/>
      <c r="L118" s="1"/>
      <c r="M118" s="1"/>
      <c r="N118" s="1"/>
      <c r="O118" s="1"/>
      <c r="P118" s="3"/>
      <c r="Q118" s="1"/>
      <c r="R118" s="1"/>
      <c r="S118" s="1"/>
      <c r="T118" s="1"/>
      <c r="U118" s="1"/>
      <c r="V118" s="1"/>
      <c r="W118" s="1"/>
      <c r="X118" s="1"/>
      <c r="Y118" s="1"/>
      <c r="Z118" s="1"/>
      <c r="AA118" s="1"/>
      <c r="AB118" s="1"/>
    </row>
    <row r="119" ht="15.75" customHeight="1">
      <c r="A119" s="1"/>
      <c r="B119" s="1"/>
      <c r="C119" s="1"/>
      <c r="D119" s="1"/>
      <c r="E119" s="1"/>
      <c r="F119" s="1"/>
      <c r="G119" s="110"/>
      <c r="H119" s="1"/>
      <c r="I119" s="1"/>
      <c r="J119" s="1"/>
      <c r="K119" s="1"/>
      <c r="L119" s="1"/>
      <c r="M119" s="1"/>
      <c r="N119" s="1"/>
      <c r="O119" s="1"/>
      <c r="P119" s="3"/>
      <c r="Q119" s="1"/>
      <c r="R119" s="1"/>
      <c r="S119" s="1"/>
      <c r="T119" s="1"/>
      <c r="U119" s="1"/>
      <c r="V119" s="1"/>
      <c r="W119" s="1"/>
      <c r="X119" s="1"/>
      <c r="Y119" s="1"/>
      <c r="Z119" s="1"/>
      <c r="AA119" s="1"/>
      <c r="AB119" s="1"/>
    </row>
    <row r="120" ht="15.75" customHeight="1">
      <c r="A120" s="1"/>
      <c r="B120" s="1"/>
      <c r="C120" s="1"/>
      <c r="D120" s="1"/>
      <c r="E120" s="1"/>
      <c r="F120" s="1"/>
      <c r="G120" s="110"/>
      <c r="H120" s="1"/>
      <c r="I120" s="1"/>
      <c r="J120" s="1"/>
      <c r="K120" s="1"/>
      <c r="L120" s="1"/>
      <c r="M120" s="1"/>
      <c r="N120" s="1"/>
      <c r="O120" s="1"/>
      <c r="P120" s="3"/>
      <c r="Q120" s="1"/>
      <c r="R120" s="1"/>
      <c r="S120" s="1"/>
      <c r="T120" s="1"/>
      <c r="U120" s="1"/>
      <c r="V120" s="1"/>
      <c r="W120" s="1"/>
      <c r="X120" s="1"/>
      <c r="Y120" s="1"/>
      <c r="Z120" s="1"/>
      <c r="AA120" s="1"/>
      <c r="AB120" s="1"/>
    </row>
    <row r="121" ht="15.75" customHeight="1">
      <c r="A121" s="1"/>
      <c r="B121" s="1"/>
      <c r="C121" s="1"/>
      <c r="D121" s="1"/>
      <c r="E121" s="1"/>
      <c r="F121" s="1"/>
      <c r="G121" s="110"/>
      <c r="H121" s="1"/>
      <c r="I121" s="1"/>
      <c r="J121" s="1"/>
      <c r="K121" s="1"/>
      <c r="L121" s="1"/>
      <c r="M121" s="1"/>
      <c r="N121" s="1"/>
      <c r="O121" s="1"/>
      <c r="P121" s="3"/>
      <c r="Q121" s="1"/>
      <c r="R121" s="1"/>
      <c r="S121" s="1"/>
      <c r="T121" s="1"/>
      <c r="U121" s="1"/>
      <c r="V121" s="1"/>
      <c r="W121" s="1"/>
      <c r="X121" s="1"/>
      <c r="Y121" s="1"/>
      <c r="Z121" s="1"/>
      <c r="AA121" s="1"/>
      <c r="AB121" s="1"/>
    </row>
    <row r="122" ht="15.75" customHeight="1">
      <c r="A122" s="1"/>
      <c r="B122" s="1"/>
      <c r="C122" s="1"/>
      <c r="D122" s="1"/>
      <c r="E122" s="1"/>
      <c r="F122" s="1"/>
      <c r="G122" s="110"/>
      <c r="H122" s="1"/>
      <c r="I122" s="1"/>
      <c r="J122" s="1"/>
      <c r="K122" s="1"/>
      <c r="L122" s="1"/>
      <c r="M122" s="1"/>
      <c r="N122" s="1"/>
      <c r="O122" s="1"/>
      <c r="P122" s="3"/>
      <c r="Q122" s="1"/>
      <c r="R122" s="1"/>
      <c r="S122" s="1"/>
      <c r="T122" s="1"/>
      <c r="U122" s="1"/>
      <c r="V122" s="1"/>
      <c r="W122" s="1"/>
      <c r="X122" s="1"/>
      <c r="Y122" s="1"/>
      <c r="Z122" s="1"/>
      <c r="AA122" s="1"/>
      <c r="AB122" s="1"/>
    </row>
    <row r="123" ht="15.75" customHeight="1">
      <c r="A123" s="1"/>
      <c r="B123" s="1"/>
      <c r="C123" s="1"/>
      <c r="D123" s="1"/>
      <c r="E123" s="1"/>
      <c r="F123" s="1"/>
      <c r="G123" s="110"/>
      <c r="H123" s="1"/>
      <c r="I123" s="1"/>
      <c r="J123" s="1"/>
      <c r="K123" s="1"/>
      <c r="L123" s="1"/>
      <c r="M123" s="1"/>
      <c r="N123" s="1"/>
      <c r="O123" s="1"/>
      <c r="P123" s="3"/>
      <c r="Q123" s="1"/>
      <c r="R123" s="1"/>
      <c r="S123" s="1"/>
      <c r="T123" s="1"/>
      <c r="U123" s="1"/>
      <c r="V123" s="1"/>
      <c r="W123" s="1"/>
      <c r="X123" s="1"/>
      <c r="Y123" s="1"/>
      <c r="Z123" s="1"/>
      <c r="AA123" s="1"/>
      <c r="AB123" s="1"/>
    </row>
    <row r="124" ht="15.75" customHeight="1">
      <c r="A124" s="1"/>
      <c r="B124" s="1"/>
      <c r="C124" s="1"/>
      <c r="D124" s="1"/>
      <c r="E124" s="1"/>
      <c r="F124" s="1"/>
      <c r="G124" s="110"/>
      <c r="H124" s="1"/>
      <c r="I124" s="1"/>
      <c r="J124" s="1"/>
      <c r="K124" s="1"/>
      <c r="L124" s="1"/>
      <c r="M124" s="1"/>
      <c r="N124" s="1"/>
      <c r="O124" s="1"/>
      <c r="P124" s="3"/>
      <c r="Q124" s="1"/>
      <c r="R124" s="1"/>
      <c r="S124" s="1"/>
      <c r="T124" s="1"/>
      <c r="U124" s="1"/>
      <c r="V124" s="1"/>
      <c r="W124" s="1"/>
      <c r="X124" s="1"/>
      <c r="Y124" s="1"/>
      <c r="Z124" s="1"/>
      <c r="AA124" s="1"/>
      <c r="AB124" s="1"/>
    </row>
    <row r="125" ht="15.75" customHeight="1">
      <c r="A125" s="1"/>
      <c r="B125" s="1"/>
      <c r="C125" s="1"/>
      <c r="D125" s="1"/>
      <c r="E125" s="1"/>
      <c r="F125" s="1"/>
      <c r="G125" s="110"/>
      <c r="H125" s="1"/>
      <c r="I125" s="1"/>
      <c r="J125" s="1"/>
      <c r="K125" s="1"/>
      <c r="L125" s="1"/>
      <c r="M125" s="1"/>
      <c r="N125" s="1"/>
      <c r="O125" s="1"/>
      <c r="P125" s="3"/>
      <c r="Q125" s="1"/>
      <c r="R125" s="1"/>
      <c r="S125" s="1"/>
      <c r="T125" s="1"/>
      <c r="U125" s="1"/>
      <c r="V125" s="1"/>
      <c r="W125" s="1"/>
      <c r="X125" s="1"/>
      <c r="Y125" s="1"/>
      <c r="Z125" s="1"/>
      <c r="AA125" s="1"/>
      <c r="AB125" s="1"/>
    </row>
    <row r="126" ht="15.75" customHeight="1">
      <c r="A126" s="1"/>
      <c r="B126" s="1"/>
      <c r="C126" s="1"/>
      <c r="D126" s="1"/>
      <c r="E126" s="1"/>
      <c r="F126" s="1"/>
      <c r="G126" s="110"/>
      <c r="H126" s="1"/>
      <c r="I126" s="1"/>
      <c r="J126" s="1"/>
      <c r="K126" s="1"/>
      <c r="L126" s="1"/>
      <c r="M126" s="1"/>
      <c r="N126" s="1"/>
      <c r="O126" s="1"/>
      <c r="P126" s="3"/>
      <c r="Q126" s="1"/>
      <c r="R126" s="1"/>
      <c r="S126" s="1"/>
      <c r="T126" s="1"/>
      <c r="U126" s="1"/>
      <c r="V126" s="1"/>
      <c r="W126" s="1"/>
      <c r="X126" s="1"/>
      <c r="Y126" s="1"/>
      <c r="Z126" s="1"/>
      <c r="AA126" s="1"/>
      <c r="AB126" s="1"/>
    </row>
    <row r="127" ht="15.75" customHeight="1">
      <c r="A127" s="1"/>
      <c r="B127" s="1"/>
      <c r="C127" s="1"/>
      <c r="D127" s="1"/>
      <c r="E127" s="1"/>
      <c r="F127" s="1"/>
      <c r="G127" s="110"/>
      <c r="H127" s="1"/>
      <c r="I127" s="1"/>
      <c r="J127" s="1"/>
      <c r="K127" s="1"/>
      <c r="L127" s="1"/>
      <c r="M127" s="1"/>
      <c r="N127" s="1"/>
      <c r="O127" s="1"/>
      <c r="P127" s="3"/>
      <c r="Q127" s="1"/>
      <c r="R127" s="1"/>
      <c r="S127" s="1"/>
      <c r="T127" s="1"/>
      <c r="U127" s="1"/>
      <c r="V127" s="1"/>
      <c r="W127" s="1"/>
      <c r="X127" s="1"/>
      <c r="Y127" s="1"/>
      <c r="Z127" s="1"/>
      <c r="AA127" s="1"/>
      <c r="AB127" s="1"/>
    </row>
    <row r="128" ht="15.75" customHeight="1">
      <c r="A128" s="1"/>
      <c r="B128" s="1"/>
      <c r="C128" s="1"/>
      <c r="D128" s="1"/>
      <c r="E128" s="1"/>
      <c r="F128" s="1"/>
      <c r="G128" s="110"/>
      <c r="H128" s="1"/>
      <c r="I128" s="1"/>
      <c r="J128" s="1"/>
      <c r="K128" s="1"/>
      <c r="L128" s="1"/>
      <c r="M128" s="1"/>
      <c r="N128" s="1"/>
      <c r="O128" s="1"/>
      <c r="P128" s="3"/>
      <c r="Q128" s="1"/>
      <c r="R128" s="1"/>
      <c r="S128" s="1"/>
      <c r="T128" s="1"/>
      <c r="U128" s="1"/>
      <c r="V128" s="1"/>
      <c r="W128" s="1"/>
      <c r="X128" s="1"/>
      <c r="Y128" s="1"/>
      <c r="Z128" s="1"/>
      <c r="AA128" s="1"/>
      <c r="AB128" s="1"/>
    </row>
    <row r="129" ht="15.75" customHeight="1">
      <c r="A129" s="1"/>
      <c r="B129" s="1"/>
      <c r="C129" s="1"/>
      <c r="D129" s="1"/>
      <c r="E129" s="1"/>
      <c r="F129" s="1"/>
      <c r="G129" s="110"/>
      <c r="H129" s="1"/>
      <c r="I129" s="1"/>
      <c r="J129" s="1"/>
      <c r="K129" s="1"/>
      <c r="L129" s="1"/>
      <c r="M129" s="1"/>
      <c r="N129" s="1"/>
      <c r="O129" s="1"/>
      <c r="P129" s="3"/>
      <c r="Q129" s="1"/>
      <c r="R129" s="1"/>
      <c r="S129" s="1"/>
      <c r="T129" s="1"/>
      <c r="U129" s="1"/>
      <c r="V129" s="1"/>
      <c r="W129" s="1"/>
      <c r="X129" s="1"/>
      <c r="Y129" s="1"/>
      <c r="Z129" s="1"/>
      <c r="AA129" s="1"/>
      <c r="AB129" s="1"/>
    </row>
    <row r="130" ht="15.75" customHeight="1">
      <c r="A130" s="1"/>
      <c r="B130" s="1"/>
      <c r="C130" s="1"/>
      <c r="D130" s="1"/>
      <c r="E130" s="1"/>
      <c r="F130" s="1"/>
      <c r="G130" s="110"/>
      <c r="H130" s="1"/>
      <c r="I130" s="1"/>
      <c r="J130" s="1"/>
      <c r="K130" s="1"/>
      <c r="L130" s="1"/>
      <c r="M130" s="1"/>
      <c r="N130" s="1"/>
      <c r="O130" s="1"/>
      <c r="P130" s="3"/>
      <c r="Q130" s="1"/>
      <c r="R130" s="1"/>
      <c r="S130" s="1"/>
      <c r="T130" s="1"/>
      <c r="U130" s="1"/>
      <c r="V130" s="1"/>
      <c r="W130" s="1"/>
      <c r="X130" s="1"/>
      <c r="Y130" s="1"/>
      <c r="Z130" s="1"/>
      <c r="AA130" s="1"/>
      <c r="AB130" s="1"/>
    </row>
    <row r="131" ht="15.75" customHeight="1">
      <c r="A131" s="1"/>
      <c r="B131" s="1"/>
      <c r="C131" s="1"/>
      <c r="D131" s="1"/>
      <c r="E131" s="1"/>
      <c r="F131" s="1"/>
      <c r="G131" s="110"/>
      <c r="H131" s="1"/>
      <c r="I131" s="1"/>
      <c r="J131" s="1"/>
      <c r="K131" s="1"/>
      <c r="L131" s="1"/>
      <c r="M131" s="1"/>
      <c r="N131" s="1"/>
      <c r="O131" s="1"/>
      <c r="P131" s="3"/>
      <c r="Q131" s="1"/>
      <c r="R131" s="1"/>
      <c r="S131" s="1"/>
      <c r="T131" s="1"/>
      <c r="U131" s="1"/>
      <c r="V131" s="1"/>
      <c r="W131" s="1"/>
      <c r="X131" s="1"/>
      <c r="Y131" s="1"/>
      <c r="Z131" s="1"/>
      <c r="AA131" s="1"/>
      <c r="AB131" s="1"/>
    </row>
    <row r="132" ht="15.75" customHeight="1">
      <c r="A132" s="1"/>
      <c r="B132" s="1"/>
      <c r="C132" s="1"/>
      <c r="D132" s="1"/>
      <c r="E132" s="1"/>
      <c r="F132" s="1"/>
      <c r="G132" s="110"/>
      <c r="H132" s="1"/>
      <c r="I132" s="1"/>
      <c r="J132" s="1"/>
      <c r="K132" s="1"/>
      <c r="L132" s="1"/>
      <c r="M132" s="1"/>
      <c r="N132" s="1"/>
      <c r="O132" s="1"/>
      <c r="P132" s="3"/>
      <c r="Q132" s="1"/>
      <c r="R132" s="1"/>
      <c r="S132" s="1"/>
      <c r="T132" s="1"/>
      <c r="U132" s="1"/>
      <c r="V132" s="1"/>
      <c r="W132" s="1"/>
      <c r="X132" s="1"/>
      <c r="Y132" s="1"/>
      <c r="Z132" s="1"/>
      <c r="AA132" s="1"/>
      <c r="AB132" s="1"/>
    </row>
    <row r="133" ht="15.75" customHeight="1">
      <c r="A133" s="1"/>
      <c r="B133" s="1"/>
      <c r="C133" s="1"/>
      <c r="D133" s="1"/>
      <c r="E133" s="1"/>
      <c r="F133" s="1"/>
      <c r="G133" s="110"/>
      <c r="H133" s="1"/>
      <c r="I133" s="1"/>
      <c r="J133" s="1"/>
      <c r="K133" s="1"/>
      <c r="L133" s="1"/>
      <c r="M133" s="1"/>
      <c r="N133" s="1"/>
      <c r="O133" s="1"/>
      <c r="P133" s="3"/>
      <c r="Q133" s="1"/>
      <c r="R133" s="1"/>
      <c r="S133" s="1"/>
      <c r="T133" s="1"/>
      <c r="U133" s="1"/>
      <c r="V133" s="1"/>
      <c r="W133" s="1"/>
      <c r="X133" s="1"/>
      <c r="Y133" s="1"/>
      <c r="Z133" s="1"/>
      <c r="AA133" s="1"/>
      <c r="AB133" s="1"/>
    </row>
    <row r="134" ht="15.75" customHeight="1">
      <c r="A134" s="1"/>
      <c r="B134" s="1"/>
      <c r="C134" s="1"/>
      <c r="D134" s="1"/>
      <c r="E134" s="1"/>
      <c r="F134" s="1"/>
      <c r="G134" s="110"/>
      <c r="H134" s="1"/>
      <c r="I134" s="1"/>
      <c r="J134" s="1"/>
      <c r="K134" s="1"/>
      <c r="L134" s="1"/>
      <c r="M134" s="1"/>
      <c r="N134" s="1"/>
      <c r="O134" s="1"/>
      <c r="P134" s="3"/>
      <c r="Q134" s="1"/>
      <c r="R134" s="1"/>
      <c r="S134" s="1"/>
      <c r="T134" s="1"/>
      <c r="U134" s="1"/>
      <c r="V134" s="1"/>
      <c r="W134" s="1"/>
      <c r="X134" s="1"/>
      <c r="Y134" s="1"/>
      <c r="Z134" s="1"/>
      <c r="AA134" s="1"/>
      <c r="AB134" s="1"/>
    </row>
    <row r="135" ht="15.75" customHeight="1">
      <c r="A135" s="1"/>
      <c r="B135" s="1"/>
      <c r="C135" s="1"/>
      <c r="D135" s="1"/>
      <c r="E135" s="1"/>
      <c r="F135" s="1"/>
      <c r="G135" s="110"/>
      <c r="H135" s="1"/>
      <c r="I135" s="1"/>
      <c r="J135" s="1"/>
      <c r="K135" s="1"/>
      <c r="L135" s="1"/>
      <c r="M135" s="1"/>
      <c r="N135" s="1"/>
      <c r="O135" s="1"/>
      <c r="P135" s="3"/>
      <c r="Q135" s="1"/>
      <c r="R135" s="1"/>
      <c r="S135" s="1"/>
      <c r="T135" s="1"/>
      <c r="U135" s="1"/>
      <c r="V135" s="1"/>
      <c r="W135" s="1"/>
      <c r="X135" s="1"/>
      <c r="Y135" s="1"/>
      <c r="Z135" s="1"/>
      <c r="AA135" s="1"/>
      <c r="AB135" s="1"/>
    </row>
    <row r="136" ht="15.75" customHeight="1">
      <c r="A136" s="1"/>
      <c r="B136" s="1"/>
      <c r="C136" s="1"/>
      <c r="D136" s="1"/>
      <c r="E136" s="1"/>
      <c r="F136" s="1"/>
      <c r="G136" s="110"/>
      <c r="H136" s="1"/>
      <c r="I136" s="1"/>
      <c r="J136" s="1"/>
      <c r="K136" s="1"/>
      <c r="L136" s="1"/>
      <c r="M136" s="1"/>
      <c r="N136" s="1"/>
      <c r="O136" s="1"/>
      <c r="P136" s="3"/>
      <c r="Q136" s="1"/>
      <c r="R136" s="1"/>
      <c r="S136" s="1"/>
      <c r="T136" s="1"/>
      <c r="U136" s="1"/>
      <c r="V136" s="1"/>
      <c r="W136" s="1"/>
      <c r="X136" s="1"/>
      <c r="Y136" s="1"/>
      <c r="Z136" s="1"/>
      <c r="AA136" s="1"/>
      <c r="AB136" s="1"/>
    </row>
    <row r="137" ht="15.75" customHeight="1">
      <c r="A137" s="1"/>
      <c r="B137" s="1"/>
      <c r="C137" s="1"/>
      <c r="D137" s="1"/>
      <c r="E137" s="1"/>
      <c r="F137" s="1"/>
      <c r="G137" s="110"/>
      <c r="H137" s="1"/>
      <c r="I137" s="1"/>
      <c r="J137" s="1"/>
      <c r="K137" s="1"/>
      <c r="L137" s="1"/>
      <c r="M137" s="1"/>
      <c r="N137" s="1"/>
      <c r="O137" s="1"/>
      <c r="P137" s="3"/>
      <c r="Q137" s="1"/>
      <c r="R137" s="1"/>
      <c r="S137" s="1"/>
      <c r="T137" s="1"/>
      <c r="U137" s="1"/>
      <c r="V137" s="1"/>
      <c r="W137" s="1"/>
      <c r="X137" s="1"/>
      <c r="Y137" s="1"/>
      <c r="Z137" s="1"/>
      <c r="AA137" s="1"/>
      <c r="AB137" s="1"/>
    </row>
    <row r="138" ht="15.75" customHeight="1">
      <c r="A138" s="1"/>
      <c r="B138" s="1"/>
      <c r="C138" s="1"/>
      <c r="D138" s="1"/>
      <c r="E138" s="1"/>
      <c r="F138" s="1"/>
      <c r="G138" s="110"/>
      <c r="H138" s="1"/>
      <c r="I138" s="1"/>
      <c r="J138" s="1"/>
      <c r="K138" s="1"/>
      <c r="L138" s="1"/>
      <c r="M138" s="1"/>
      <c r="N138" s="1"/>
      <c r="O138" s="1"/>
      <c r="P138" s="3"/>
      <c r="Q138" s="1"/>
      <c r="R138" s="1"/>
      <c r="S138" s="1"/>
      <c r="T138" s="1"/>
      <c r="U138" s="1"/>
      <c r="V138" s="1"/>
      <c r="W138" s="1"/>
      <c r="X138" s="1"/>
      <c r="Y138" s="1"/>
      <c r="Z138" s="1"/>
      <c r="AA138" s="1"/>
      <c r="AB138" s="1"/>
    </row>
    <row r="139" ht="15.75" customHeight="1">
      <c r="A139" s="1"/>
      <c r="B139" s="1"/>
      <c r="C139" s="1"/>
      <c r="D139" s="1"/>
      <c r="E139" s="1"/>
      <c r="F139" s="1"/>
      <c r="G139" s="110"/>
      <c r="H139" s="1"/>
      <c r="I139" s="1"/>
      <c r="J139" s="1"/>
      <c r="K139" s="1"/>
      <c r="L139" s="1"/>
      <c r="M139" s="1"/>
      <c r="N139" s="1"/>
      <c r="O139" s="1"/>
      <c r="P139" s="3"/>
      <c r="Q139" s="1"/>
      <c r="R139" s="1"/>
      <c r="S139" s="1"/>
      <c r="T139" s="1"/>
      <c r="U139" s="1"/>
      <c r="V139" s="1"/>
      <c r="W139" s="1"/>
      <c r="X139" s="1"/>
      <c r="Y139" s="1"/>
      <c r="Z139" s="1"/>
      <c r="AA139" s="1"/>
      <c r="AB139" s="1"/>
    </row>
    <row r="140" ht="15.75" customHeight="1">
      <c r="A140" s="1"/>
      <c r="B140" s="1"/>
      <c r="C140" s="1"/>
      <c r="D140" s="1"/>
      <c r="E140" s="1"/>
      <c r="F140" s="1"/>
      <c r="G140" s="110"/>
      <c r="H140" s="1"/>
      <c r="I140" s="1"/>
      <c r="J140" s="1"/>
      <c r="K140" s="1"/>
      <c r="L140" s="1"/>
      <c r="M140" s="1"/>
      <c r="N140" s="1"/>
      <c r="O140" s="1"/>
      <c r="P140" s="3"/>
      <c r="Q140" s="1"/>
      <c r="R140" s="1"/>
      <c r="S140" s="1"/>
      <c r="T140" s="1"/>
      <c r="U140" s="1"/>
      <c r="V140" s="1"/>
      <c r="W140" s="1"/>
      <c r="X140" s="1"/>
      <c r="Y140" s="1"/>
      <c r="Z140" s="1"/>
      <c r="AA140" s="1"/>
      <c r="AB140" s="1"/>
    </row>
    <row r="141" ht="15.75" customHeight="1">
      <c r="A141" s="1"/>
      <c r="B141" s="1"/>
      <c r="C141" s="1"/>
      <c r="D141" s="1"/>
      <c r="E141" s="1"/>
      <c r="F141" s="1"/>
      <c r="G141" s="110"/>
      <c r="H141" s="1"/>
      <c r="I141" s="1"/>
      <c r="J141" s="1"/>
      <c r="K141" s="1"/>
      <c r="L141" s="1"/>
      <c r="M141" s="1"/>
      <c r="N141" s="1"/>
      <c r="O141" s="1"/>
      <c r="P141" s="3"/>
      <c r="Q141" s="1"/>
      <c r="R141" s="1"/>
      <c r="S141" s="1"/>
      <c r="T141" s="1"/>
      <c r="U141" s="1"/>
      <c r="V141" s="1"/>
      <c r="W141" s="1"/>
      <c r="X141" s="1"/>
      <c r="Y141" s="1"/>
      <c r="Z141" s="1"/>
      <c r="AA141" s="1"/>
      <c r="AB141" s="1"/>
    </row>
    <row r="142" ht="15.75" customHeight="1">
      <c r="A142" s="1"/>
      <c r="B142" s="1"/>
      <c r="C142" s="1"/>
      <c r="D142" s="1"/>
      <c r="E142" s="1"/>
      <c r="F142" s="1"/>
      <c r="G142" s="110"/>
      <c r="H142" s="1"/>
      <c r="I142" s="1"/>
      <c r="J142" s="1"/>
      <c r="K142" s="1"/>
      <c r="L142" s="1"/>
      <c r="M142" s="1"/>
      <c r="N142" s="1"/>
      <c r="O142" s="1"/>
      <c r="P142" s="3"/>
      <c r="Q142" s="1"/>
      <c r="R142" s="1"/>
      <c r="S142" s="1"/>
      <c r="T142" s="1"/>
      <c r="U142" s="1"/>
      <c r="V142" s="1"/>
      <c r="W142" s="1"/>
      <c r="X142" s="1"/>
      <c r="Y142" s="1"/>
      <c r="Z142" s="1"/>
      <c r="AA142" s="1"/>
      <c r="AB142" s="1"/>
    </row>
    <row r="143" ht="15.75" customHeight="1">
      <c r="A143" s="1"/>
      <c r="B143" s="1"/>
      <c r="C143" s="1"/>
      <c r="D143" s="1"/>
      <c r="E143" s="1"/>
      <c r="F143" s="1"/>
      <c r="G143" s="110"/>
      <c r="H143" s="1"/>
      <c r="I143" s="1"/>
      <c r="J143" s="1"/>
      <c r="K143" s="1"/>
      <c r="L143" s="1"/>
      <c r="M143" s="1"/>
      <c r="N143" s="1"/>
      <c r="O143" s="1"/>
      <c r="P143" s="3"/>
      <c r="Q143" s="1"/>
      <c r="R143" s="1"/>
      <c r="S143" s="1"/>
      <c r="T143" s="1"/>
      <c r="U143" s="1"/>
      <c r="V143" s="1"/>
      <c r="W143" s="1"/>
      <c r="X143" s="1"/>
      <c r="Y143" s="1"/>
      <c r="Z143" s="1"/>
      <c r="AA143" s="1"/>
      <c r="AB143" s="1"/>
    </row>
    <row r="144" ht="15.75" customHeight="1">
      <c r="A144" s="1"/>
      <c r="B144" s="1"/>
      <c r="C144" s="1"/>
      <c r="D144" s="1"/>
      <c r="E144" s="1"/>
      <c r="F144" s="1"/>
      <c r="G144" s="110"/>
      <c r="H144" s="1"/>
      <c r="I144" s="1"/>
      <c r="J144" s="1"/>
      <c r="K144" s="1"/>
      <c r="L144" s="1"/>
      <c r="M144" s="1"/>
      <c r="N144" s="1"/>
      <c r="O144" s="1"/>
      <c r="P144" s="3"/>
      <c r="Q144" s="1"/>
      <c r="R144" s="1"/>
      <c r="S144" s="1"/>
      <c r="T144" s="1"/>
      <c r="U144" s="1"/>
      <c r="V144" s="1"/>
      <c r="W144" s="1"/>
      <c r="X144" s="1"/>
      <c r="Y144" s="1"/>
      <c r="Z144" s="1"/>
      <c r="AA144" s="1"/>
      <c r="AB144" s="1"/>
    </row>
    <row r="145" ht="15.75" customHeight="1">
      <c r="A145" s="1"/>
      <c r="B145" s="1"/>
      <c r="C145" s="1"/>
      <c r="D145" s="1"/>
      <c r="E145" s="1"/>
      <c r="F145" s="1"/>
      <c r="G145" s="110"/>
      <c r="H145" s="1"/>
      <c r="I145" s="1"/>
      <c r="J145" s="1"/>
      <c r="K145" s="1"/>
      <c r="L145" s="1"/>
      <c r="M145" s="1"/>
      <c r="N145" s="1"/>
      <c r="O145" s="1"/>
      <c r="P145" s="3"/>
      <c r="Q145" s="1"/>
      <c r="R145" s="1"/>
      <c r="S145" s="1"/>
      <c r="T145" s="1"/>
      <c r="U145" s="1"/>
      <c r="V145" s="1"/>
      <c r="W145" s="1"/>
      <c r="X145" s="1"/>
      <c r="Y145" s="1"/>
      <c r="Z145" s="1"/>
      <c r="AA145" s="1"/>
      <c r="AB145" s="1"/>
    </row>
    <row r="146" ht="15.75" customHeight="1">
      <c r="A146" s="1"/>
      <c r="B146" s="1"/>
      <c r="C146" s="1"/>
      <c r="D146" s="1"/>
      <c r="E146" s="1"/>
      <c r="F146" s="1"/>
      <c r="G146" s="110"/>
      <c r="H146" s="1"/>
      <c r="I146" s="1"/>
      <c r="J146" s="1"/>
      <c r="K146" s="1"/>
      <c r="L146" s="1"/>
      <c r="M146" s="1"/>
      <c r="N146" s="1"/>
      <c r="O146" s="1"/>
      <c r="P146" s="3"/>
      <c r="Q146" s="1"/>
      <c r="R146" s="1"/>
      <c r="S146" s="1"/>
      <c r="T146" s="1"/>
      <c r="U146" s="1"/>
      <c r="V146" s="1"/>
      <c r="W146" s="1"/>
      <c r="X146" s="1"/>
      <c r="Y146" s="1"/>
      <c r="Z146" s="1"/>
      <c r="AA146" s="1"/>
      <c r="AB146" s="1"/>
    </row>
    <row r="147" ht="15.75" customHeight="1">
      <c r="A147" s="1"/>
      <c r="B147" s="1"/>
      <c r="C147" s="1"/>
      <c r="D147" s="1"/>
      <c r="E147" s="1"/>
      <c r="F147" s="1"/>
      <c r="G147" s="110"/>
      <c r="H147" s="1"/>
      <c r="I147" s="1"/>
      <c r="J147" s="1"/>
      <c r="K147" s="1"/>
      <c r="L147" s="1"/>
      <c r="M147" s="1"/>
      <c r="N147" s="1"/>
      <c r="O147" s="1"/>
      <c r="P147" s="3"/>
      <c r="Q147" s="1"/>
      <c r="R147" s="1"/>
      <c r="S147" s="1"/>
      <c r="T147" s="1"/>
      <c r="U147" s="1"/>
      <c r="V147" s="1"/>
      <c r="W147" s="1"/>
      <c r="X147" s="1"/>
      <c r="Y147" s="1"/>
      <c r="Z147" s="1"/>
      <c r="AA147" s="1"/>
      <c r="AB147" s="1"/>
    </row>
    <row r="148" ht="15.75" customHeight="1">
      <c r="A148" s="1"/>
      <c r="B148" s="1"/>
      <c r="C148" s="1"/>
      <c r="D148" s="1"/>
      <c r="E148" s="1"/>
      <c r="F148" s="1"/>
      <c r="G148" s="110"/>
      <c r="H148" s="1"/>
      <c r="I148" s="1"/>
      <c r="J148" s="1"/>
      <c r="K148" s="1"/>
      <c r="L148" s="1"/>
      <c r="M148" s="1"/>
      <c r="N148" s="1"/>
      <c r="O148" s="1"/>
      <c r="P148" s="3"/>
      <c r="Q148" s="1"/>
      <c r="R148" s="1"/>
      <c r="S148" s="1"/>
      <c r="T148" s="1"/>
      <c r="U148" s="1"/>
      <c r="V148" s="1"/>
      <c r="W148" s="1"/>
      <c r="X148" s="1"/>
      <c r="Y148" s="1"/>
      <c r="Z148" s="1"/>
      <c r="AA148" s="1"/>
      <c r="AB148" s="1"/>
    </row>
    <row r="149" ht="15.75" customHeight="1">
      <c r="A149" s="1"/>
      <c r="B149" s="1"/>
      <c r="C149" s="1"/>
      <c r="D149" s="1"/>
      <c r="E149" s="1"/>
      <c r="F149" s="1"/>
      <c r="G149" s="110"/>
      <c r="H149" s="1"/>
      <c r="I149" s="1"/>
      <c r="J149" s="1"/>
      <c r="K149" s="1"/>
      <c r="L149" s="1"/>
      <c r="M149" s="1"/>
      <c r="N149" s="1"/>
      <c r="O149" s="1"/>
      <c r="P149" s="3"/>
      <c r="Q149" s="1"/>
      <c r="R149" s="1"/>
      <c r="S149" s="1"/>
      <c r="T149" s="1"/>
      <c r="U149" s="1"/>
      <c r="V149" s="1"/>
      <c r="W149" s="1"/>
      <c r="X149" s="1"/>
      <c r="Y149" s="1"/>
      <c r="Z149" s="1"/>
      <c r="AA149" s="1"/>
      <c r="AB149" s="1"/>
    </row>
    <row r="150" ht="15.75" customHeight="1">
      <c r="A150" s="1"/>
      <c r="B150" s="1"/>
      <c r="C150" s="1"/>
      <c r="D150" s="1"/>
      <c r="E150" s="1"/>
      <c r="F150" s="1"/>
      <c r="G150" s="110"/>
      <c r="H150" s="1"/>
      <c r="I150" s="1"/>
      <c r="J150" s="1"/>
      <c r="K150" s="1"/>
      <c r="L150" s="1"/>
      <c r="M150" s="1"/>
      <c r="N150" s="1"/>
      <c r="O150" s="1"/>
      <c r="P150" s="3"/>
      <c r="Q150" s="1"/>
      <c r="R150" s="1"/>
      <c r="S150" s="1"/>
      <c r="T150" s="1"/>
      <c r="U150" s="1"/>
      <c r="V150" s="1"/>
      <c r="W150" s="1"/>
      <c r="X150" s="1"/>
      <c r="Y150" s="1"/>
      <c r="Z150" s="1"/>
      <c r="AA150" s="1"/>
      <c r="AB150" s="1"/>
    </row>
    <row r="151" ht="15.75" customHeight="1">
      <c r="A151" s="1"/>
      <c r="B151" s="1"/>
      <c r="C151" s="1"/>
      <c r="D151" s="1"/>
      <c r="E151" s="1"/>
      <c r="F151" s="1"/>
      <c r="G151" s="110"/>
      <c r="H151" s="1"/>
      <c r="I151" s="1"/>
      <c r="J151" s="1"/>
      <c r="K151" s="1"/>
      <c r="L151" s="1"/>
      <c r="M151" s="1"/>
      <c r="N151" s="1"/>
      <c r="O151" s="1"/>
      <c r="P151" s="3"/>
      <c r="Q151" s="1"/>
      <c r="R151" s="1"/>
      <c r="S151" s="1"/>
      <c r="T151" s="1"/>
      <c r="U151" s="1"/>
      <c r="V151" s="1"/>
      <c r="W151" s="1"/>
      <c r="X151" s="1"/>
      <c r="Y151" s="1"/>
      <c r="Z151" s="1"/>
      <c r="AA151" s="1"/>
      <c r="AB151" s="1"/>
    </row>
    <row r="152" ht="15.75" customHeight="1">
      <c r="A152" s="1"/>
      <c r="B152" s="1"/>
      <c r="C152" s="1"/>
      <c r="D152" s="1"/>
      <c r="E152" s="1"/>
      <c r="F152" s="1"/>
      <c r="G152" s="110"/>
      <c r="H152" s="1"/>
      <c r="I152" s="1"/>
      <c r="J152" s="1"/>
      <c r="K152" s="1"/>
      <c r="L152" s="1"/>
      <c r="M152" s="1"/>
      <c r="N152" s="1"/>
      <c r="O152" s="1"/>
      <c r="P152" s="3"/>
      <c r="Q152" s="1"/>
      <c r="R152" s="1"/>
      <c r="S152" s="1"/>
      <c r="T152" s="1"/>
      <c r="U152" s="1"/>
      <c r="V152" s="1"/>
      <c r="W152" s="1"/>
      <c r="X152" s="1"/>
      <c r="Y152" s="1"/>
      <c r="Z152" s="1"/>
      <c r="AA152" s="1"/>
      <c r="AB152" s="1"/>
    </row>
    <row r="153" ht="15.75" customHeight="1">
      <c r="A153" s="1"/>
      <c r="B153" s="1"/>
      <c r="C153" s="1"/>
      <c r="D153" s="1"/>
      <c r="E153" s="1"/>
      <c r="F153" s="1"/>
      <c r="G153" s="110"/>
      <c r="H153" s="1"/>
      <c r="I153" s="1"/>
      <c r="J153" s="1"/>
      <c r="K153" s="1"/>
      <c r="L153" s="1"/>
      <c r="M153" s="1"/>
      <c r="N153" s="1"/>
      <c r="O153" s="1"/>
      <c r="P153" s="3"/>
      <c r="Q153" s="1"/>
      <c r="R153" s="1"/>
      <c r="S153" s="1"/>
      <c r="T153" s="1"/>
      <c r="U153" s="1"/>
      <c r="V153" s="1"/>
      <c r="W153" s="1"/>
      <c r="X153" s="1"/>
      <c r="Y153" s="1"/>
      <c r="Z153" s="1"/>
      <c r="AA153" s="1"/>
      <c r="AB153" s="1"/>
    </row>
    <row r="154" ht="15.75" customHeight="1">
      <c r="A154" s="1"/>
      <c r="B154" s="1"/>
      <c r="C154" s="1"/>
      <c r="D154" s="1"/>
      <c r="E154" s="1"/>
      <c r="F154" s="1"/>
      <c r="G154" s="110"/>
      <c r="H154" s="1"/>
      <c r="I154" s="1"/>
      <c r="J154" s="1"/>
      <c r="K154" s="1"/>
      <c r="L154" s="1"/>
      <c r="M154" s="1"/>
      <c r="N154" s="1"/>
      <c r="O154" s="1"/>
      <c r="P154" s="3"/>
      <c r="Q154" s="1"/>
      <c r="R154" s="1"/>
      <c r="S154" s="1"/>
      <c r="T154" s="1"/>
      <c r="U154" s="1"/>
      <c r="V154" s="1"/>
      <c r="W154" s="1"/>
      <c r="X154" s="1"/>
      <c r="Y154" s="1"/>
      <c r="Z154" s="1"/>
      <c r="AA154" s="1"/>
      <c r="AB154" s="1"/>
    </row>
    <row r="155" ht="15.75" customHeight="1">
      <c r="A155" s="1"/>
      <c r="B155" s="1"/>
      <c r="C155" s="1"/>
      <c r="D155" s="1"/>
      <c r="E155" s="1"/>
      <c r="F155" s="1"/>
      <c r="G155" s="110"/>
      <c r="H155" s="1"/>
      <c r="I155" s="1"/>
      <c r="J155" s="1"/>
      <c r="K155" s="1"/>
      <c r="L155" s="1"/>
      <c r="M155" s="1"/>
      <c r="N155" s="1"/>
      <c r="O155" s="1"/>
      <c r="P155" s="3"/>
      <c r="Q155" s="1"/>
      <c r="R155" s="1"/>
      <c r="S155" s="1"/>
      <c r="T155" s="1"/>
      <c r="U155" s="1"/>
      <c r="V155" s="1"/>
      <c r="W155" s="1"/>
      <c r="X155" s="1"/>
      <c r="Y155" s="1"/>
      <c r="Z155" s="1"/>
      <c r="AA155" s="1"/>
      <c r="AB155" s="1"/>
    </row>
    <row r="156" ht="15.75" customHeight="1">
      <c r="A156" s="1"/>
      <c r="B156" s="1"/>
      <c r="C156" s="1"/>
      <c r="D156" s="1"/>
      <c r="E156" s="1"/>
      <c r="F156" s="1"/>
      <c r="G156" s="110"/>
      <c r="H156" s="1"/>
      <c r="I156" s="1"/>
      <c r="J156" s="1"/>
      <c r="K156" s="1"/>
      <c r="L156" s="1"/>
      <c r="M156" s="1"/>
      <c r="N156" s="1"/>
      <c r="O156" s="1"/>
      <c r="P156" s="3"/>
      <c r="Q156" s="1"/>
      <c r="R156" s="1"/>
      <c r="S156" s="1"/>
      <c r="T156" s="1"/>
      <c r="U156" s="1"/>
      <c r="V156" s="1"/>
      <c r="W156" s="1"/>
      <c r="X156" s="1"/>
      <c r="Y156" s="1"/>
      <c r="Z156" s="1"/>
      <c r="AA156" s="1"/>
      <c r="AB156" s="1"/>
    </row>
    <row r="157" ht="15.75" customHeight="1">
      <c r="A157" s="1"/>
      <c r="B157" s="1"/>
      <c r="C157" s="1"/>
      <c r="D157" s="1"/>
      <c r="E157" s="1"/>
      <c r="F157" s="1"/>
      <c r="G157" s="110"/>
      <c r="H157" s="1"/>
      <c r="I157" s="1"/>
      <c r="J157" s="1"/>
      <c r="K157" s="1"/>
      <c r="L157" s="1"/>
      <c r="M157" s="1"/>
      <c r="N157" s="1"/>
      <c r="O157" s="1"/>
      <c r="P157" s="3"/>
      <c r="Q157" s="1"/>
      <c r="R157" s="1"/>
      <c r="S157" s="1"/>
      <c r="T157" s="1"/>
      <c r="U157" s="1"/>
      <c r="V157" s="1"/>
      <c r="W157" s="1"/>
      <c r="X157" s="1"/>
      <c r="Y157" s="1"/>
      <c r="Z157" s="1"/>
      <c r="AA157" s="1"/>
      <c r="AB157" s="1"/>
    </row>
    <row r="158" ht="15.75" customHeight="1">
      <c r="A158" s="1"/>
      <c r="B158" s="1"/>
      <c r="C158" s="1"/>
      <c r="D158" s="1"/>
      <c r="E158" s="1"/>
      <c r="F158" s="1"/>
      <c r="G158" s="110"/>
      <c r="H158" s="1"/>
      <c r="I158" s="1"/>
      <c r="J158" s="1"/>
      <c r="K158" s="1"/>
      <c r="L158" s="1"/>
      <c r="M158" s="1"/>
      <c r="N158" s="1"/>
      <c r="O158" s="1"/>
      <c r="P158" s="3"/>
      <c r="Q158" s="1"/>
      <c r="R158" s="1"/>
      <c r="S158" s="1"/>
      <c r="T158" s="1"/>
      <c r="U158" s="1"/>
      <c r="V158" s="1"/>
      <c r="W158" s="1"/>
      <c r="X158" s="1"/>
      <c r="Y158" s="1"/>
      <c r="Z158" s="1"/>
      <c r="AA158" s="1"/>
      <c r="AB158" s="1"/>
    </row>
    <row r="159" ht="15.75" customHeight="1">
      <c r="A159" s="1"/>
      <c r="B159" s="1"/>
      <c r="C159" s="1"/>
      <c r="D159" s="1"/>
      <c r="E159" s="1"/>
      <c r="F159" s="1"/>
      <c r="G159" s="110"/>
      <c r="H159" s="1"/>
      <c r="I159" s="1"/>
      <c r="J159" s="1"/>
      <c r="K159" s="1"/>
      <c r="L159" s="1"/>
      <c r="M159" s="1"/>
      <c r="N159" s="1"/>
      <c r="O159" s="1"/>
      <c r="P159" s="3"/>
      <c r="Q159" s="1"/>
      <c r="R159" s="1"/>
      <c r="S159" s="1"/>
      <c r="T159" s="1"/>
      <c r="U159" s="1"/>
      <c r="V159" s="1"/>
      <c r="W159" s="1"/>
      <c r="X159" s="1"/>
      <c r="Y159" s="1"/>
      <c r="Z159" s="1"/>
      <c r="AA159" s="1"/>
      <c r="AB159" s="1"/>
    </row>
    <row r="160" ht="15.75" customHeight="1">
      <c r="A160" s="1"/>
      <c r="B160" s="1"/>
      <c r="C160" s="1"/>
      <c r="D160" s="1"/>
      <c r="E160" s="1"/>
      <c r="F160" s="1"/>
      <c r="G160" s="110"/>
      <c r="H160" s="1"/>
      <c r="I160" s="1"/>
      <c r="J160" s="1"/>
      <c r="K160" s="1"/>
      <c r="L160" s="1"/>
      <c r="M160" s="1"/>
      <c r="N160" s="1"/>
      <c r="O160" s="1"/>
      <c r="P160" s="3"/>
      <c r="Q160" s="1"/>
      <c r="R160" s="1"/>
      <c r="S160" s="1"/>
      <c r="T160" s="1"/>
      <c r="U160" s="1"/>
      <c r="V160" s="1"/>
      <c r="W160" s="1"/>
      <c r="X160" s="1"/>
      <c r="Y160" s="1"/>
      <c r="Z160" s="1"/>
      <c r="AA160" s="1"/>
      <c r="AB160" s="1"/>
    </row>
    <row r="161" ht="15.75" customHeight="1">
      <c r="A161" s="1"/>
      <c r="B161" s="1"/>
      <c r="C161" s="1"/>
      <c r="D161" s="1"/>
      <c r="E161" s="1"/>
      <c r="F161" s="1"/>
      <c r="G161" s="110"/>
      <c r="H161" s="1"/>
      <c r="I161" s="1"/>
      <c r="J161" s="1"/>
      <c r="K161" s="1"/>
      <c r="L161" s="1"/>
      <c r="M161" s="1"/>
      <c r="N161" s="1"/>
      <c r="O161" s="1"/>
      <c r="P161" s="3"/>
      <c r="Q161" s="1"/>
      <c r="R161" s="1"/>
      <c r="S161" s="1"/>
      <c r="T161" s="1"/>
      <c r="U161" s="1"/>
      <c r="V161" s="1"/>
      <c r="W161" s="1"/>
      <c r="X161" s="1"/>
      <c r="Y161" s="1"/>
      <c r="Z161" s="1"/>
      <c r="AA161" s="1"/>
      <c r="AB161" s="1"/>
    </row>
    <row r="162" ht="15.75" customHeight="1">
      <c r="A162" s="1"/>
      <c r="B162" s="1"/>
      <c r="C162" s="1"/>
      <c r="D162" s="1"/>
      <c r="E162" s="1"/>
      <c r="F162" s="1"/>
      <c r="G162" s="110"/>
      <c r="H162" s="1"/>
      <c r="I162" s="1"/>
      <c r="J162" s="1"/>
      <c r="K162" s="1"/>
      <c r="L162" s="1"/>
      <c r="M162" s="1"/>
      <c r="N162" s="1"/>
      <c r="O162" s="1"/>
      <c r="P162" s="3"/>
      <c r="Q162" s="1"/>
      <c r="R162" s="1"/>
      <c r="S162" s="1"/>
      <c r="T162" s="1"/>
      <c r="U162" s="1"/>
      <c r="V162" s="1"/>
      <c r="W162" s="1"/>
      <c r="X162" s="1"/>
      <c r="Y162" s="1"/>
      <c r="Z162" s="1"/>
      <c r="AA162" s="1"/>
      <c r="AB162" s="1"/>
    </row>
    <row r="163" ht="15.75" customHeight="1">
      <c r="A163" s="1"/>
      <c r="B163" s="1"/>
      <c r="C163" s="1"/>
      <c r="D163" s="1"/>
      <c r="E163" s="1"/>
      <c r="F163" s="1"/>
      <c r="G163" s="110"/>
      <c r="H163" s="1"/>
      <c r="I163" s="1"/>
      <c r="J163" s="1"/>
      <c r="K163" s="1"/>
      <c r="L163" s="1"/>
      <c r="M163" s="1"/>
      <c r="N163" s="1"/>
      <c r="O163" s="1"/>
      <c r="P163" s="3"/>
      <c r="Q163" s="1"/>
      <c r="R163" s="1"/>
      <c r="S163" s="1"/>
      <c r="T163" s="1"/>
      <c r="U163" s="1"/>
      <c r="V163" s="1"/>
      <c r="W163" s="1"/>
      <c r="X163" s="1"/>
      <c r="Y163" s="1"/>
      <c r="Z163" s="1"/>
      <c r="AA163" s="1"/>
      <c r="AB163" s="1"/>
    </row>
    <row r="164" ht="15.75" customHeight="1">
      <c r="A164" s="1"/>
      <c r="B164" s="1"/>
      <c r="C164" s="1"/>
      <c r="D164" s="1"/>
      <c r="E164" s="1"/>
      <c r="F164" s="1"/>
      <c r="G164" s="110"/>
      <c r="H164" s="1"/>
      <c r="I164" s="1"/>
      <c r="J164" s="1"/>
      <c r="K164" s="1"/>
      <c r="L164" s="1"/>
      <c r="M164" s="1"/>
      <c r="N164" s="1"/>
      <c r="O164" s="1"/>
      <c r="P164" s="3"/>
      <c r="Q164" s="1"/>
      <c r="R164" s="1"/>
      <c r="S164" s="1"/>
      <c r="T164" s="1"/>
      <c r="U164" s="1"/>
      <c r="V164" s="1"/>
      <c r="W164" s="1"/>
      <c r="X164" s="1"/>
      <c r="Y164" s="1"/>
      <c r="Z164" s="1"/>
      <c r="AA164" s="1"/>
      <c r="AB164" s="1"/>
    </row>
    <row r="165" ht="15.75" customHeight="1">
      <c r="A165" s="1"/>
      <c r="B165" s="1"/>
      <c r="C165" s="1"/>
      <c r="D165" s="1"/>
      <c r="E165" s="1"/>
      <c r="F165" s="1"/>
      <c r="G165" s="110"/>
      <c r="H165" s="1"/>
      <c r="I165" s="1"/>
      <c r="J165" s="1"/>
      <c r="K165" s="1"/>
      <c r="L165" s="1"/>
      <c r="M165" s="1"/>
      <c r="N165" s="1"/>
      <c r="O165" s="1"/>
      <c r="P165" s="3"/>
      <c r="Q165" s="1"/>
      <c r="R165" s="1"/>
      <c r="S165" s="1"/>
      <c r="T165" s="1"/>
      <c r="U165" s="1"/>
      <c r="V165" s="1"/>
      <c r="W165" s="1"/>
      <c r="X165" s="1"/>
      <c r="Y165" s="1"/>
      <c r="Z165" s="1"/>
      <c r="AA165" s="1"/>
      <c r="AB165" s="1"/>
    </row>
    <row r="166" ht="15.75" customHeight="1">
      <c r="A166" s="1"/>
      <c r="B166" s="1"/>
      <c r="C166" s="1"/>
      <c r="D166" s="1"/>
      <c r="E166" s="1"/>
      <c r="F166" s="1"/>
      <c r="G166" s="110"/>
      <c r="H166" s="1"/>
      <c r="I166" s="1"/>
      <c r="J166" s="1"/>
      <c r="K166" s="1"/>
      <c r="L166" s="1"/>
      <c r="M166" s="1"/>
      <c r="N166" s="1"/>
      <c r="O166" s="1"/>
      <c r="P166" s="3"/>
      <c r="Q166" s="1"/>
      <c r="R166" s="1"/>
      <c r="S166" s="1"/>
      <c r="T166" s="1"/>
      <c r="U166" s="1"/>
      <c r="V166" s="1"/>
      <c r="W166" s="1"/>
      <c r="X166" s="1"/>
      <c r="Y166" s="1"/>
      <c r="Z166" s="1"/>
      <c r="AA166" s="1"/>
      <c r="AB166" s="1"/>
    </row>
    <row r="167" ht="15.75" customHeight="1">
      <c r="A167" s="1"/>
      <c r="B167" s="1"/>
      <c r="C167" s="1"/>
      <c r="D167" s="1"/>
      <c r="E167" s="1"/>
      <c r="F167" s="1"/>
      <c r="G167" s="110"/>
      <c r="H167" s="1"/>
      <c r="I167" s="1"/>
      <c r="J167" s="1"/>
      <c r="K167" s="1"/>
      <c r="L167" s="1"/>
      <c r="M167" s="1"/>
      <c r="N167" s="1"/>
      <c r="O167" s="1"/>
      <c r="P167" s="3"/>
      <c r="Q167" s="1"/>
      <c r="R167" s="1"/>
      <c r="S167" s="1"/>
      <c r="T167" s="1"/>
      <c r="U167" s="1"/>
      <c r="V167" s="1"/>
      <c r="W167" s="1"/>
      <c r="X167" s="1"/>
      <c r="Y167" s="1"/>
      <c r="Z167" s="1"/>
      <c r="AA167" s="1"/>
      <c r="AB167" s="1"/>
    </row>
    <row r="168" ht="15.75" customHeight="1">
      <c r="A168" s="1"/>
      <c r="B168" s="1"/>
      <c r="C168" s="1"/>
      <c r="D168" s="1"/>
      <c r="E168" s="1"/>
      <c r="F168" s="1"/>
      <c r="G168" s="110"/>
      <c r="H168" s="1"/>
      <c r="I168" s="1"/>
      <c r="J168" s="1"/>
      <c r="K168" s="1"/>
      <c r="L168" s="1"/>
      <c r="M168" s="1"/>
      <c r="N168" s="1"/>
      <c r="O168" s="1"/>
      <c r="P168" s="3"/>
      <c r="Q168" s="1"/>
      <c r="R168" s="1"/>
      <c r="S168" s="1"/>
      <c r="T168" s="1"/>
      <c r="U168" s="1"/>
      <c r="V168" s="1"/>
      <c r="W168" s="1"/>
      <c r="X168" s="1"/>
      <c r="Y168" s="1"/>
      <c r="Z168" s="1"/>
      <c r="AA168" s="1"/>
      <c r="AB168" s="1"/>
    </row>
    <row r="169" ht="15.75" customHeight="1">
      <c r="A169" s="1"/>
      <c r="B169" s="1"/>
      <c r="C169" s="1"/>
      <c r="D169" s="1"/>
      <c r="E169" s="1"/>
      <c r="F169" s="1"/>
      <c r="G169" s="110"/>
      <c r="H169" s="1"/>
      <c r="I169" s="1"/>
      <c r="J169" s="1"/>
      <c r="K169" s="1"/>
      <c r="L169" s="1"/>
      <c r="M169" s="1"/>
      <c r="N169" s="1"/>
      <c r="O169" s="1"/>
      <c r="P169" s="3"/>
      <c r="Q169" s="1"/>
      <c r="R169" s="1"/>
      <c r="S169" s="1"/>
      <c r="T169" s="1"/>
      <c r="U169" s="1"/>
      <c r="V169" s="1"/>
      <c r="W169" s="1"/>
      <c r="X169" s="1"/>
      <c r="Y169" s="1"/>
      <c r="Z169" s="1"/>
      <c r="AA169" s="1"/>
      <c r="AB169" s="1"/>
    </row>
    <row r="170" ht="15.75" customHeight="1">
      <c r="A170" s="1"/>
      <c r="B170" s="1"/>
      <c r="C170" s="1"/>
      <c r="D170" s="1"/>
      <c r="E170" s="1"/>
      <c r="F170" s="1"/>
      <c r="G170" s="110"/>
      <c r="H170" s="1"/>
      <c r="I170" s="1"/>
      <c r="J170" s="1"/>
      <c r="K170" s="1"/>
      <c r="L170" s="1"/>
      <c r="M170" s="1"/>
      <c r="N170" s="1"/>
      <c r="O170" s="1"/>
      <c r="P170" s="3"/>
      <c r="Q170" s="1"/>
      <c r="R170" s="1"/>
      <c r="S170" s="1"/>
      <c r="T170" s="1"/>
      <c r="U170" s="1"/>
      <c r="V170" s="1"/>
      <c r="W170" s="1"/>
      <c r="X170" s="1"/>
      <c r="Y170" s="1"/>
      <c r="Z170" s="1"/>
      <c r="AA170" s="1"/>
      <c r="AB170" s="1"/>
    </row>
    <row r="171" ht="15.75" customHeight="1">
      <c r="A171" s="1"/>
      <c r="B171" s="1"/>
      <c r="C171" s="1"/>
      <c r="D171" s="1"/>
      <c r="E171" s="1"/>
      <c r="F171" s="1"/>
      <c r="G171" s="110"/>
      <c r="H171" s="1"/>
      <c r="I171" s="1"/>
      <c r="J171" s="1"/>
      <c r="K171" s="1"/>
      <c r="L171" s="1"/>
      <c r="M171" s="1"/>
      <c r="N171" s="1"/>
      <c r="O171" s="1"/>
      <c r="P171" s="3"/>
      <c r="Q171" s="1"/>
      <c r="R171" s="1"/>
      <c r="S171" s="1"/>
      <c r="T171" s="1"/>
      <c r="U171" s="1"/>
      <c r="V171" s="1"/>
      <c r="W171" s="1"/>
      <c r="X171" s="1"/>
      <c r="Y171" s="1"/>
      <c r="Z171" s="1"/>
      <c r="AA171" s="1"/>
      <c r="AB171" s="1"/>
    </row>
    <row r="172" ht="15.75" customHeight="1">
      <c r="A172" s="1"/>
      <c r="B172" s="1"/>
      <c r="C172" s="1"/>
      <c r="D172" s="1"/>
      <c r="E172" s="1"/>
      <c r="F172" s="1"/>
      <c r="G172" s="110"/>
      <c r="H172" s="1"/>
      <c r="I172" s="1"/>
      <c r="J172" s="1"/>
      <c r="K172" s="1"/>
      <c r="L172" s="1"/>
      <c r="M172" s="1"/>
      <c r="N172" s="1"/>
      <c r="O172" s="1"/>
      <c r="P172" s="3"/>
      <c r="Q172" s="1"/>
      <c r="R172" s="1"/>
      <c r="S172" s="1"/>
      <c r="T172" s="1"/>
      <c r="U172" s="1"/>
      <c r="V172" s="1"/>
      <c r="W172" s="1"/>
      <c r="X172" s="1"/>
      <c r="Y172" s="1"/>
      <c r="Z172" s="1"/>
      <c r="AA172" s="1"/>
      <c r="AB172" s="1"/>
    </row>
    <row r="173" ht="15.75" customHeight="1">
      <c r="A173" s="1"/>
      <c r="B173" s="1"/>
      <c r="C173" s="1"/>
      <c r="D173" s="1"/>
      <c r="E173" s="1"/>
      <c r="F173" s="1"/>
      <c r="G173" s="110"/>
      <c r="H173" s="1"/>
      <c r="I173" s="1"/>
      <c r="J173" s="1"/>
      <c r="K173" s="1"/>
      <c r="L173" s="1"/>
      <c r="M173" s="1"/>
      <c r="N173" s="1"/>
      <c r="O173" s="1"/>
      <c r="P173" s="3"/>
      <c r="Q173" s="1"/>
      <c r="R173" s="1"/>
      <c r="S173" s="1"/>
      <c r="T173" s="1"/>
      <c r="U173" s="1"/>
      <c r="V173" s="1"/>
      <c r="W173" s="1"/>
      <c r="X173" s="1"/>
      <c r="Y173" s="1"/>
      <c r="Z173" s="1"/>
      <c r="AA173" s="1"/>
      <c r="AB173" s="1"/>
    </row>
    <row r="174" ht="15.75" customHeight="1">
      <c r="A174" s="1"/>
      <c r="B174" s="1"/>
      <c r="C174" s="1"/>
      <c r="D174" s="1"/>
      <c r="E174" s="1"/>
      <c r="F174" s="1"/>
      <c r="G174" s="110"/>
      <c r="H174" s="1"/>
      <c r="I174" s="1"/>
      <c r="J174" s="1"/>
      <c r="K174" s="1"/>
      <c r="L174" s="1"/>
      <c r="M174" s="1"/>
      <c r="N174" s="1"/>
      <c r="O174" s="1"/>
      <c r="P174" s="3"/>
      <c r="Q174" s="1"/>
      <c r="R174" s="1"/>
      <c r="S174" s="1"/>
      <c r="T174" s="1"/>
      <c r="U174" s="1"/>
      <c r="V174" s="1"/>
      <c r="W174" s="1"/>
      <c r="X174" s="1"/>
      <c r="Y174" s="1"/>
      <c r="Z174" s="1"/>
      <c r="AA174" s="1"/>
      <c r="AB174" s="1"/>
    </row>
    <row r="175" ht="15.75" customHeight="1">
      <c r="A175" s="1"/>
      <c r="B175" s="1"/>
      <c r="C175" s="1"/>
      <c r="D175" s="1"/>
      <c r="E175" s="1"/>
      <c r="F175" s="1"/>
      <c r="G175" s="110"/>
      <c r="H175" s="1"/>
      <c r="I175" s="1"/>
      <c r="J175" s="1"/>
      <c r="K175" s="1"/>
      <c r="L175" s="1"/>
      <c r="M175" s="1"/>
      <c r="N175" s="1"/>
      <c r="O175" s="1"/>
      <c r="P175" s="3"/>
      <c r="Q175" s="1"/>
      <c r="R175" s="1"/>
      <c r="S175" s="1"/>
      <c r="T175" s="1"/>
      <c r="U175" s="1"/>
      <c r="V175" s="1"/>
      <c r="W175" s="1"/>
      <c r="X175" s="1"/>
      <c r="Y175" s="1"/>
      <c r="Z175" s="1"/>
      <c r="AA175" s="1"/>
      <c r="AB175" s="1"/>
    </row>
    <row r="176" ht="15.75" customHeight="1">
      <c r="A176" s="1"/>
      <c r="B176" s="1"/>
      <c r="C176" s="1"/>
      <c r="D176" s="1"/>
      <c r="E176" s="1"/>
      <c r="F176" s="1"/>
      <c r="G176" s="110"/>
      <c r="H176" s="1"/>
      <c r="I176" s="1"/>
      <c r="J176" s="1"/>
      <c r="K176" s="1"/>
      <c r="L176" s="1"/>
      <c r="M176" s="1"/>
      <c r="N176" s="1"/>
      <c r="O176" s="1"/>
      <c r="P176" s="3"/>
      <c r="Q176" s="1"/>
      <c r="R176" s="1"/>
      <c r="S176" s="1"/>
      <c r="T176" s="1"/>
      <c r="U176" s="1"/>
      <c r="V176" s="1"/>
      <c r="W176" s="1"/>
      <c r="X176" s="1"/>
      <c r="Y176" s="1"/>
      <c r="Z176" s="1"/>
      <c r="AA176" s="1"/>
      <c r="AB176" s="1"/>
    </row>
    <row r="177" ht="15.75" customHeight="1">
      <c r="A177" s="1"/>
      <c r="B177" s="1"/>
      <c r="C177" s="1"/>
      <c r="D177" s="1"/>
      <c r="E177" s="1"/>
      <c r="F177" s="1"/>
      <c r="G177" s="110"/>
      <c r="H177" s="1"/>
      <c r="I177" s="1"/>
      <c r="J177" s="1"/>
      <c r="K177" s="1"/>
      <c r="L177" s="1"/>
      <c r="M177" s="1"/>
      <c r="N177" s="1"/>
      <c r="O177" s="1"/>
      <c r="P177" s="3"/>
      <c r="Q177" s="1"/>
      <c r="R177" s="1"/>
      <c r="S177" s="1"/>
      <c r="T177" s="1"/>
      <c r="U177" s="1"/>
      <c r="V177" s="1"/>
      <c r="W177" s="1"/>
      <c r="X177" s="1"/>
      <c r="Y177" s="1"/>
      <c r="Z177" s="1"/>
      <c r="AA177" s="1"/>
      <c r="AB177" s="1"/>
    </row>
    <row r="178" ht="15.75" customHeight="1">
      <c r="A178" s="1"/>
      <c r="B178" s="1"/>
      <c r="C178" s="1"/>
      <c r="D178" s="1"/>
      <c r="E178" s="1"/>
      <c r="F178" s="1"/>
      <c r="G178" s="110"/>
      <c r="H178" s="1"/>
      <c r="I178" s="1"/>
      <c r="J178" s="1"/>
      <c r="K178" s="1"/>
      <c r="L178" s="1"/>
      <c r="M178" s="1"/>
      <c r="N178" s="1"/>
      <c r="O178" s="1"/>
      <c r="P178" s="3"/>
      <c r="Q178" s="1"/>
      <c r="R178" s="1"/>
      <c r="S178" s="1"/>
      <c r="T178" s="1"/>
      <c r="U178" s="1"/>
      <c r="V178" s="1"/>
      <c r="W178" s="1"/>
      <c r="X178" s="1"/>
      <c r="Y178" s="1"/>
      <c r="Z178" s="1"/>
      <c r="AA178" s="1"/>
      <c r="AB178" s="1"/>
    </row>
    <row r="179" ht="15.75" customHeight="1">
      <c r="A179" s="1"/>
      <c r="B179" s="1"/>
      <c r="C179" s="1"/>
      <c r="D179" s="1"/>
      <c r="E179" s="1"/>
      <c r="F179" s="1"/>
      <c r="G179" s="110"/>
      <c r="H179" s="1"/>
      <c r="I179" s="1"/>
      <c r="J179" s="1"/>
      <c r="K179" s="1"/>
      <c r="L179" s="1"/>
      <c r="M179" s="1"/>
      <c r="N179" s="1"/>
      <c r="O179" s="1"/>
      <c r="P179" s="3"/>
      <c r="Q179" s="1"/>
      <c r="R179" s="1"/>
      <c r="S179" s="1"/>
      <c r="T179" s="1"/>
      <c r="U179" s="1"/>
      <c r="V179" s="1"/>
      <c r="W179" s="1"/>
      <c r="X179" s="1"/>
      <c r="Y179" s="1"/>
      <c r="Z179" s="1"/>
      <c r="AA179" s="1"/>
      <c r="AB179" s="1"/>
    </row>
    <row r="180" ht="15.75" customHeight="1">
      <c r="A180" s="1"/>
      <c r="B180" s="1"/>
      <c r="C180" s="1"/>
      <c r="D180" s="1"/>
      <c r="E180" s="1"/>
      <c r="F180" s="1"/>
      <c r="G180" s="110"/>
      <c r="H180" s="1"/>
      <c r="I180" s="1"/>
      <c r="J180" s="1"/>
      <c r="K180" s="1"/>
      <c r="L180" s="1"/>
      <c r="M180" s="1"/>
      <c r="N180" s="1"/>
      <c r="O180" s="1"/>
      <c r="P180" s="3"/>
      <c r="Q180" s="1"/>
      <c r="R180" s="1"/>
      <c r="S180" s="1"/>
      <c r="T180" s="1"/>
      <c r="U180" s="1"/>
      <c r="V180" s="1"/>
      <c r="W180" s="1"/>
      <c r="X180" s="1"/>
      <c r="Y180" s="1"/>
      <c r="Z180" s="1"/>
      <c r="AA180" s="1"/>
      <c r="AB180" s="1"/>
    </row>
    <row r="181" ht="15.75" customHeight="1">
      <c r="A181" s="1"/>
      <c r="B181" s="1"/>
      <c r="C181" s="1"/>
      <c r="D181" s="1"/>
      <c r="E181" s="1"/>
      <c r="F181" s="1"/>
      <c r="G181" s="110"/>
      <c r="H181" s="1"/>
      <c r="I181" s="1"/>
      <c r="J181" s="1"/>
      <c r="K181" s="1"/>
      <c r="L181" s="1"/>
      <c r="M181" s="1"/>
      <c r="N181" s="1"/>
      <c r="O181" s="1"/>
      <c r="P181" s="3"/>
      <c r="Q181" s="1"/>
      <c r="R181" s="1"/>
      <c r="S181" s="1"/>
      <c r="T181" s="1"/>
      <c r="U181" s="1"/>
      <c r="V181" s="1"/>
      <c r="W181" s="1"/>
      <c r="X181" s="1"/>
      <c r="Y181" s="1"/>
      <c r="Z181" s="1"/>
      <c r="AA181" s="1"/>
      <c r="AB181" s="1"/>
    </row>
    <row r="182" ht="15.75" customHeight="1">
      <c r="A182" s="1"/>
      <c r="B182" s="1"/>
      <c r="C182" s="1"/>
      <c r="D182" s="1"/>
      <c r="E182" s="1"/>
      <c r="F182" s="1"/>
      <c r="G182" s="110"/>
      <c r="H182" s="1"/>
      <c r="I182" s="1"/>
      <c r="J182" s="1"/>
      <c r="K182" s="1"/>
      <c r="L182" s="1"/>
      <c r="M182" s="1"/>
      <c r="N182" s="1"/>
      <c r="O182" s="1"/>
      <c r="P182" s="3"/>
      <c r="Q182" s="1"/>
      <c r="R182" s="1"/>
      <c r="S182" s="1"/>
      <c r="T182" s="1"/>
      <c r="U182" s="1"/>
      <c r="V182" s="1"/>
      <c r="W182" s="1"/>
      <c r="X182" s="1"/>
      <c r="Y182" s="1"/>
      <c r="Z182" s="1"/>
      <c r="AA182" s="1"/>
      <c r="AB182" s="1"/>
    </row>
    <row r="183" ht="15.75" customHeight="1">
      <c r="A183" s="1"/>
      <c r="B183" s="1"/>
      <c r="C183" s="1"/>
      <c r="D183" s="1"/>
      <c r="E183" s="1"/>
      <c r="F183" s="1"/>
      <c r="G183" s="110"/>
      <c r="H183" s="1"/>
      <c r="I183" s="1"/>
      <c r="J183" s="1"/>
      <c r="K183" s="1"/>
      <c r="L183" s="1"/>
      <c r="M183" s="1"/>
      <c r="N183" s="1"/>
      <c r="O183" s="1"/>
      <c r="P183" s="3"/>
      <c r="Q183" s="1"/>
      <c r="R183" s="1"/>
      <c r="S183" s="1"/>
      <c r="T183" s="1"/>
      <c r="U183" s="1"/>
      <c r="V183" s="1"/>
      <c r="W183" s="1"/>
      <c r="X183" s="1"/>
      <c r="Y183" s="1"/>
      <c r="Z183" s="1"/>
      <c r="AA183" s="1"/>
      <c r="AB183" s="1"/>
    </row>
    <row r="184" ht="15.75" customHeight="1">
      <c r="A184" s="1"/>
      <c r="B184" s="1"/>
      <c r="C184" s="1"/>
      <c r="D184" s="1"/>
      <c r="E184" s="1"/>
      <c r="F184" s="1"/>
      <c r="G184" s="110"/>
      <c r="H184" s="1"/>
      <c r="I184" s="1"/>
      <c r="J184" s="1"/>
      <c r="K184" s="1"/>
      <c r="L184" s="1"/>
      <c r="M184" s="1"/>
      <c r="N184" s="1"/>
      <c r="O184" s="1"/>
      <c r="P184" s="3"/>
      <c r="Q184" s="1"/>
      <c r="R184" s="1"/>
      <c r="S184" s="1"/>
      <c r="T184" s="1"/>
      <c r="U184" s="1"/>
      <c r="V184" s="1"/>
      <c r="W184" s="1"/>
      <c r="X184" s="1"/>
      <c r="Y184" s="1"/>
      <c r="Z184" s="1"/>
      <c r="AA184" s="1"/>
      <c r="AB184" s="1"/>
    </row>
    <row r="185" ht="15.75" customHeight="1">
      <c r="A185" s="1"/>
      <c r="B185" s="1"/>
      <c r="C185" s="1"/>
      <c r="D185" s="1"/>
      <c r="E185" s="1"/>
      <c r="F185" s="1"/>
      <c r="G185" s="110"/>
      <c r="H185" s="1"/>
      <c r="I185" s="1"/>
      <c r="J185" s="1"/>
      <c r="K185" s="1"/>
      <c r="L185" s="1"/>
      <c r="M185" s="1"/>
      <c r="N185" s="1"/>
      <c r="O185" s="1"/>
      <c r="P185" s="3"/>
      <c r="Q185" s="1"/>
      <c r="R185" s="1"/>
      <c r="S185" s="1"/>
      <c r="T185" s="1"/>
      <c r="U185" s="1"/>
      <c r="V185" s="1"/>
      <c r="W185" s="1"/>
      <c r="X185" s="1"/>
      <c r="Y185" s="1"/>
      <c r="Z185" s="1"/>
      <c r="AA185" s="1"/>
      <c r="AB185" s="1"/>
    </row>
    <row r="186" ht="15.75" customHeight="1">
      <c r="A186" s="1"/>
      <c r="B186" s="1"/>
      <c r="C186" s="1"/>
      <c r="D186" s="1"/>
      <c r="E186" s="1"/>
      <c r="F186" s="1"/>
      <c r="G186" s="110"/>
      <c r="H186" s="1"/>
      <c r="I186" s="1"/>
      <c r="J186" s="1"/>
      <c r="K186" s="1"/>
      <c r="L186" s="1"/>
      <c r="M186" s="1"/>
      <c r="N186" s="1"/>
      <c r="O186" s="1"/>
      <c r="P186" s="3"/>
      <c r="Q186" s="1"/>
      <c r="R186" s="1"/>
      <c r="S186" s="1"/>
      <c r="T186" s="1"/>
      <c r="U186" s="1"/>
      <c r="V186" s="1"/>
      <c r="W186" s="1"/>
      <c r="X186" s="1"/>
      <c r="Y186" s="1"/>
      <c r="Z186" s="1"/>
      <c r="AA186" s="1"/>
      <c r="AB186" s="1"/>
    </row>
    <row r="187" ht="15.75" customHeight="1">
      <c r="A187" s="1"/>
      <c r="B187" s="1"/>
      <c r="C187" s="1"/>
      <c r="D187" s="1"/>
      <c r="E187" s="1"/>
      <c r="F187" s="1"/>
      <c r="G187" s="110"/>
      <c r="H187" s="1"/>
      <c r="I187" s="1"/>
      <c r="J187" s="1"/>
      <c r="K187" s="1"/>
      <c r="L187" s="1"/>
      <c r="M187" s="1"/>
      <c r="N187" s="1"/>
      <c r="O187" s="1"/>
      <c r="P187" s="3"/>
      <c r="Q187" s="1"/>
      <c r="R187" s="1"/>
      <c r="S187" s="1"/>
      <c r="T187" s="1"/>
      <c r="U187" s="1"/>
      <c r="V187" s="1"/>
      <c r="W187" s="1"/>
      <c r="X187" s="1"/>
      <c r="Y187" s="1"/>
      <c r="Z187" s="1"/>
      <c r="AA187" s="1"/>
      <c r="AB187" s="1"/>
    </row>
    <row r="188" ht="15.75" customHeight="1">
      <c r="A188" s="1"/>
      <c r="B188" s="1"/>
      <c r="C188" s="1"/>
      <c r="D188" s="1"/>
      <c r="E188" s="1"/>
      <c r="F188" s="1"/>
      <c r="G188" s="110"/>
      <c r="H188" s="1"/>
      <c r="I188" s="1"/>
      <c r="J188" s="1"/>
      <c r="K188" s="1"/>
      <c r="L188" s="1"/>
      <c r="M188" s="1"/>
      <c r="N188" s="1"/>
      <c r="O188" s="1"/>
      <c r="P188" s="3"/>
      <c r="Q188" s="1"/>
      <c r="R188" s="1"/>
      <c r="S188" s="1"/>
      <c r="T188" s="1"/>
      <c r="U188" s="1"/>
      <c r="V188" s="1"/>
      <c r="W188" s="1"/>
      <c r="X188" s="1"/>
      <c r="Y188" s="1"/>
      <c r="Z188" s="1"/>
      <c r="AA188" s="1"/>
      <c r="AB188" s="1"/>
    </row>
    <row r="189" ht="15.75" customHeight="1">
      <c r="A189" s="1"/>
      <c r="B189" s="1"/>
      <c r="C189" s="1"/>
      <c r="D189" s="1"/>
      <c r="E189" s="1"/>
      <c r="F189" s="1"/>
      <c r="G189" s="110"/>
      <c r="H189" s="1"/>
      <c r="I189" s="1"/>
      <c r="J189" s="1"/>
      <c r="K189" s="1"/>
      <c r="L189" s="1"/>
      <c r="M189" s="1"/>
      <c r="N189" s="1"/>
      <c r="O189" s="1"/>
      <c r="P189" s="3"/>
      <c r="Q189" s="1"/>
      <c r="R189" s="1"/>
      <c r="S189" s="1"/>
      <c r="T189" s="1"/>
      <c r="U189" s="1"/>
      <c r="V189" s="1"/>
      <c r="W189" s="1"/>
      <c r="X189" s="1"/>
      <c r="Y189" s="1"/>
      <c r="Z189" s="1"/>
      <c r="AA189" s="1"/>
      <c r="AB189" s="1"/>
    </row>
    <row r="190" ht="15.75" customHeight="1">
      <c r="A190" s="1"/>
      <c r="B190" s="1"/>
      <c r="C190" s="1"/>
      <c r="D190" s="1"/>
      <c r="E190" s="1"/>
      <c r="F190" s="1"/>
      <c r="G190" s="110"/>
      <c r="H190" s="1"/>
      <c r="I190" s="1"/>
      <c r="J190" s="1"/>
      <c r="K190" s="1"/>
      <c r="L190" s="1"/>
      <c r="M190" s="1"/>
      <c r="N190" s="1"/>
      <c r="O190" s="1"/>
      <c r="P190" s="3"/>
      <c r="Q190" s="1"/>
      <c r="R190" s="1"/>
      <c r="S190" s="1"/>
      <c r="T190" s="1"/>
      <c r="U190" s="1"/>
      <c r="V190" s="1"/>
      <c r="W190" s="1"/>
      <c r="X190" s="1"/>
      <c r="Y190" s="1"/>
      <c r="Z190" s="1"/>
      <c r="AA190" s="1"/>
      <c r="AB190" s="1"/>
    </row>
    <row r="191" ht="15.75" customHeight="1">
      <c r="A191" s="1"/>
      <c r="B191" s="1"/>
      <c r="C191" s="1"/>
      <c r="D191" s="1"/>
      <c r="E191" s="1"/>
      <c r="F191" s="1"/>
      <c r="G191" s="110"/>
      <c r="H191" s="1"/>
      <c r="I191" s="1"/>
      <c r="J191" s="1"/>
      <c r="K191" s="1"/>
      <c r="L191" s="1"/>
      <c r="M191" s="1"/>
      <c r="N191" s="1"/>
      <c r="O191" s="1"/>
      <c r="P191" s="3"/>
      <c r="Q191" s="1"/>
      <c r="R191" s="1"/>
      <c r="S191" s="1"/>
      <c r="T191" s="1"/>
      <c r="U191" s="1"/>
      <c r="V191" s="1"/>
      <c r="W191" s="1"/>
      <c r="X191" s="1"/>
      <c r="Y191" s="1"/>
      <c r="Z191" s="1"/>
      <c r="AA191" s="1"/>
      <c r="AB191" s="1"/>
    </row>
    <row r="192" ht="15.75" customHeight="1">
      <c r="A192" s="1"/>
      <c r="B192" s="1"/>
      <c r="C192" s="1"/>
      <c r="D192" s="1"/>
      <c r="E192" s="1"/>
      <c r="F192" s="1"/>
      <c r="G192" s="110"/>
      <c r="H192" s="1"/>
      <c r="I192" s="1"/>
      <c r="J192" s="1"/>
      <c r="K192" s="1"/>
      <c r="L192" s="1"/>
      <c r="M192" s="1"/>
      <c r="N192" s="1"/>
      <c r="O192" s="1"/>
      <c r="P192" s="3"/>
      <c r="Q192" s="1"/>
      <c r="R192" s="1"/>
      <c r="S192" s="1"/>
      <c r="T192" s="1"/>
      <c r="U192" s="1"/>
      <c r="V192" s="1"/>
      <c r="W192" s="1"/>
      <c r="X192" s="1"/>
      <c r="Y192" s="1"/>
      <c r="Z192" s="1"/>
      <c r="AA192" s="1"/>
      <c r="AB192" s="1"/>
    </row>
    <row r="193" ht="15.75" customHeight="1">
      <c r="A193" s="1"/>
      <c r="B193" s="1"/>
      <c r="C193" s="1"/>
      <c r="D193" s="1"/>
      <c r="E193" s="1"/>
      <c r="F193" s="1"/>
      <c r="G193" s="110"/>
      <c r="H193" s="1"/>
      <c r="I193" s="1"/>
      <c r="J193" s="1"/>
      <c r="K193" s="1"/>
      <c r="L193" s="1"/>
      <c r="M193" s="1"/>
      <c r="N193" s="1"/>
      <c r="O193" s="1"/>
      <c r="P193" s="3"/>
      <c r="Q193" s="1"/>
      <c r="R193" s="1"/>
      <c r="S193" s="1"/>
      <c r="T193" s="1"/>
      <c r="U193" s="1"/>
      <c r="V193" s="1"/>
      <c r="W193" s="1"/>
      <c r="X193" s="1"/>
      <c r="Y193" s="1"/>
      <c r="Z193" s="1"/>
      <c r="AA193" s="1"/>
      <c r="AB193" s="1"/>
    </row>
    <row r="194" ht="15.75" customHeight="1">
      <c r="A194" s="1"/>
      <c r="B194" s="1"/>
      <c r="C194" s="1"/>
      <c r="D194" s="1"/>
      <c r="E194" s="1"/>
      <c r="F194" s="1"/>
      <c r="G194" s="110"/>
      <c r="H194" s="1"/>
      <c r="I194" s="1"/>
      <c r="J194" s="1"/>
      <c r="K194" s="1"/>
      <c r="L194" s="1"/>
      <c r="M194" s="1"/>
      <c r="N194" s="1"/>
      <c r="O194" s="1"/>
      <c r="P194" s="3"/>
      <c r="Q194" s="1"/>
      <c r="R194" s="1"/>
      <c r="S194" s="1"/>
      <c r="T194" s="1"/>
      <c r="U194" s="1"/>
      <c r="V194" s="1"/>
      <c r="W194" s="1"/>
      <c r="X194" s="1"/>
      <c r="Y194" s="1"/>
      <c r="Z194" s="1"/>
      <c r="AA194" s="1"/>
      <c r="AB194" s="1"/>
    </row>
    <row r="195" ht="15.75" customHeight="1">
      <c r="A195" s="1"/>
      <c r="B195" s="1"/>
      <c r="C195" s="1"/>
      <c r="D195" s="1"/>
      <c r="E195" s="1"/>
      <c r="F195" s="1"/>
      <c r="G195" s="110"/>
      <c r="H195" s="1"/>
      <c r="I195" s="1"/>
      <c r="J195" s="1"/>
      <c r="K195" s="1"/>
      <c r="L195" s="1"/>
      <c r="M195" s="1"/>
      <c r="N195" s="1"/>
      <c r="O195" s="1"/>
      <c r="P195" s="3"/>
      <c r="Q195" s="1"/>
      <c r="R195" s="1"/>
      <c r="S195" s="1"/>
      <c r="T195" s="1"/>
      <c r="U195" s="1"/>
      <c r="V195" s="1"/>
      <c r="W195" s="1"/>
      <c r="X195" s="1"/>
      <c r="Y195" s="1"/>
      <c r="Z195" s="1"/>
      <c r="AA195" s="1"/>
      <c r="AB195" s="1"/>
    </row>
    <row r="196" ht="15.75" customHeight="1">
      <c r="A196" s="1"/>
      <c r="B196" s="1"/>
      <c r="C196" s="1"/>
      <c r="D196" s="1"/>
      <c r="E196" s="1"/>
      <c r="F196" s="1"/>
      <c r="G196" s="110"/>
      <c r="H196" s="1"/>
      <c r="I196" s="1"/>
      <c r="J196" s="1"/>
      <c r="K196" s="1"/>
      <c r="L196" s="1"/>
      <c r="M196" s="1"/>
      <c r="N196" s="1"/>
      <c r="O196" s="1"/>
      <c r="P196" s="3"/>
      <c r="Q196" s="1"/>
      <c r="R196" s="1"/>
      <c r="S196" s="1"/>
      <c r="T196" s="1"/>
      <c r="U196" s="1"/>
      <c r="V196" s="1"/>
      <c r="W196" s="1"/>
      <c r="X196" s="1"/>
      <c r="Y196" s="1"/>
      <c r="Z196" s="1"/>
      <c r="AA196" s="1"/>
      <c r="AB196" s="1"/>
    </row>
    <row r="197" ht="15.75" customHeight="1">
      <c r="A197" s="1"/>
      <c r="B197" s="1"/>
      <c r="C197" s="1"/>
      <c r="D197" s="1"/>
      <c r="E197" s="1"/>
      <c r="F197" s="1"/>
      <c r="G197" s="110"/>
      <c r="H197" s="1"/>
      <c r="I197" s="1"/>
      <c r="J197" s="1"/>
      <c r="K197" s="1"/>
      <c r="L197" s="1"/>
      <c r="M197" s="1"/>
      <c r="N197" s="1"/>
      <c r="O197" s="1"/>
      <c r="P197" s="3"/>
      <c r="Q197" s="1"/>
      <c r="R197" s="1"/>
      <c r="S197" s="1"/>
      <c r="T197" s="1"/>
      <c r="U197" s="1"/>
      <c r="V197" s="1"/>
      <c r="W197" s="1"/>
      <c r="X197" s="1"/>
      <c r="Y197" s="1"/>
      <c r="Z197" s="1"/>
      <c r="AA197" s="1"/>
      <c r="AB197" s="1"/>
    </row>
    <row r="198" ht="15.75" customHeight="1">
      <c r="A198" s="1"/>
      <c r="B198" s="1"/>
      <c r="C198" s="1"/>
      <c r="D198" s="1"/>
      <c r="E198" s="1"/>
      <c r="F198" s="1"/>
      <c r="G198" s="110"/>
      <c r="H198" s="1"/>
      <c r="I198" s="1"/>
      <c r="J198" s="1"/>
      <c r="K198" s="1"/>
      <c r="L198" s="1"/>
      <c r="M198" s="1"/>
      <c r="N198" s="1"/>
      <c r="O198" s="1"/>
      <c r="P198" s="3"/>
      <c r="Q198" s="1"/>
      <c r="R198" s="1"/>
      <c r="S198" s="1"/>
      <c r="T198" s="1"/>
      <c r="U198" s="1"/>
      <c r="V198" s="1"/>
      <c r="W198" s="1"/>
      <c r="X198" s="1"/>
      <c r="Y198" s="1"/>
      <c r="Z198" s="1"/>
      <c r="AA198" s="1"/>
      <c r="AB198" s="1"/>
    </row>
    <row r="199" ht="15.75" customHeight="1">
      <c r="A199" s="1"/>
      <c r="B199" s="1"/>
      <c r="C199" s="1"/>
      <c r="D199" s="1"/>
      <c r="E199" s="1"/>
      <c r="F199" s="1"/>
      <c r="G199" s="110"/>
      <c r="H199" s="1"/>
      <c r="I199" s="1"/>
      <c r="J199" s="1"/>
      <c r="K199" s="1"/>
      <c r="L199" s="1"/>
      <c r="M199" s="1"/>
      <c r="N199" s="1"/>
      <c r="O199" s="1"/>
      <c r="P199" s="3"/>
      <c r="Q199" s="1"/>
      <c r="R199" s="1"/>
      <c r="S199" s="1"/>
      <c r="T199" s="1"/>
      <c r="U199" s="1"/>
      <c r="V199" s="1"/>
      <c r="W199" s="1"/>
      <c r="X199" s="1"/>
      <c r="Y199" s="1"/>
      <c r="Z199" s="1"/>
      <c r="AA199" s="1"/>
      <c r="AB199" s="1"/>
    </row>
    <row r="200" ht="15.75" customHeight="1">
      <c r="A200" s="1"/>
      <c r="B200" s="1"/>
      <c r="C200" s="1"/>
      <c r="D200" s="1"/>
      <c r="E200" s="1"/>
      <c r="F200" s="1"/>
      <c r="G200" s="110"/>
      <c r="H200" s="1"/>
      <c r="I200" s="1"/>
      <c r="J200" s="1"/>
      <c r="K200" s="1"/>
      <c r="L200" s="1"/>
      <c r="M200" s="1"/>
      <c r="N200" s="1"/>
      <c r="O200" s="1"/>
      <c r="P200" s="3"/>
      <c r="Q200" s="1"/>
      <c r="R200" s="1"/>
      <c r="S200" s="1"/>
      <c r="T200" s="1"/>
      <c r="U200" s="1"/>
      <c r="V200" s="1"/>
      <c r="W200" s="1"/>
      <c r="X200" s="1"/>
      <c r="Y200" s="1"/>
      <c r="Z200" s="1"/>
      <c r="AA200" s="1"/>
      <c r="AB200" s="1"/>
    </row>
    <row r="201" ht="15.75" customHeight="1">
      <c r="A201" s="1"/>
      <c r="B201" s="1"/>
      <c r="C201" s="1"/>
      <c r="D201" s="1"/>
      <c r="E201" s="1"/>
      <c r="F201" s="1"/>
      <c r="G201" s="110"/>
      <c r="H201" s="1"/>
      <c r="I201" s="1"/>
      <c r="J201" s="1"/>
      <c r="K201" s="1"/>
      <c r="L201" s="1"/>
      <c r="M201" s="1"/>
      <c r="N201" s="1"/>
      <c r="O201" s="1"/>
      <c r="P201" s="3"/>
      <c r="Q201" s="1"/>
      <c r="R201" s="1"/>
      <c r="S201" s="1"/>
      <c r="T201" s="1"/>
      <c r="U201" s="1"/>
      <c r="V201" s="1"/>
      <c r="W201" s="1"/>
      <c r="X201" s="1"/>
      <c r="Y201" s="1"/>
      <c r="Z201" s="1"/>
      <c r="AA201" s="1"/>
      <c r="AB201" s="1"/>
    </row>
    <row r="202" ht="15.75" customHeight="1">
      <c r="A202" s="1"/>
      <c r="B202" s="1"/>
      <c r="C202" s="1"/>
      <c r="D202" s="1"/>
      <c r="E202" s="1"/>
      <c r="F202" s="1"/>
      <c r="G202" s="110"/>
      <c r="H202" s="1"/>
      <c r="I202" s="1"/>
      <c r="J202" s="1"/>
      <c r="K202" s="1"/>
      <c r="L202" s="1"/>
      <c r="M202" s="1"/>
      <c r="N202" s="1"/>
      <c r="O202" s="1"/>
      <c r="P202" s="3"/>
      <c r="Q202" s="1"/>
      <c r="R202" s="1"/>
      <c r="S202" s="1"/>
      <c r="T202" s="1"/>
      <c r="U202" s="1"/>
      <c r="V202" s="1"/>
      <c r="W202" s="1"/>
      <c r="X202" s="1"/>
      <c r="Y202" s="1"/>
      <c r="Z202" s="1"/>
      <c r="AA202" s="1"/>
      <c r="AB202" s="1"/>
    </row>
    <row r="203" ht="15.75" customHeight="1">
      <c r="A203" s="1"/>
      <c r="B203" s="1"/>
      <c r="C203" s="1"/>
      <c r="D203" s="1"/>
      <c r="E203" s="1"/>
      <c r="F203" s="1"/>
      <c r="G203" s="110"/>
      <c r="H203" s="1"/>
      <c r="I203" s="1"/>
      <c r="J203" s="1"/>
      <c r="K203" s="1"/>
      <c r="L203" s="1"/>
      <c r="M203" s="1"/>
      <c r="N203" s="1"/>
      <c r="O203" s="1"/>
      <c r="P203" s="3"/>
      <c r="Q203" s="1"/>
      <c r="R203" s="1"/>
      <c r="S203" s="1"/>
      <c r="T203" s="1"/>
      <c r="U203" s="1"/>
      <c r="V203" s="1"/>
      <c r="W203" s="1"/>
      <c r="X203" s="1"/>
      <c r="Y203" s="1"/>
      <c r="Z203" s="1"/>
      <c r="AA203" s="1"/>
      <c r="AB203" s="1"/>
    </row>
    <row r="204" ht="15.75" customHeight="1">
      <c r="A204" s="1"/>
      <c r="B204" s="1"/>
      <c r="C204" s="1"/>
      <c r="D204" s="1"/>
      <c r="E204" s="1"/>
      <c r="F204" s="1"/>
      <c r="G204" s="110"/>
      <c r="H204" s="1"/>
      <c r="I204" s="1"/>
      <c r="J204" s="1"/>
      <c r="K204" s="1"/>
      <c r="L204" s="1"/>
      <c r="M204" s="1"/>
      <c r="N204" s="1"/>
      <c r="O204" s="1"/>
      <c r="P204" s="3"/>
      <c r="Q204" s="1"/>
      <c r="R204" s="1"/>
      <c r="S204" s="1"/>
      <c r="T204" s="1"/>
      <c r="U204" s="1"/>
      <c r="V204" s="1"/>
      <c r="W204" s="1"/>
      <c r="X204" s="1"/>
      <c r="Y204" s="1"/>
      <c r="Z204" s="1"/>
      <c r="AA204" s="1"/>
      <c r="AB204" s="1"/>
    </row>
    <row r="205" ht="15.75" customHeight="1">
      <c r="A205" s="1"/>
      <c r="B205" s="1"/>
      <c r="C205" s="1"/>
      <c r="D205" s="1"/>
      <c r="E205" s="1"/>
      <c r="F205" s="1"/>
      <c r="G205" s="110"/>
      <c r="H205" s="1"/>
      <c r="I205" s="1"/>
      <c r="J205" s="1"/>
      <c r="K205" s="1"/>
      <c r="L205" s="1"/>
      <c r="M205" s="1"/>
      <c r="N205" s="1"/>
      <c r="O205" s="1"/>
      <c r="P205" s="3"/>
      <c r="Q205" s="1"/>
      <c r="R205" s="1"/>
      <c r="S205" s="1"/>
      <c r="T205" s="1"/>
      <c r="U205" s="1"/>
      <c r="V205" s="1"/>
      <c r="W205" s="1"/>
      <c r="X205" s="1"/>
      <c r="Y205" s="1"/>
      <c r="Z205" s="1"/>
      <c r="AA205" s="1"/>
      <c r="AB205" s="1"/>
    </row>
    <row r="206" ht="15.75" customHeight="1">
      <c r="A206" s="1"/>
      <c r="B206" s="1"/>
      <c r="C206" s="1"/>
      <c r="D206" s="1"/>
      <c r="E206" s="1"/>
      <c r="F206" s="1"/>
      <c r="G206" s="110"/>
      <c r="H206" s="1"/>
      <c r="I206" s="1"/>
      <c r="J206" s="1"/>
      <c r="K206" s="1"/>
      <c r="L206" s="1"/>
      <c r="M206" s="1"/>
      <c r="N206" s="1"/>
      <c r="O206" s="1"/>
      <c r="P206" s="3"/>
      <c r="Q206" s="1"/>
      <c r="R206" s="1"/>
      <c r="S206" s="1"/>
      <c r="T206" s="1"/>
      <c r="U206" s="1"/>
      <c r="V206" s="1"/>
      <c r="W206" s="1"/>
      <c r="X206" s="1"/>
      <c r="Y206" s="1"/>
      <c r="Z206" s="1"/>
      <c r="AA206" s="1"/>
      <c r="AB206" s="1"/>
    </row>
    <row r="207" ht="15.75" customHeight="1">
      <c r="A207" s="1"/>
      <c r="B207" s="1"/>
      <c r="C207" s="1"/>
      <c r="D207" s="1"/>
      <c r="E207" s="1"/>
      <c r="F207" s="1"/>
      <c r="G207" s="110"/>
      <c r="H207" s="1"/>
      <c r="I207" s="1"/>
      <c r="J207" s="1"/>
      <c r="K207" s="1"/>
      <c r="L207" s="1"/>
      <c r="M207" s="1"/>
      <c r="N207" s="1"/>
      <c r="O207" s="1"/>
      <c r="P207" s="3"/>
      <c r="Q207" s="1"/>
      <c r="R207" s="1"/>
      <c r="S207" s="1"/>
      <c r="T207" s="1"/>
      <c r="U207" s="1"/>
      <c r="V207" s="1"/>
      <c r="W207" s="1"/>
      <c r="X207" s="1"/>
      <c r="Y207" s="1"/>
      <c r="Z207" s="1"/>
      <c r="AA207" s="1"/>
      <c r="AB207" s="1"/>
    </row>
    <row r="208" ht="15.75" customHeight="1">
      <c r="A208" s="1"/>
      <c r="B208" s="1"/>
      <c r="C208" s="1"/>
      <c r="D208" s="1"/>
      <c r="E208" s="1"/>
      <c r="F208" s="1"/>
      <c r="G208" s="110"/>
      <c r="H208" s="1"/>
      <c r="I208" s="1"/>
      <c r="J208" s="1"/>
      <c r="K208" s="1"/>
      <c r="L208" s="1"/>
      <c r="M208" s="1"/>
      <c r="N208" s="1"/>
      <c r="O208" s="1"/>
      <c r="P208" s="3"/>
      <c r="Q208" s="1"/>
      <c r="R208" s="1"/>
      <c r="S208" s="1"/>
      <c r="T208" s="1"/>
      <c r="U208" s="1"/>
      <c r="V208" s="1"/>
      <c r="W208" s="1"/>
      <c r="X208" s="1"/>
      <c r="Y208" s="1"/>
      <c r="Z208" s="1"/>
      <c r="AA208" s="1"/>
      <c r="AB208" s="1"/>
    </row>
    <row r="209" ht="15.75" customHeight="1">
      <c r="A209" s="1"/>
      <c r="B209" s="1"/>
      <c r="C209" s="1"/>
      <c r="D209" s="1"/>
      <c r="E209" s="1"/>
      <c r="F209" s="1"/>
      <c r="G209" s="110"/>
      <c r="H209" s="1"/>
      <c r="I209" s="1"/>
      <c r="J209" s="1"/>
      <c r="K209" s="1"/>
      <c r="L209" s="1"/>
      <c r="M209" s="1"/>
      <c r="N209" s="1"/>
      <c r="O209" s="1"/>
      <c r="P209" s="3"/>
      <c r="Q209" s="1"/>
      <c r="R209" s="1"/>
      <c r="S209" s="1"/>
      <c r="T209" s="1"/>
      <c r="U209" s="1"/>
      <c r="V209" s="1"/>
      <c r="W209" s="1"/>
      <c r="X209" s="1"/>
      <c r="Y209" s="1"/>
      <c r="Z209" s="1"/>
      <c r="AA209" s="1"/>
      <c r="AB209" s="1"/>
    </row>
    <row r="210" ht="15.75" customHeight="1">
      <c r="A210" s="1"/>
      <c r="B210" s="1"/>
      <c r="C210" s="1"/>
      <c r="D210" s="1"/>
      <c r="E210" s="1"/>
      <c r="F210" s="1"/>
      <c r="G210" s="110"/>
      <c r="H210" s="1"/>
      <c r="I210" s="1"/>
      <c r="J210" s="1"/>
      <c r="K210" s="1"/>
      <c r="L210" s="1"/>
      <c r="M210" s="1"/>
      <c r="N210" s="1"/>
      <c r="O210" s="1"/>
      <c r="P210" s="3"/>
      <c r="Q210" s="1"/>
      <c r="R210" s="1"/>
      <c r="S210" s="1"/>
      <c r="T210" s="1"/>
      <c r="U210" s="1"/>
      <c r="V210" s="1"/>
      <c r="W210" s="1"/>
      <c r="X210" s="1"/>
      <c r="Y210" s="1"/>
      <c r="Z210" s="1"/>
      <c r="AA210" s="1"/>
      <c r="AB210" s="1"/>
    </row>
    <row r="211" ht="15.75" customHeight="1">
      <c r="A211" s="1"/>
      <c r="B211" s="1"/>
      <c r="C211" s="1"/>
      <c r="D211" s="1"/>
      <c r="E211" s="1"/>
      <c r="F211" s="1"/>
      <c r="G211" s="110"/>
      <c r="H211" s="1"/>
      <c r="I211" s="1"/>
      <c r="J211" s="1"/>
      <c r="K211" s="1"/>
      <c r="L211" s="1"/>
      <c r="M211" s="1"/>
      <c r="N211" s="1"/>
      <c r="O211" s="1"/>
      <c r="P211" s="3"/>
      <c r="Q211" s="1"/>
      <c r="R211" s="1"/>
      <c r="S211" s="1"/>
      <c r="T211" s="1"/>
      <c r="U211" s="1"/>
      <c r="V211" s="1"/>
      <c r="W211" s="1"/>
      <c r="X211" s="1"/>
      <c r="Y211" s="1"/>
      <c r="Z211" s="1"/>
      <c r="AA211" s="1"/>
      <c r="AB211" s="1"/>
    </row>
    <row r="212" ht="15.75" customHeight="1">
      <c r="A212" s="1"/>
      <c r="B212" s="1"/>
      <c r="C212" s="1"/>
      <c r="D212" s="1"/>
      <c r="E212" s="1"/>
      <c r="F212" s="1"/>
      <c r="G212" s="110"/>
      <c r="H212" s="1"/>
      <c r="I212" s="1"/>
      <c r="J212" s="1"/>
      <c r="K212" s="1"/>
      <c r="L212" s="1"/>
      <c r="M212" s="1"/>
      <c r="N212" s="1"/>
      <c r="O212" s="1"/>
      <c r="P212" s="3"/>
      <c r="Q212" s="1"/>
      <c r="R212" s="1"/>
      <c r="S212" s="1"/>
      <c r="T212" s="1"/>
      <c r="U212" s="1"/>
      <c r="V212" s="1"/>
      <c r="W212" s="1"/>
      <c r="X212" s="1"/>
      <c r="Y212" s="1"/>
      <c r="Z212" s="1"/>
      <c r="AA212" s="1"/>
      <c r="AB212" s="1"/>
    </row>
    <row r="213" ht="15.75" customHeight="1">
      <c r="A213" s="1"/>
      <c r="B213" s="1"/>
      <c r="C213" s="1"/>
      <c r="D213" s="1"/>
      <c r="E213" s="1"/>
      <c r="F213" s="1"/>
      <c r="G213" s="110"/>
      <c r="H213" s="1"/>
      <c r="I213" s="1"/>
      <c r="J213" s="1"/>
      <c r="K213" s="1"/>
      <c r="L213" s="1"/>
      <c r="M213" s="1"/>
      <c r="N213" s="1"/>
      <c r="O213" s="1"/>
      <c r="P213" s="3"/>
      <c r="Q213" s="1"/>
      <c r="R213" s="1"/>
      <c r="S213" s="1"/>
      <c r="T213" s="1"/>
      <c r="U213" s="1"/>
      <c r="V213" s="1"/>
      <c r="W213" s="1"/>
      <c r="X213" s="1"/>
      <c r="Y213" s="1"/>
      <c r="Z213" s="1"/>
      <c r="AA213" s="1"/>
      <c r="AB213" s="1"/>
    </row>
    <row r="214" ht="15.75" customHeight="1">
      <c r="A214" s="1"/>
      <c r="B214" s="1"/>
      <c r="C214" s="1"/>
      <c r="D214" s="1"/>
      <c r="E214" s="1"/>
      <c r="F214" s="1"/>
      <c r="G214" s="110"/>
      <c r="H214" s="1"/>
      <c r="I214" s="1"/>
      <c r="J214" s="1"/>
      <c r="K214" s="1"/>
      <c r="L214" s="1"/>
      <c r="M214" s="1"/>
      <c r="N214" s="1"/>
      <c r="O214" s="1"/>
      <c r="P214" s="3"/>
      <c r="Q214" s="1"/>
      <c r="R214" s="1"/>
      <c r="S214" s="1"/>
      <c r="T214" s="1"/>
      <c r="U214" s="1"/>
      <c r="V214" s="1"/>
      <c r="W214" s="1"/>
      <c r="X214" s="1"/>
      <c r="Y214" s="1"/>
      <c r="Z214" s="1"/>
      <c r="AA214" s="1"/>
      <c r="AB214" s="1"/>
    </row>
    <row r="215" ht="15.75" customHeight="1">
      <c r="A215" s="1"/>
      <c r="B215" s="1"/>
      <c r="C215" s="1"/>
      <c r="D215" s="1"/>
      <c r="E215" s="1"/>
      <c r="F215" s="1"/>
      <c r="G215" s="110"/>
      <c r="H215" s="1"/>
      <c r="I215" s="1"/>
      <c r="J215" s="1"/>
      <c r="K215" s="1"/>
      <c r="L215" s="1"/>
      <c r="M215" s="1"/>
      <c r="N215" s="1"/>
      <c r="O215" s="1"/>
      <c r="P215" s="3"/>
      <c r="Q215" s="1"/>
      <c r="R215" s="1"/>
      <c r="S215" s="1"/>
      <c r="T215" s="1"/>
      <c r="U215" s="1"/>
      <c r="V215" s="1"/>
      <c r="W215" s="1"/>
      <c r="X215" s="1"/>
      <c r="Y215" s="1"/>
      <c r="Z215" s="1"/>
      <c r="AA215" s="1"/>
      <c r="AB215" s="1"/>
    </row>
    <row r="216" ht="15.75" customHeight="1">
      <c r="A216" s="1"/>
      <c r="B216" s="1"/>
      <c r="C216" s="1"/>
      <c r="D216" s="1"/>
      <c r="E216" s="1"/>
      <c r="F216" s="1"/>
      <c r="G216" s="110"/>
      <c r="H216" s="1"/>
      <c r="I216" s="1"/>
      <c r="J216" s="1"/>
      <c r="K216" s="1"/>
      <c r="L216" s="1"/>
      <c r="M216" s="1"/>
      <c r="N216" s="1"/>
      <c r="O216" s="1"/>
      <c r="P216" s="3"/>
      <c r="Q216" s="1"/>
      <c r="R216" s="1"/>
      <c r="S216" s="1"/>
      <c r="T216" s="1"/>
      <c r="U216" s="1"/>
      <c r="V216" s="1"/>
      <c r="W216" s="1"/>
      <c r="X216" s="1"/>
      <c r="Y216" s="1"/>
      <c r="Z216" s="1"/>
      <c r="AA216" s="1"/>
      <c r="AB216" s="1"/>
    </row>
    <row r="217" ht="15.75" customHeight="1">
      <c r="A217" s="1"/>
      <c r="B217" s="1"/>
      <c r="C217" s="1"/>
      <c r="D217" s="1"/>
      <c r="E217" s="1"/>
      <c r="F217" s="1"/>
      <c r="G217" s="110"/>
      <c r="H217" s="1"/>
      <c r="I217" s="1"/>
      <c r="J217" s="1"/>
      <c r="K217" s="1"/>
      <c r="L217" s="1"/>
      <c r="M217" s="1"/>
      <c r="N217" s="1"/>
      <c r="O217" s="1"/>
      <c r="P217" s="3"/>
      <c r="Q217" s="1"/>
      <c r="R217" s="1"/>
      <c r="S217" s="1"/>
      <c r="T217" s="1"/>
      <c r="U217" s="1"/>
      <c r="V217" s="1"/>
      <c r="W217" s="1"/>
      <c r="X217" s="1"/>
      <c r="Y217" s="1"/>
      <c r="Z217" s="1"/>
      <c r="AA217" s="1"/>
      <c r="AB217" s="1"/>
    </row>
    <row r="218" ht="15.75" customHeight="1">
      <c r="A218" s="1"/>
      <c r="B218" s="1"/>
      <c r="C218" s="1"/>
      <c r="D218" s="1"/>
      <c r="E218" s="1"/>
      <c r="F218" s="1"/>
      <c r="G218" s="110"/>
      <c r="H218" s="1"/>
      <c r="I218" s="1"/>
      <c r="J218" s="1"/>
      <c r="K218" s="1"/>
      <c r="L218" s="1"/>
      <c r="M218" s="1"/>
      <c r="N218" s="1"/>
      <c r="O218" s="1"/>
      <c r="P218" s="3"/>
      <c r="Q218" s="1"/>
      <c r="R218" s="1"/>
      <c r="S218" s="1"/>
      <c r="T218" s="1"/>
      <c r="U218" s="1"/>
      <c r="V218" s="1"/>
      <c r="W218" s="1"/>
      <c r="X218" s="1"/>
      <c r="Y218" s="1"/>
      <c r="Z218" s="1"/>
      <c r="AA218" s="1"/>
      <c r="AB218" s="1"/>
    </row>
    <row r="219" ht="15.75" customHeight="1">
      <c r="A219" s="1"/>
      <c r="B219" s="1"/>
      <c r="C219" s="1"/>
      <c r="D219" s="1"/>
      <c r="E219" s="1"/>
      <c r="F219" s="1"/>
      <c r="G219" s="110"/>
      <c r="H219" s="1"/>
      <c r="I219" s="1"/>
      <c r="J219" s="1"/>
      <c r="K219" s="1"/>
      <c r="L219" s="1"/>
      <c r="M219" s="1"/>
      <c r="N219" s="1"/>
      <c r="O219" s="1"/>
      <c r="P219" s="3"/>
      <c r="Q219" s="1"/>
      <c r="R219" s="1"/>
      <c r="S219" s="1"/>
      <c r="T219" s="1"/>
      <c r="U219" s="1"/>
      <c r="V219" s="1"/>
      <c r="W219" s="1"/>
      <c r="X219" s="1"/>
      <c r="Y219" s="1"/>
      <c r="Z219" s="1"/>
      <c r="AA219" s="1"/>
      <c r="AB219" s="1"/>
    </row>
    <row r="220" ht="15.75" customHeight="1">
      <c r="A220" s="1"/>
      <c r="B220" s="1"/>
      <c r="C220" s="1"/>
      <c r="D220" s="1"/>
      <c r="E220" s="1"/>
      <c r="F220" s="1"/>
      <c r="G220" s="110"/>
      <c r="H220" s="1"/>
      <c r="I220" s="1"/>
      <c r="J220" s="1"/>
      <c r="K220" s="1"/>
      <c r="L220" s="1"/>
      <c r="M220" s="1"/>
      <c r="N220" s="1"/>
      <c r="O220" s="1"/>
      <c r="P220" s="3"/>
      <c r="Q220" s="1"/>
      <c r="R220" s="1"/>
      <c r="S220" s="1"/>
      <c r="T220" s="1"/>
      <c r="U220" s="1"/>
      <c r="V220" s="1"/>
      <c r="W220" s="1"/>
      <c r="X220" s="1"/>
      <c r="Y220" s="1"/>
      <c r="Z220" s="1"/>
      <c r="AA220" s="1"/>
      <c r="AB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J2:K2"/>
    <mergeCell ref="M2:N2"/>
    <mergeCell ref="C3:D3"/>
    <mergeCell ref="E3:H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4" max="4" width="16.13"/>
    <col customWidth="1" min="5" max="5" width="15.88"/>
    <col customWidth="1" min="6" max="6" width="14.38"/>
  </cols>
  <sheetData>
    <row r="1" ht="15.75" customHeight="1">
      <c r="A1" s="241"/>
      <c r="F1" s="242"/>
    </row>
    <row r="2" ht="15.75" customHeight="1">
      <c r="A2" s="241"/>
      <c r="D2" s="108" t="s">
        <v>32</v>
      </c>
      <c r="E2" s="109"/>
      <c r="F2" s="243">
        <v>650000.0</v>
      </c>
    </row>
    <row r="3" ht="15.75" customHeight="1">
      <c r="A3" s="241"/>
      <c r="E3" s="109" t="s">
        <v>688</v>
      </c>
      <c r="F3" s="242"/>
    </row>
    <row r="4" ht="15.75" customHeight="1">
      <c r="A4" s="241"/>
      <c r="C4" s="109"/>
      <c r="D4" s="109" t="s">
        <v>694</v>
      </c>
      <c r="E4" s="109" t="s">
        <v>41</v>
      </c>
      <c r="F4" s="242" t="s">
        <v>695</v>
      </c>
    </row>
    <row r="5" ht="15.75" customHeight="1">
      <c r="A5" s="244">
        <v>8.0</v>
      </c>
      <c r="B5" s="245" t="s">
        <v>696</v>
      </c>
      <c r="C5" s="246">
        <v>1.0E8</v>
      </c>
      <c r="D5" s="247">
        <v>45870.0</v>
      </c>
      <c r="E5" s="248">
        <f t="shared" ref="E5:E35" si="1">$C$5/$C$6</f>
        <v>3225806.452</v>
      </c>
      <c r="F5" s="249">
        <f t="shared" ref="F5:F157" si="2">E5/$F$2</f>
        <v>4.962779156</v>
      </c>
    </row>
    <row r="6" ht="15.75" customHeight="1">
      <c r="A6" s="241"/>
      <c r="B6" s="109" t="s">
        <v>697</v>
      </c>
      <c r="C6" s="109">
        <f>COUNTA(D5:D35)</f>
        <v>31</v>
      </c>
      <c r="D6" s="215">
        <f t="shared" ref="D6:D157" si="3">D5+1</f>
        <v>45871</v>
      </c>
      <c r="E6" s="216">
        <f t="shared" si="1"/>
        <v>3225806.452</v>
      </c>
      <c r="F6" s="242">
        <f t="shared" si="2"/>
        <v>4.962779156</v>
      </c>
    </row>
    <row r="7" ht="15.75" customHeight="1">
      <c r="A7" s="241"/>
      <c r="D7" s="215">
        <f t="shared" si="3"/>
        <v>45872</v>
      </c>
      <c r="E7" s="216">
        <f t="shared" si="1"/>
        <v>3225806.452</v>
      </c>
      <c r="F7" s="242">
        <f t="shared" si="2"/>
        <v>4.962779156</v>
      </c>
    </row>
    <row r="8" ht="15.75" customHeight="1">
      <c r="A8" s="241"/>
      <c r="D8" s="215">
        <f t="shared" si="3"/>
        <v>45873</v>
      </c>
      <c r="E8" s="216">
        <f t="shared" si="1"/>
        <v>3225806.452</v>
      </c>
      <c r="F8" s="242">
        <f t="shared" si="2"/>
        <v>4.962779156</v>
      </c>
    </row>
    <row r="9" ht="15.75" customHeight="1">
      <c r="A9" s="241"/>
      <c r="D9" s="215">
        <f t="shared" si="3"/>
        <v>45874</v>
      </c>
      <c r="E9" s="216">
        <f t="shared" si="1"/>
        <v>3225806.452</v>
      </c>
      <c r="F9" s="242">
        <f t="shared" si="2"/>
        <v>4.962779156</v>
      </c>
    </row>
    <row r="10" ht="15.75" customHeight="1">
      <c r="A10" s="241"/>
      <c r="D10" s="215">
        <f t="shared" si="3"/>
        <v>45875</v>
      </c>
      <c r="E10" s="216">
        <f t="shared" si="1"/>
        <v>3225806.452</v>
      </c>
      <c r="F10" s="242">
        <f t="shared" si="2"/>
        <v>4.962779156</v>
      </c>
    </row>
    <row r="11" ht="15.75" customHeight="1">
      <c r="A11" s="241"/>
      <c r="D11" s="215">
        <f t="shared" si="3"/>
        <v>45876</v>
      </c>
      <c r="E11" s="216">
        <f t="shared" si="1"/>
        <v>3225806.452</v>
      </c>
      <c r="F11" s="242">
        <f t="shared" si="2"/>
        <v>4.962779156</v>
      </c>
    </row>
    <row r="12" ht="15.75" customHeight="1">
      <c r="A12" s="241"/>
      <c r="D12" s="215">
        <f t="shared" si="3"/>
        <v>45877</v>
      </c>
      <c r="E12" s="216">
        <f t="shared" si="1"/>
        <v>3225806.452</v>
      </c>
      <c r="F12" s="242">
        <f t="shared" si="2"/>
        <v>4.962779156</v>
      </c>
    </row>
    <row r="13" ht="15.75" customHeight="1">
      <c r="A13" s="241"/>
      <c r="D13" s="215">
        <f t="shared" si="3"/>
        <v>45878</v>
      </c>
      <c r="E13" s="216">
        <f t="shared" si="1"/>
        <v>3225806.452</v>
      </c>
      <c r="F13" s="242">
        <f t="shared" si="2"/>
        <v>4.962779156</v>
      </c>
    </row>
    <row r="14" ht="15.75" customHeight="1">
      <c r="A14" s="241"/>
      <c r="D14" s="215">
        <f t="shared" si="3"/>
        <v>45879</v>
      </c>
      <c r="E14" s="216">
        <f t="shared" si="1"/>
        <v>3225806.452</v>
      </c>
      <c r="F14" s="242">
        <f t="shared" si="2"/>
        <v>4.962779156</v>
      </c>
    </row>
    <row r="15" ht="15.75" customHeight="1">
      <c r="A15" s="241"/>
      <c r="D15" s="215">
        <f t="shared" si="3"/>
        <v>45880</v>
      </c>
      <c r="E15" s="216">
        <f t="shared" si="1"/>
        <v>3225806.452</v>
      </c>
      <c r="F15" s="242">
        <f t="shared" si="2"/>
        <v>4.962779156</v>
      </c>
    </row>
    <row r="16" ht="15.75" customHeight="1">
      <c r="A16" s="241"/>
      <c r="D16" s="215">
        <f t="shared" si="3"/>
        <v>45881</v>
      </c>
      <c r="E16" s="216">
        <f t="shared" si="1"/>
        <v>3225806.452</v>
      </c>
      <c r="F16" s="242">
        <f t="shared" si="2"/>
        <v>4.962779156</v>
      </c>
    </row>
    <row r="17" ht="15.75" customHeight="1">
      <c r="A17" s="241"/>
      <c r="D17" s="215">
        <f t="shared" si="3"/>
        <v>45882</v>
      </c>
      <c r="E17" s="216">
        <f t="shared" si="1"/>
        <v>3225806.452</v>
      </c>
      <c r="F17" s="242">
        <f t="shared" si="2"/>
        <v>4.962779156</v>
      </c>
    </row>
    <row r="18" ht="15.75" customHeight="1">
      <c r="A18" s="241"/>
      <c r="D18" s="215">
        <f t="shared" si="3"/>
        <v>45883</v>
      </c>
      <c r="E18" s="216">
        <f t="shared" si="1"/>
        <v>3225806.452</v>
      </c>
      <c r="F18" s="242">
        <f t="shared" si="2"/>
        <v>4.962779156</v>
      </c>
    </row>
    <row r="19" ht="15.75" customHeight="1">
      <c r="A19" s="241"/>
      <c r="D19" s="215">
        <f t="shared" si="3"/>
        <v>45884</v>
      </c>
      <c r="E19" s="216">
        <f t="shared" si="1"/>
        <v>3225806.452</v>
      </c>
      <c r="F19" s="242">
        <f t="shared" si="2"/>
        <v>4.962779156</v>
      </c>
    </row>
    <row r="20" ht="15.75" customHeight="1">
      <c r="A20" s="241"/>
      <c r="D20" s="215">
        <f t="shared" si="3"/>
        <v>45885</v>
      </c>
      <c r="E20" s="216">
        <f t="shared" si="1"/>
        <v>3225806.452</v>
      </c>
      <c r="F20" s="242">
        <f t="shared" si="2"/>
        <v>4.962779156</v>
      </c>
    </row>
    <row r="21" ht="15.75" customHeight="1">
      <c r="A21" s="241"/>
      <c r="D21" s="215">
        <f t="shared" si="3"/>
        <v>45886</v>
      </c>
      <c r="E21" s="216">
        <f t="shared" si="1"/>
        <v>3225806.452</v>
      </c>
      <c r="F21" s="242">
        <f t="shared" si="2"/>
        <v>4.962779156</v>
      </c>
    </row>
    <row r="22" ht="15.75" customHeight="1">
      <c r="A22" s="241"/>
      <c r="D22" s="215">
        <f t="shared" si="3"/>
        <v>45887</v>
      </c>
      <c r="E22" s="216">
        <f t="shared" si="1"/>
        <v>3225806.452</v>
      </c>
      <c r="F22" s="242">
        <f t="shared" si="2"/>
        <v>4.962779156</v>
      </c>
    </row>
    <row r="23" ht="15.75" customHeight="1">
      <c r="A23" s="241"/>
      <c r="D23" s="215">
        <f t="shared" si="3"/>
        <v>45888</v>
      </c>
      <c r="E23" s="216">
        <f t="shared" si="1"/>
        <v>3225806.452</v>
      </c>
      <c r="F23" s="242">
        <f t="shared" si="2"/>
        <v>4.962779156</v>
      </c>
    </row>
    <row r="24" ht="15.75" customHeight="1">
      <c r="A24" s="241"/>
      <c r="D24" s="215">
        <f t="shared" si="3"/>
        <v>45889</v>
      </c>
      <c r="E24" s="216">
        <f t="shared" si="1"/>
        <v>3225806.452</v>
      </c>
      <c r="F24" s="242">
        <f t="shared" si="2"/>
        <v>4.962779156</v>
      </c>
    </row>
    <row r="25" ht="15.75" customHeight="1">
      <c r="A25" s="241"/>
      <c r="D25" s="215">
        <f t="shared" si="3"/>
        <v>45890</v>
      </c>
      <c r="E25" s="216">
        <f t="shared" si="1"/>
        <v>3225806.452</v>
      </c>
      <c r="F25" s="242">
        <f t="shared" si="2"/>
        <v>4.962779156</v>
      </c>
    </row>
    <row r="26" ht="15.75" customHeight="1">
      <c r="A26" s="241"/>
      <c r="D26" s="215">
        <f t="shared" si="3"/>
        <v>45891</v>
      </c>
      <c r="E26" s="216">
        <f t="shared" si="1"/>
        <v>3225806.452</v>
      </c>
      <c r="F26" s="242">
        <f t="shared" si="2"/>
        <v>4.962779156</v>
      </c>
    </row>
    <row r="27" ht="15.75" customHeight="1">
      <c r="A27" s="241"/>
      <c r="D27" s="215">
        <f t="shared" si="3"/>
        <v>45892</v>
      </c>
      <c r="E27" s="216">
        <f t="shared" si="1"/>
        <v>3225806.452</v>
      </c>
      <c r="F27" s="242">
        <f t="shared" si="2"/>
        <v>4.962779156</v>
      </c>
    </row>
    <row r="28" ht="15.75" customHeight="1">
      <c r="A28" s="241"/>
      <c r="D28" s="215">
        <f t="shared" si="3"/>
        <v>45893</v>
      </c>
      <c r="E28" s="216">
        <f t="shared" si="1"/>
        <v>3225806.452</v>
      </c>
      <c r="F28" s="242">
        <f t="shared" si="2"/>
        <v>4.962779156</v>
      </c>
    </row>
    <row r="29" ht="15.75" customHeight="1">
      <c r="A29" s="241"/>
      <c r="D29" s="215">
        <f t="shared" si="3"/>
        <v>45894</v>
      </c>
      <c r="E29" s="216">
        <f t="shared" si="1"/>
        <v>3225806.452</v>
      </c>
      <c r="F29" s="242">
        <f t="shared" si="2"/>
        <v>4.962779156</v>
      </c>
    </row>
    <row r="30" ht="15.75" customHeight="1">
      <c r="A30" s="241"/>
      <c r="D30" s="215">
        <f t="shared" si="3"/>
        <v>45895</v>
      </c>
      <c r="E30" s="216">
        <f t="shared" si="1"/>
        <v>3225806.452</v>
      </c>
      <c r="F30" s="242">
        <f t="shared" si="2"/>
        <v>4.962779156</v>
      </c>
    </row>
    <row r="31" ht="15.75" customHeight="1">
      <c r="A31" s="241"/>
      <c r="D31" s="215">
        <f t="shared" si="3"/>
        <v>45896</v>
      </c>
      <c r="E31" s="216">
        <f t="shared" si="1"/>
        <v>3225806.452</v>
      </c>
      <c r="F31" s="242">
        <f t="shared" si="2"/>
        <v>4.962779156</v>
      </c>
    </row>
    <row r="32" ht="15.75" customHeight="1">
      <c r="A32" s="241"/>
      <c r="D32" s="215">
        <f t="shared" si="3"/>
        <v>45897</v>
      </c>
      <c r="E32" s="216">
        <f t="shared" si="1"/>
        <v>3225806.452</v>
      </c>
      <c r="F32" s="242">
        <f t="shared" si="2"/>
        <v>4.962779156</v>
      </c>
    </row>
    <row r="33" ht="15.75" customHeight="1">
      <c r="A33" s="241"/>
      <c r="D33" s="215">
        <f t="shared" si="3"/>
        <v>45898</v>
      </c>
      <c r="E33" s="216">
        <f t="shared" si="1"/>
        <v>3225806.452</v>
      </c>
      <c r="F33" s="242">
        <f t="shared" si="2"/>
        <v>4.962779156</v>
      </c>
    </row>
    <row r="34" ht="15.75" customHeight="1">
      <c r="A34" s="241"/>
      <c r="D34" s="215">
        <f t="shared" si="3"/>
        <v>45899</v>
      </c>
      <c r="E34" s="216">
        <f t="shared" si="1"/>
        <v>3225806.452</v>
      </c>
      <c r="F34" s="242">
        <f t="shared" si="2"/>
        <v>4.962779156</v>
      </c>
    </row>
    <row r="35" ht="15.75" customHeight="1">
      <c r="A35" s="241"/>
      <c r="D35" s="215">
        <f t="shared" si="3"/>
        <v>45900</v>
      </c>
      <c r="E35" s="216">
        <f t="shared" si="1"/>
        <v>3225806.452</v>
      </c>
      <c r="F35" s="242">
        <f t="shared" si="2"/>
        <v>4.962779156</v>
      </c>
    </row>
    <row r="36" ht="15.75" customHeight="1">
      <c r="A36" s="244">
        <v>9.0</v>
      </c>
      <c r="B36" s="245" t="s">
        <v>698</v>
      </c>
      <c r="C36" s="246">
        <v>1.4318213399999997E8</v>
      </c>
      <c r="D36" s="247">
        <f t="shared" si="3"/>
        <v>45901</v>
      </c>
      <c r="E36" s="248">
        <f t="shared" ref="E36:E65" si="4">$C$36/$C$37</f>
        <v>4772737.8</v>
      </c>
      <c r="F36" s="249">
        <f t="shared" si="2"/>
        <v>7.342673538</v>
      </c>
    </row>
    <row r="37" ht="15.75" customHeight="1">
      <c r="A37" s="241"/>
      <c r="B37" s="109" t="s">
        <v>697</v>
      </c>
      <c r="C37" s="109">
        <f>COUNTA(D36:D65)</f>
        <v>30</v>
      </c>
      <c r="D37" s="215">
        <f t="shared" si="3"/>
        <v>45902</v>
      </c>
      <c r="E37" s="216">
        <f t="shared" si="4"/>
        <v>4772737.8</v>
      </c>
      <c r="F37" s="242">
        <f t="shared" si="2"/>
        <v>7.342673538</v>
      </c>
    </row>
    <row r="38" ht="15.75" customHeight="1">
      <c r="A38" s="241"/>
      <c r="D38" s="215">
        <f t="shared" si="3"/>
        <v>45903</v>
      </c>
      <c r="E38" s="216">
        <f t="shared" si="4"/>
        <v>4772737.8</v>
      </c>
      <c r="F38" s="242">
        <f t="shared" si="2"/>
        <v>7.342673538</v>
      </c>
    </row>
    <row r="39" ht="15.75" customHeight="1">
      <c r="A39" s="241"/>
      <c r="D39" s="215">
        <f t="shared" si="3"/>
        <v>45904</v>
      </c>
      <c r="E39" s="216">
        <f t="shared" si="4"/>
        <v>4772737.8</v>
      </c>
      <c r="F39" s="242">
        <f t="shared" si="2"/>
        <v>7.342673538</v>
      </c>
    </row>
    <row r="40" ht="15.75" customHeight="1">
      <c r="A40" s="241"/>
      <c r="D40" s="215">
        <f t="shared" si="3"/>
        <v>45905</v>
      </c>
      <c r="E40" s="216">
        <f t="shared" si="4"/>
        <v>4772737.8</v>
      </c>
      <c r="F40" s="242">
        <f t="shared" si="2"/>
        <v>7.342673538</v>
      </c>
    </row>
    <row r="41" ht="15.75" customHeight="1">
      <c r="A41" s="241"/>
      <c r="D41" s="215">
        <f t="shared" si="3"/>
        <v>45906</v>
      </c>
      <c r="E41" s="216">
        <f t="shared" si="4"/>
        <v>4772737.8</v>
      </c>
      <c r="F41" s="242">
        <f t="shared" si="2"/>
        <v>7.342673538</v>
      </c>
    </row>
    <row r="42" ht="15.75" customHeight="1">
      <c r="A42" s="241"/>
      <c r="D42" s="215">
        <f t="shared" si="3"/>
        <v>45907</v>
      </c>
      <c r="E42" s="216">
        <f t="shared" si="4"/>
        <v>4772737.8</v>
      </c>
      <c r="F42" s="242">
        <f t="shared" si="2"/>
        <v>7.342673538</v>
      </c>
    </row>
    <row r="43" ht="15.75" customHeight="1">
      <c r="A43" s="241"/>
      <c r="D43" s="215">
        <f t="shared" si="3"/>
        <v>45908</v>
      </c>
      <c r="E43" s="216">
        <f t="shared" si="4"/>
        <v>4772737.8</v>
      </c>
      <c r="F43" s="242">
        <f t="shared" si="2"/>
        <v>7.342673538</v>
      </c>
    </row>
    <row r="44" ht="15.75" customHeight="1">
      <c r="A44" s="241"/>
      <c r="D44" s="215">
        <f t="shared" si="3"/>
        <v>45909</v>
      </c>
      <c r="E44" s="216">
        <f t="shared" si="4"/>
        <v>4772737.8</v>
      </c>
      <c r="F44" s="242">
        <f t="shared" si="2"/>
        <v>7.342673538</v>
      </c>
    </row>
    <row r="45" ht="15.75" customHeight="1">
      <c r="A45" s="241"/>
      <c r="D45" s="215">
        <f t="shared" si="3"/>
        <v>45910</v>
      </c>
      <c r="E45" s="216">
        <f t="shared" si="4"/>
        <v>4772737.8</v>
      </c>
      <c r="F45" s="242">
        <f t="shared" si="2"/>
        <v>7.342673538</v>
      </c>
    </row>
    <row r="46" ht="15.75" customHeight="1">
      <c r="A46" s="241"/>
      <c r="D46" s="215">
        <f t="shared" si="3"/>
        <v>45911</v>
      </c>
      <c r="E46" s="216">
        <f t="shared" si="4"/>
        <v>4772737.8</v>
      </c>
      <c r="F46" s="242">
        <f t="shared" si="2"/>
        <v>7.342673538</v>
      </c>
    </row>
    <row r="47" ht="15.75" customHeight="1">
      <c r="A47" s="241"/>
      <c r="D47" s="215">
        <f t="shared" si="3"/>
        <v>45912</v>
      </c>
      <c r="E47" s="216">
        <f t="shared" si="4"/>
        <v>4772737.8</v>
      </c>
      <c r="F47" s="242">
        <f t="shared" si="2"/>
        <v>7.342673538</v>
      </c>
    </row>
    <row r="48" ht="15.75" customHeight="1">
      <c r="A48" s="241"/>
      <c r="D48" s="215">
        <f t="shared" si="3"/>
        <v>45913</v>
      </c>
      <c r="E48" s="216">
        <f t="shared" si="4"/>
        <v>4772737.8</v>
      </c>
      <c r="F48" s="242">
        <f t="shared" si="2"/>
        <v>7.342673538</v>
      </c>
    </row>
    <row r="49" ht="15.75" customHeight="1">
      <c r="A49" s="241"/>
      <c r="D49" s="215">
        <f t="shared" si="3"/>
        <v>45914</v>
      </c>
      <c r="E49" s="216">
        <f t="shared" si="4"/>
        <v>4772737.8</v>
      </c>
      <c r="F49" s="242">
        <f t="shared" si="2"/>
        <v>7.342673538</v>
      </c>
    </row>
    <row r="50" ht="15.75" customHeight="1">
      <c r="A50" s="241"/>
      <c r="D50" s="215">
        <f t="shared" si="3"/>
        <v>45915</v>
      </c>
      <c r="E50" s="216">
        <f t="shared" si="4"/>
        <v>4772737.8</v>
      </c>
      <c r="F50" s="242">
        <f t="shared" si="2"/>
        <v>7.342673538</v>
      </c>
    </row>
    <row r="51" ht="15.75" customHeight="1">
      <c r="A51" s="241"/>
      <c r="D51" s="215">
        <f t="shared" si="3"/>
        <v>45916</v>
      </c>
      <c r="E51" s="216">
        <f t="shared" si="4"/>
        <v>4772737.8</v>
      </c>
      <c r="F51" s="242">
        <f t="shared" si="2"/>
        <v>7.342673538</v>
      </c>
    </row>
    <row r="52" ht="15.75" customHeight="1">
      <c r="A52" s="241"/>
      <c r="D52" s="215">
        <f t="shared" si="3"/>
        <v>45917</v>
      </c>
      <c r="E52" s="216">
        <f t="shared" si="4"/>
        <v>4772737.8</v>
      </c>
      <c r="F52" s="242">
        <f t="shared" si="2"/>
        <v>7.342673538</v>
      </c>
    </row>
    <row r="53" ht="15.75" customHeight="1">
      <c r="A53" s="241"/>
      <c r="D53" s="215">
        <f t="shared" si="3"/>
        <v>45918</v>
      </c>
      <c r="E53" s="216">
        <f t="shared" si="4"/>
        <v>4772737.8</v>
      </c>
      <c r="F53" s="242">
        <f t="shared" si="2"/>
        <v>7.342673538</v>
      </c>
    </row>
    <row r="54" ht="15.75" customHeight="1">
      <c r="A54" s="241"/>
      <c r="D54" s="215">
        <f t="shared" si="3"/>
        <v>45919</v>
      </c>
      <c r="E54" s="216">
        <f t="shared" si="4"/>
        <v>4772737.8</v>
      </c>
      <c r="F54" s="242">
        <f t="shared" si="2"/>
        <v>7.342673538</v>
      </c>
    </row>
    <row r="55" ht="15.75" customHeight="1">
      <c r="A55" s="241"/>
      <c r="D55" s="215">
        <f t="shared" si="3"/>
        <v>45920</v>
      </c>
      <c r="E55" s="216">
        <f t="shared" si="4"/>
        <v>4772737.8</v>
      </c>
      <c r="F55" s="242">
        <f t="shared" si="2"/>
        <v>7.342673538</v>
      </c>
    </row>
    <row r="56" ht="15.75" customHeight="1">
      <c r="A56" s="241"/>
      <c r="D56" s="215">
        <f t="shared" si="3"/>
        <v>45921</v>
      </c>
      <c r="E56" s="216">
        <f t="shared" si="4"/>
        <v>4772737.8</v>
      </c>
      <c r="F56" s="242">
        <f t="shared" si="2"/>
        <v>7.342673538</v>
      </c>
    </row>
    <row r="57" ht="15.75" customHeight="1">
      <c r="A57" s="241"/>
      <c r="D57" s="215">
        <f t="shared" si="3"/>
        <v>45922</v>
      </c>
      <c r="E57" s="216">
        <f t="shared" si="4"/>
        <v>4772737.8</v>
      </c>
      <c r="F57" s="242">
        <f t="shared" si="2"/>
        <v>7.342673538</v>
      </c>
    </row>
    <row r="58" ht="15.75" customHeight="1">
      <c r="A58" s="241"/>
      <c r="D58" s="215">
        <f t="shared" si="3"/>
        <v>45923</v>
      </c>
      <c r="E58" s="216">
        <f t="shared" si="4"/>
        <v>4772737.8</v>
      </c>
      <c r="F58" s="242">
        <f t="shared" si="2"/>
        <v>7.342673538</v>
      </c>
    </row>
    <row r="59" ht="15.75" customHeight="1">
      <c r="A59" s="241"/>
      <c r="D59" s="215">
        <f t="shared" si="3"/>
        <v>45924</v>
      </c>
      <c r="E59" s="216">
        <f t="shared" si="4"/>
        <v>4772737.8</v>
      </c>
      <c r="F59" s="242">
        <f t="shared" si="2"/>
        <v>7.342673538</v>
      </c>
    </row>
    <row r="60" ht="15.75" customHeight="1">
      <c r="A60" s="241"/>
      <c r="D60" s="215">
        <f t="shared" si="3"/>
        <v>45925</v>
      </c>
      <c r="E60" s="216">
        <f t="shared" si="4"/>
        <v>4772737.8</v>
      </c>
      <c r="F60" s="242">
        <f t="shared" si="2"/>
        <v>7.342673538</v>
      </c>
    </row>
    <row r="61" ht="15.75" customHeight="1">
      <c r="A61" s="241"/>
      <c r="D61" s="215">
        <f t="shared" si="3"/>
        <v>45926</v>
      </c>
      <c r="E61" s="216">
        <f t="shared" si="4"/>
        <v>4772737.8</v>
      </c>
      <c r="F61" s="242">
        <f t="shared" si="2"/>
        <v>7.342673538</v>
      </c>
    </row>
    <row r="62" ht="15.75" customHeight="1">
      <c r="A62" s="241"/>
      <c r="D62" s="215">
        <f t="shared" si="3"/>
        <v>45927</v>
      </c>
      <c r="E62" s="216">
        <f t="shared" si="4"/>
        <v>4772737.8</v>
      </c>
      <c r="F62" s="242">
        <f t="shared" si="2"/>
        <v>7.342673538</v>
      </c>
    </row>
    <row r="63" ht="15.75" customHeight="1">
      <c r="A63" s="241"/>
      <c r="D63" s="215">
        <f t="shared" si="3"/>
        <v>45928</v>
      </c>
      <c r="E63" s="216">
        <f t="shared" si="4"/>
        <v>4772737.8</v>
      </c>
      <c r="F63" s="242">
        <f t="shared" si="2"/>
        <v>7.342673538</v>
      </c>
    </row>
    <row r="64" ht="15.75" customHeight="1">
      <c r="A64" s="241"/>
      <c r="D64" s="215">
        <f t="shared" si="3"/>
        <v>45929</v>
      </c>
      <c r="E64" s="216">
        <f t="shared" si="4"/>
        <v>4772737.8</v>
      </c>
      <c r="F64" s="242">
        <f t="shared" si="2"/>
        <v>7.342673538</v>
      </c>
    </row>
    <row r="65" ht="15.75" customHeight="1">
      <c r="A65" s="241"/>
      <c r="D65" s="215">
        <f t="shared" si="3"/>
        <v>45930</v>
      </c>
      <c r="E65" s="216">
        <f t="shared" si="4"/>
        <v>4772737.8</v>
      </c>
      <c r="F65" s="242">
        <f t="shared" si="2"/>
        <v>7.342673538</v>
      </c>
    </row>
    <row r="66" ht="15.75" customHeight="1">
      <c r="A66" s="241"/>
      <c r="B66" s="245" t="s">
        <v>699</v>
      </c>
      <c r="C66" s="246">
        <v>1.53986325E8</v>
      </c>
      <c r="D66" s="247">
        <f t="shared" si="3"/>
        <v>45931</v>
      </c>
      <c r="E66" s="248">
        <f t="shared" ref="E66:E96" si="5">$C$66/$C$67</f>
        <v>4967300.806</v>
      </c>
      <c r="F66" s="249">
        <f t="shared" si="2"/>
        <v>7.642001241</v>
      </c>
    </row>
    <row r="67" ht="15.75" customHeight="1">
      <c r="A67" s="241"/>
      <c r="B67" s="109" t="s">
        <v>697</v>
      </c>
      <c r="C67" s="109">
        <f>COUNTA(D66:D96)</f>
        <v>31</v>
      </c>
      <c r="D67" s="215">
        <f t="shared" si="3"/>
        <v>45932</v>
      </c>
      <c r="E67" s="216">
        <f t="shared" si="5"/>
        <v>4967300.806</v>
      </c>
      <c r="F67" s="242">
        <f t="shared" si="2"/>
        <v>7.642001241</v>
      </c>
    </row>
    <row r="68" ht="15.75" customHeight="1">
      <c r="A68" s="241"/>
      <c r="D68" s="215">
        <f t="shared" si="3"/>
        <v>45933</v>
      </c>
      <c r="E68" s="216">
        <f t="shared" si="5"/>
        <v>4967300.806</v>
      </c>
      <c r="F68" s="242">
        <f t="shared" si="2"/>
        <v>7.642001241</v>
      </c>
    </row>
    <row r="69" ht="15.75" customHeight="1">
      <c r="A69" s="241"/>
      <c r="D69" s="215">
        <f t="shared" si="3"/>
        <v>45934</v>
      </c>
      <c r="E69" s="216">
        <f t="shared" si="5"/>
        <v>4967300.806</v>
      </c>
      <c r="F69" s="242">
        <f t="shared" si="2"/>
        <v>7.642001241</v>
      </c>
    </row>
    <row r="70" ht="15.75" customHeight="1">
      <c r="A70" s="241"/>
      <c r="D70" s="215">
        <f t="shared" si="3"/>
        <v>45935</v>
      </c>
      <c r="E70" s="216">
        <f t="shared" si="5"/>
        <v>4967300.806</v>
      </c>
      <c r="F70" s="242">
        <f t="shared" si="2"/>
        <v>7.642001241</v>
      </c>
    </row>
    <row r="71" ht="15.75" customHeight="1">
      <c r="A71" s="241"/>
      <c r="D71" s="215">
        <f t="shared" si="3"/>
        <v>45936</v>
      </c>
      <c r="E71" s="216">
        <f t="shared" si="5"/>
        <v>4967300.806</v>
      </c>
      <c r="F71" s="242">
        <f t="shared" si="2"/>
        <v>7.642001241</v>
      </c>
    </row>
    <row r="72" ht="15.75" customHeight="1">
      <c r="A72" s="241"/>
      <c r="D72" s="215">
        <f t="shared" si="3"/>
        <v>45937</v>
      </c>
      <c r="E72" s="216">
        <f t="shared" si="5"/>
        <v>4967300.806</v>
      </c>
      <c r="F72" s="242">
        <f t="shared" si="2"/>
        <v>7.642001241</v>
      </c>
    </row>
    <row r="73" ht="15.75" customHeight="1">
      <c r="A73" s="241"/>
      <c r="D73" s="215">
        <f t="shared" si="3"/>
        <v>45938</v>
      </c>
      <c r="E73" s="216">
        <f t="shared" si="5"/>
        <v>4967300.806</v>
      </c>
      <c r="F73" s="242">
        <f t="shared" si="2"/>
        <v>7.642001241</v>
      </c>
    </row>
    <row r="74" ht="15.75" customHeight="1">
      <c r="A74" s="241"/>
      <c r="D74" s="215">
        <f t="shared" si="3"/>
        <v>45939</v>
      </c>
      <c r="E74" s="216">
        <f t="shared" si="5"/>
        <v>4967300.806</v>
      </c>
      <c r="F74" s="242">
        <f t="shared" si="2"/>
        <v>7.642001241</v>
      </c>
    </row>
    <row r="75" ht="15.75" customHeight="1">
      <c r="A75" s="241"/>
      <c r="D75" s="215">
        <f t="shared" si="3"/>
        <v>45940</v>
      </c>
      <c r="E75" s="216">
        <f t="shared" si="5"/>
        <v>4967300.806</v>
      </c>
      <c r="F75" s="242">
        <f t="shared" si="2"/>
        <v>7.642001241</v>
      </c>
    </row>
    <row r="76" ht="15.75" customHeight="1">
      <c r="A76" s="241"/>
      <c r="D76" s="215">
        <f t="shared" si="3"/>
        <v>45941</v>
      </c>
      <c r="E76" s="216">
        <f t="shared" si="5"/>
        <v>4967300.806</v>
      </c>
      <c r="F76" s="242">
        <f t="shared" si="2"/>
        <v>7.642001241</v>
      </c>
    </row>
    <row r="77" ht="15.75" customHeight="1">
      <c r="A77" s="241"/>
      <c r="D77" s="215">
        <f t="shared" si="3"/>
        <v>45942</v>
      </c>
      <c r="E77" s="216">
        <f t="shared" si="5"/>
        <v>4967300.806</v>
      </c>
      <c r="F77" s="242">
        <f t="shared" si="2"/>
        <v>7.642001241</v>
      </c>
    </row>
    <row r="78" ht="15.75" customHeight="1">
      <c r="A78" s="241"/>
      <c r="D78" s="215">
        <f t="shared" si="3"/>
        <v>45943</v>
      </c>
      <c r="E78" s="216">
        <f t="shared" si="5"/>
        <v>4967300.806</v>
      </c>
      <c r="F78" s="242">
        <f t="shared" si="2"/>
        <v>7.642001241</v>
      </c>
    </row>
    <row r="79" ht="15.75" customHeight="1">
      <c r="A79" s="241"/>
      <c r="D79" s="215">
        <f t="shared" si="3"/>
        <v>45944</v>
      </c>
      <c r="E79" s="216">
        <f t="shared" si="5"/>
        <v>4967300.806</v>
      </c>
      <c r="F79" s="242">
        <f t="shared" si="2"/>
        <v>7.642001241</v>
      </c>
    </row>
    <row r="80" ht="15.75" customHeight="1">
      <c r="A80" s="241"/>
      <c r="D80" s="215">
        <f t="shared" si="3"/>
        <v>45945</v>
      </c>
      <c r="E80" s="216">
        <f t="shared" si="5"/>
        <v>4967300.806</v>
      </c>
      <c r="F80" s="242">
        <f t="shared" si="2"/>
        <v>7.642001241</v>
      </c>
    </row>
    <row r="81" ht="15.75" customHeight="1">
      <c r="A81" s="241"/>
      <c r="D81" s="215">
        <f t="shared" si="3"/>
        <v>45946</v>
      </c>
      <c r="E81" s="216">
        <f t="shared" si="5"/>
        <v>4967300.806</v>
      </c>
      <c r="F81" s="242">
        <f t="shared" si="2"/>
        <v>7.642001241</v>
      </c>
    </row>
    <row r="82" ht="15.75" customHeight="1">
      <c r="A82" s="241"/>
      <c r="D82" s="215">
        <f t="shared" si="3"/>
        <v>45947</v>
      </c>
      <c r="E82" s="216">
        <f t="shared" si="5"/>
        <v>4967300.806</v>
      </c>
      <c r="F82" s="242">
        <f t="shared" si="2"/>
        <v>7.642001241</v>
      </c>
    </row>
    <row r="83" ht="15.75" customHeight="1">
      <c r="A83" s="241"/>
      <c r="D83" s="215">
        <f t="shared" si="3"/>
        <v>45948</v>
      </c>
      <c r="E83" s="216">
        <f t="shared" si="5"/>
        <v>4967300.806</v>
      </c>
      <c r="F83" s="242">
        <f t="shared" si="2"/>
        <v>7.642001241</v>
      </c>
    </row>
    <row r="84" ht="15.75" customHeight="1">
      <c r="A84" s="241"/>
      <c r="D84" s="215">
        <f t="shared" si="3"/>
        <v>45949</v>
      </c>
      <c r="E84" s="216">
        <f t="shared" si="5"/>
        <v>4967300.806</v>
      </c>
      <c r="F84" s="242">
        <f t="shared" si="2"/>
        <v>7.642001241</v>
      </c>
    </row>
    <row r="85" ht="15.75" customHeight="1">
      <c r="A85" s="241"/>
      <c r="D85" s="215">
        <f t="shared" si="3"/>
        <v>45950</v>
      </c>
      <c r="E85" s="216">
        <f t="shared" si="5"/>
        <v>4967300.806</v>
      </c>
      <c r="F85" s="242">
        <f t="shared" si="2"/>
        <v>7.642001241</v>
      </c>
    </row>
    <row r="86" ht="15.75" customHeight="1">
      <c r="A86" s="241"/>
      <c r="D86" s="215">
        <f t="shared" si="3"/>
        <v>45951</v>
      </c>
      <c r="E86" s="216">
        <f t="shared" si="5"/>
        <v>4967300.806</v>
      </c>
      <c r="F86" s="242">
        <f t="shared" si="2"/>
        <v>7.642001241</v>
      </c>
    </row>
    <row r="87" ht="15.75" customHeight="1">
      <c r="A87" s="241"/>
      <c r="D87" s="215">
        <f t="shared" si="3"/>
        <v>45952</v>
      </c>
      <c r="E87" s="216">
        <f t="shared" si="5"/>
        <v>4967300.806</v>
      </c>
      <c r="F87" s="242">
        <f t="shared" si="2"/>
        <v>7.642001241</v>
      </c>
    </row>
    <row r="88" ht="15.75" customHeight="1">
      <c r="A88" s="241"/>
      <c r="D88" s="215">
        <f t="shared" si="3"/>
        <v>45953</v>
      </c>
      <c r="E88" s="216">
        <f t="shared" si="5"/>
        <v>4967300.806</v>
      </c>
      <c r="F88" s="242">
        <f t="shared" si="2"/>
        <v>7.642001241</v>
      </c>
    </row>
    <row r="89" ht="15.75" customHeight="1">
      <c r="A89" s="241"/>
      <c r="D89" s="215">
        <f t="shared" si="3"/>
        <v>45954</v>
      </c>
      <c r="E89" s="216">
        <f t="shared" si="5"/>
        <v>4967300.806</v>
      </c>
      <c r="F89" s="242">
        <f t="shared" si="2"/>
        <v>7.642001241</v>
      </c>
    </row>
    <row r="90" ht="15.75" customHeight="1">
      <c r="A90" s="241"/>
      <c r="D90" s="215">
        <f t="shared" si="3"/>
        <v>45955</v>
      </c>
      <c r="E90" s="216">
        <f t="shared" si="5"/>
        <v>4967300.806</v>
      </c>
      <c r="F90" s="242">
        <f t="shared" si="2"/>
        <v>7.642001241</v>
      </c>
    </row>
    <row r="91" ht="15.75" customHeight="1">
      <c r="A91" s="241"/>
      <c r="D91" s="215">
        <f t="shared" si="3"/>
        <v>45956</v>
      </c>
      <c r="E91" s="216">
        <f t="shared" si="5"/>
        <v>4967300.806</v>
      </c>
      <c r="F91" s="242">
        <f t="shared" si="2"/>
        <v>7.642001241</v>
      </c>
    </row>
    <row r="92" ht="15.75" customHeight="1">
      <c r="A92" s="241"/>
      <c r="D92" s="215">
        <f t="shared" si="3"/>
        <v>45957</v>
      </c>
      <c r="E92" s="216">
        <f t="shared" si="5"/>
        <v>4967300.806</v>
      </c>
      <c r="F92" s="242">
        <f t="shared" si="2"/>
        <v>7.642001241</v>
      </c>
    </row>
    <row r="93" ht="15.75" customHeight="1">
      <c r="A93" s="241"/>
      <c r="D93" s="215">
        <f t="shared" si="3"/>
        <v>45958</v>
      </c>
      <c r="E93" s="216">
        <f t="shared" si="5"/>
        <v>4967300.806</v>
      </c>
      <c r="F93" s="242">
        <f t="shared" si="2"/>
        <v>7.642001241</v>
      </c>
    </row>
    <row r="94" ht="15.75" customHeight="1">
      <c r="A94" s="241"/>
      <c r="D94" s="215">
        <f t="shared" si="3"/>
        <v>45959</v>
      </c>
      <c r="E94" s="216">
        <f t="shared" si="5"/>
        <v>4967300.806</v>
      </c>
      <c r="F94" s="242">
        <f t="shared" si="2"/>
        <v>7.642001241</v>
      </c>
    </row>
    <row r="95" ht="15.75" customHeight="1">
      <c r="A95" s="241"/>
      <c r="D95" s="215">
        <f t="shared" si="3"/>
        <v>45960</v>
      </c>
      <c r="E95" s="216">
        <f t="shared" si="5"/>
        <v>4967300.806</v>
      </c>
      <c r="F95" s="242">
        <f t="shared" si="2"/>
        <v>7.642001241</v>
      </c>
    </row>
    <row r="96" ht="15.75" customHeight="1">
      <c r="A96" s="241"/>
      <c r="D96" s="215">
        <f t="shared" si="3"/>
        <v>45961</v>
      </c>
      <c r="E96" s="216">
        <f t="shared" si="5"/>
        <v>4967300.806</v>
      </c>
      <c r="F96" s="242">
        <f t="shared" si="2"/>
        <v>7.642001241</v>
      </c>
    </row>
    <row r="97" ht="15.75" customHeight="1">
      <c r="A97" s="241"/>
      <c r="B97" s="245" t="s">
        <v>700</v>
      </c>
      <c r="C97" s="246">
        <v>1.57925E8</v>
      </c>
      <c r="D97" s="247">
        <f t="shared" si="3"/>
        <v>45962</v>
      </c>
      <c r="E97" s="248">
        <f t="shared" ref="E97:E126" si="6">$C$97/$C$98</f>
        <v>5264166.667</v>
      </c>
      <c r="F97" s="249">
        <f t="shared" si="2"/>
        <v>8.098717949</v>
      </c>
    </row>
    <row r="98" ht="15.75" customHeight="1">
      <c r="A98" s="241"/>
      <c r="B98" s="109" t="s">
        <v>697</v>
      </c>
      <c r="C98" s="109">
        <v>30.0</v>
      </c>
      <c r="D98" s="215">
        <f t="shared" si="3"/>
        <v>45963</v>
      </c>
      <c r="E98" s="250">
        <f t="shared" si="6"/>
        <v>5264166.667</v>
      </c>
      <c r="F98" s="242">
        <f t="shared" si="2"/>
        <v>8.098717949</v>
      </c>
    </row>
    <row r="99" ht="15.75" customHeight="1">
      <c r="A99" s="241"/>
      <c r="D99" s="215">
        <f t="shared" si="3"/>
        <v>45964</v>
      </c>
      <c r="E99" s="250">
        <f t="shared" si="6"/>
        <v>5264166.667</v>
      </c>
      <c r="F99" s="242">
        <f t="shared" si="2"/>
        <v>8.098717949</v>
      </c>
    </row>
    <row r="100" ht="15.75" customHeight="1">
      <c r="A100" s="241"/>
      <c r="D100" s="215">
        <f t="shared" si="3"/>
        <v>45965</v>
      </c>
      <c r="E100" s="250">
        <f t="shared" si="6"/>
        <v>5264166.667</v>
      </c>
      <c r="F100" s="242">
        <f t="shared" si="2"/>
        <v>8.098717949</v>
      </c>
    </row>
    <row r="101" ht="15.75" customHeight="1">
      <c r="A101" s="241"/>
      <c r="D101" s="215">
        <f t="shared" si="3"/>
        <v>45966</v>
      </c>
      <c r="E101" s="250">
        <f t="shared" si="6"/>
        <v>5264166.667</v>
      </c>
      <c r="F101" s="242">
        <f t="shared" si="2"/>
        <v>8.098717949</v>
      </c>
    </row>
    <row r="102" ht="15.75" customHeight="1">
      <c r="A102" s="241"/>
      <c r="D102" s="215">
        <f t="shared" si="3"/>
        <v>45967</v>
      </c>
      <c r="E102" s="250">
        <f t="shared" si="6"/>
        <v>5264166.667</v>
      </c>
      <c r="F102" s="242">
        <f t="shared" si="2"/>
        <v>8.098717949</v>
      </c>
    </row>
    <row r="103" ht="15.75" customHeight="1">
      <c r="A103" s="241"/>
      <c r="D103" s="215">
        <f t="shared" si="3"/>
        <v>45968</v>
      </c>
      <c r="E103" s="250">
        <f t="shared" si="6"/>
        <v>5264166.667</v>
      </c>
      <c r="F103" s="242">
        <f t="shared" si="2"/>
        <v>8.098717949</v>
      </c>
    </row>
    <row r="104" ht="15.75" customHeight="1">
      <c r="A104" s="241"/>
      <c r="D104" s="215">
        <f t="shared" si="3"/>
        <v>45969</v>
      </c>
      <c r="E104" s="250">
        <f t="shared" si="6"/>
        <v>5264166.667</v>
      </c>
      <c r="F104" s="242">
        <f t="shared" si="2"/>
        <v>8.098717949</v>
      </c>
    </row>
    <row r="105" ht="15.75" customHeight="1">
      <c r="A105" s="241"/>
      <c r="D105" s="215">
        <f t="shared" si="3"/>
        <v>45970</v>
      </c>
      <c r="E105" s="250">
        <f t="shared" si="6"/>
        <v>5264166.667</v>
      </c>
      <c r="F105" s="242">
        <f t="shared" si="2"/>
        <v>8.098717949</v>
      </c>
    </row>
    <row r="106" ht="15.75" customHeight="1">
      <c r="A106" s="241"/>
      <c r="D106" s="215">
        <f t="shared" si="3"/>
        <v>45971</v>
      </c>
      <c r="E106" s="250">
        <f t="shared" si="6"/>
        <v>5264166.667</v>
      </c>
      <c r="F106" s="242">
        <f t="shared" si="2"/>
        <v>8.098717949</v>
      </c>
    </row>
    <row r="107" ht="15.75" customHeight="1">
      <c r="A107" s="241"/>
      <c r="D107" s="215">
        <f t="shared" si="3"/>
        <v>45972</v>
      </c>
      <c r="E107" s="250">
        <f t="shared" si="6"/>
        <v>5264166.667</v>
      </c>
      <c r="F107" s="242">
        <f t="shared" si="2"/>
        <v>8.098717949</v>
      </c>
    </row>
    <row r="108" ht="15.75" customHeight="1">
      <c r="A108" s="241"/>
      <c r="D108" s="215">
        <f t="shared" si="3"/>
        <v>45973</v>
      </c>
      <c r="E108" s="250">
        <f t="shared" si="6"/>
        <v>5264166.667</v>
      </c>
      <c r="F108" s="242">
        <f t="shared" si="2"/>
        <v>8.098717949</v>
      </c>
    </row>
    <row r="109" ht="15.75" customHeight="1">
      <c r="A109" s="241"/>
      <c r="D109" s="215">
        <f t="shared" si="3"/>
        <v>45974</v>
      </c>
      <c r="E109" s="250">
        <f t="shared" si="6"/>
        <v>5264166.667</v>
      </c>
      <c r="F109" s="242">
        <f t="shared" si="2"/>
        <v>8.098717949</v>
      </c>
    </row>
    <row r="110" ht="15.75" customHeight="1">
      <c r="A110" s="241"/>
      <c r="D110" s="215">
        <f t="shared" si="3"/>
        <v>45975</v>
      </c>
      <c r="E110" s="250">
        <f t="shared" si="6"/>
        <v>5264166.667</v>
      </c>
      <c r="F110" s="242">
        <f t="shared" si="2"/>
        <v>8.098717949</v>
      </c>
    </row>
    <row r="111" ht="15.75" customHeight="1">
      <c r="A111" s="241"/>
      <c r="D111" s="215">
        <f t="shared" si="3"/>
        <v>45976</v>
      </c>
      <c r="E111" s="250">
        <f t="shared" si="6"/>
        <v>5264166.667</v>
      </c>
      <c r="F111" s="242">
        <f t="shared" si="2"/>
        <v>8.098717949</v>
      </c>
    </row>
    <row r="112" ht="15.75" customHeight="1">
      <c r="A112" s="241"/>
      <c r="D112" s="215">
        <f t="shared" si="3"/>
        <v>45977</v>
      </c>
      <c r="E112" s="250">
        <f t="shared" si="6"/>
        <v>5264166.667</v>
      </c>
      <c r="F112" s="242">
        <f t="shared" si="2"/>
        <v>8.098717949</v>
      </c>
    </row>
    <row r="113" ht="15.75" customHeight="1">
      <c r="A113" s="241"/>
      <c r="D113" s="215">
        <f t="shared" si="3"/>
        <v>45978</v>
      </c>
      <c r="E113" s="250">
        <f t="shared" si="6"/>
        <v>5264166.667</v>
      </c>
      <c r="F113" s="242">
        <f t="shared" si="2"/>
        <v>8.098717949</v>
      </c>
    </row>
    <row r="114" ht="15.75" customHeight="1">
      <c r="A114" s="241"/>
      <c r="D114" s="215">
        <f t="shared" si="3"/>
        <v>45979</v>
      </c>
      <c r="E114" s="250">
        <f t="shared" si="6"/>
        <v>5264166.667</v>
      </c>
      <c r="F114" s="242">
        <f t="shared" si="2"/>
        <v>8.098717949</v>
      </c>
    </row>
    <row r="115" ht="15.75" customHeight="1">
      <c r="A115" s="241"/>
      <c r="D115" s="215">
        <f t="shared" si="3"/>
        <v>45980</v>
      </c>
      <c r="E115" s="250">
        <f t="shared" si="6"/>
        <v>5264166.667</v>
      </c>
      <c r="F115" s="242">
        <f t="shared" si="2"/>
        <v>8.098717949</v>
      </c>
    </row>
    <row r="116" ht="15.75" customHeight="1">
      <c r="A116" s="241"/>
      <c r="D116" s="215">
        <f t="shared" si="3"/>
        <v>45981</v>
      </c>
      <c r="E116" s="250">
        <f t="shared" si="6"/>
        <v>5264166.667</v>
      </c>
      <c r="F116" s="242">
        <f t="shared" si="2"/>
        <v>8.098717949</v>
      </c>
    </row>
    <row r="117" ht="15.75" customHeight="1">
      <c r="A117" s="241"/>
      <c r="D117" s="215">
        <f t="shared" si="3"/>
        <v>45982</v>
      </c>
      <c r="E117" s="250">
        <f t="shared" si="6"/>
        <v>5264166.667</v>
      </c>
      <c r="F117" s="242">
        <f t="shared" si="2"/>
        <v>8.098717949</v>
      </c>
    </row>
    <row r="118" ht="15.75" customHeight="1">
      <c r="A118" s="241"/>
      <c r="D118" s="215">
        <f t="shared" si="3"/>
        <v>45983</v>
      </c>
      <c r="E118" s="250">
        <f t="shared" si="6"/>
        <v>5264166.667</v>
      </c>
      <c r="F118" s="242">
        <f t="shared" si="2"/>
        <v>8.098717949</v>
      </c>
    </row>
    <row r="119" ht="15.75" customHeight="1">
      <c r="A119" s="241"/>
      <c r="D119" s="215">
        <f t="shared" si="3"/>
        <v>45984</v>
      </c>
      <c r="E119" s="250">
        <f t="shared" si="6"/>
        <v>5264166.667</v>
      </c>
      <c r="F119" s="242">
        <f t="shared" si="2"/>
        <v>8.098717949</v>
      </c>
    </row>
    <row r="120" ht="15.75" customHeight="1">
      <c r="A120" s="241"/>
      <c r="D120" s="215">
        <f t="shared" si="3"/>
        <v>45985</v>
      </c>
      <c r="E120" s="250">
        <f t="shared" si="6"/>
        <v>5264166.667</v>
      </c>
      <c r="F120" s="242">
        <f t="shared" si="2"/>
        <v>8.098717949</v>
      </c>
    </row>
    <row r="121" ht="15.75" customHeight="1">
      <c r="A121" s="241"/>
      <c r="D121" s="215">
        <f t="shared" si="3"/>
        <v>45986</v>
      </c>
      <c r="E121" s="250">
        <f t="shared" si="6"/>
        <v>5264166.667</v>
      </c>
      <c r="F121" s="242">
        <f t="shared" si="2"/>
        <v>8.098717949</v>
      </c>
    </row>
    <row r="122" ht="15.75" customHeight="1">
      <c r="A122" s="241"/>
      <c r="D122" s="215">
        <f t="shared" si="3"/>
        <v>45987</v>
      </c>
      <c r="E122" s="250">
        <f t="shared" si="6"/>
        <v>5264166.667</v>
      </c>
      <c r="F122" s="242">
        <f t="shared" si="2"/>
        <v>8.098717949</v>
      </c>
    </row>
    <row r="123" ht="15.75" customHeight="1">
      <c r="A123" s="241"/>
      <c r="D123" s="215">
        <f t="shared" si="3"/>
        <v>45988</v>
      </c>
      <c r="E123" s="250">
        <f t="shared" si="6"/>
        <v>5264166.667</v>
      </c>
      <c r="F123" s="242">
        <f t="shared" si="2"/>
        <v>8.098717949</v>
      </c>
    </row>
    <row r="124" ht="15.75" customHeight="1">
      <c r="A124" s="241"/>
      <c r="D124" s="215">
        <f t="shared" si="3"/>
        <v>45989</v>
      </c>
      <c r="E124" s="250">
        <f t="shared" si="6"/>
        <v>5264166.667</v>
      </c>
      <c r="F124" s="242">
        <f t="shared" si="2"/>
        <v>8.098717949</v>
      </c>
    </row>
    <row r="125" ht="15.75" customHeight="1">
      <c r="A125" s="241"/>
      <c r="D125" s="215">
        <f t="shared" si="3"/>
        <v>45990</v>
      </c>
      <c r="E125" s="250">
        <f t="shared" si="6"/>
        <v>5264166.667</v>
      </c>
      <c r="F125" s="242">
        <f t="shared" si="2"/>
        <v>8.098717949</v>
      </c>
    </row>
    <row r="126" ht="15.75" customHeight="1">
      <c r="A126" s="241"/>
      <c r="D126" s="215">
        <f t="shared" si="3"/>
        <v>45991</v>
      </c>
      <c r="E126" s="250">
        <f t="shared" si="6"/>
        <v>5264166.667</v>
      </c>
      <c r="F126" s="242">
        <f t="shared" si="2"/>
        <v>8.098717949</v>
      </c>
    </row>
    <row r="127" ht="15.75" customHeight="1">
      <c r="A127" s="241"/>
      <c r="B127" s="245" t="s">
        <v>701</v>
      </c>
      <c r="C127" s="246">
        <v>1.5051E8</v>
      </c>
      <c r="D127" s="215">
        <f t="shared" si="3"/>
        <v>45992</v>
      </c>
      <c r="E127" s="251">
        <f t="shared" ref="E127:E157" si="7">$C$127/$C$128</f>
        <v>4855161.29</v>
      </c>
      <c r="F127" s="242">
        <f t="shared" si="2"/>
        <v>7.469478908</v>
      </c>
    </row>
    <row r="128" ht="15.75" customHeight="1">
      <c r="A128" s="241"/>
      <c r="B128" s="109" t="s">
        <v>697</v>
      </c>
      <c r="C128" s="109">
        <v>31.0</v>
      </c>
      <c r="D128" s="215">
        <f t="shared" si="3"/>
        <v>45993</v>
      </c>
      <c r="E128" s="251">
        <f t="shared" si="7"/>
        <v>4855161.29</v>
      </c>
      <c r="F128" s="242">
        <f t="shared" si="2"/>
        <v>7.469478908</v>
      </c>
    </row>
    <row r="129" ht="15.75" customHeight="1">
      <c r="A129" s="241"/>
      <c r="D129" s="215">
        <f t="shared" si="3"/>
        <v>45994</v>
      </c>
      <c r="E129" s="251">
        <f t="shared" si="7"/>
        <v>4855161.29</v>
      </c>
      <c r="F129" s="242">
        <f t="shared" si="2"/>
        <v>7.469478908</v>
      </c>
    </row>
    <row r="130" ht="15.75" customHeight="1">
      <c r="A130" s="241"/>
      <c r="D130" s="215">
        <f t="shared" si="3"/>
        <v>45995</v>
      </c>
      <c r="E130" s="251">
        <f t="shared" si="7"/>
        <v>4855161.29</v>
      </c>
      <c r="F130" s="242">
        <f t="shared" si="2"/>
        <v>7.469478908</v>
      </c>
    </row>
    <row r="131" ht="15.75" customHeight="1">
      <c r="A131" s="241"/>
      <c r="D131" s="215">
        <f t="shared" si="3"/>
        <v>45996</v>
      </c>
      <c r="E131" s="251">
        <f t="shared" si="7"/>
        <v>4855161.29</v>
      </c>
      <c r="F131" s="242">
        <f t="shared" si="2"/>
        <v>7.469478908</v>
      </c>
    </row>
    <row r="132" ht="15.75" customHeight="1">
      <c r="A132" s="241"/>
      <c r="D132" s="215">
        <f t="shared" si="3"/>
        <v>45997</v>
      </c>
      <c r="E132" s="251">
        <f t="shared" si="7"/>
        <v>4855161.29</v>
      </c>
      <c r="F132" s="242">
        <f t="shared" si="2"/>
        <v>7.469478908</v>
      </c>
    </row>
    <row r="133" ht="15.75" customHeight="1">
      <c r="A133" s="241"/>
      <c r="D133" s="215">
        <f t="shared" si="3"/>
        <v>45998</v>
      </c>
      <c r="E133" s="251">
        <f t="shared" si="7"/>
        <v>4855161.29</v>
      </c>
      <c r="F133" s="242">
        <f t="shared" si="2"/>
        <v>7.469478908</v>
      </c>
    </row>
    <row r="134" ht="15.75" customHeight="1">
      <c r="A134" s="241"/>
      <c r="D134" s="215">
        <f t="shared" si="3"/>
        <v>45999</v>
      </c>
      <c r="E134" s="251">
        <f t="shared" si="7"/>
        <v>4855161.29</v>
      </c>
      <c r="F134" s="242">
        <f t="shared" si="2"/>
        <v>7.469478908</v>
      </c>
    </row>
    <row r="135" ht="15.75" customHeight="1">
      <c r="A135" s="241"/>
      <c r="D135" s="215">
        <f t="shared" si="3"/>
        <v>46000</v>
      </c>
      <c r="E135" s="251">
        <f t="shared" si="7"/>
        <v>4855161.29</v>
      </c>
      <c r="F135" s="242">
        <f t="shared" si="2"/>
        <v>7.469478908</v>
      </c>
    </row>
    <row r="136" ht="15.75" customHeight="1">
      <c r="A136" s="241"/>
      <c r="D136" s="215">
        <f t="shared" si="3"/>
        <v>46001</v>
      </c>
      <c r="E136" s="251">
        <f t="shared" si="7"/>
        <v>4855161.29</v>
      </c>
      <c r="F136" s="242">
        <f t="shared" si="2"/>
        <v>7.469478908</v>
      </c>
    </row>
    <row r="137" ht="15.75" customHeight="1">
      <c r="A137" s="241"/>
      <c r="D137" s="215">
        <f t="shared" si="3"/>
        <v>46002</v>
      </c>
      <c r="E137" s="251">
        <f t="shared" si="7"/>
        <v>4855161.29</v>
      </c>
      <c r="F137" s="242">
        <f t="shared" si="2"/>
        <v>7.469478908</v>
      </c>
    </row>
    <row r="138" ht="15.75" customHeight="1">
      <c r="A138" s="241"/>
      <c r="D138" s="215">
        <f t="shared" si="3"/>
        <v>46003</v>
      </c>
      <c r="E138" s="251">
        <f t="shared" si="7"/>
        <v>4855161.29</v>
      </c>
      <c r="F138" s="242">
        <f t="shared" si="2"/>
        <v>7.469478908</v>
      </c>
    </row>
    <row r="139" ht="15.75" customHeight="1">
      <c r="A139" s="241"/>
      <c r="D139" s="215">
        <f t="shared" si="3"/>
        <v>46004</v>
      </c>
      <c r="E139" s="251">
        <f t="shared" si="7"/>
        <v>4855161.29</v>
      </c>
      <c r="F139" s="242">
        <f t="shared" si="2"/>
        <v>7.469478908</v>
      </c>
    </row>
    <row r="140" ht="15.75" customHeight="1">
      <c r="A140" s="241"/>
      <c r="D140" s="215">
        <f t="shared" si="3"/>
        <v>46005</v>
      </c>
      <c r="E140" s="251">
        <f t="shared" si="7"/>
        <v>4855161.29</v>
      </c>
      <c r="F140" s="242">
        <f t="shared" si="2"/>
        <v>7.469478908</v>
      </c>
    </row>
    <row r="141" ht="15.75" customHeight="1">
      <c r="A141" s="241"/>
      <c r="D141" s="215">
        <f t="shared" si="3"/>
        <v>46006</v>
      </c>
      <c r="E141" s="251">
        <f t="shared" si="7"/>
        <v>4855161.29</v>
      </c>
      <c r="F141" s="242">
        <f t="shared" si="2"/>
        <v>7.469478908</v>
      </c>
    </row>
    <row r="142" ht="15.75" customHeight="1">
      <c r="A142" s="241"/>
      <c r="D142" s="215">
        <f t="shared" si="3"/>
        <v>46007</v>
      </c>
      <c r="E142" s="251">
        <f t="shared" si="7"/>
        <v>4855161.29</v>
      </c>
      <c r="F142" s="242">
        <f t="shared" si="2"/>
        <v>7.469478908</v>
      </c>
    </row>
    <row r="143" ht="15.75" customHeight="1">
      <c r="A143" s="241"/>
      <c r="D143" s="215">
        <f t="shared" si="3"/>
        <v>46008</v>
      </c>
      <c r="E143" s="251">
        <f t="shared" si="7"/>
        <v>4855161.29</v>
      </c>
      <c r="F143" s="242">
        <f t="shared" si="2"/>
        <v>7.469478908</v>
      </c>
    </row>
    <row r="144" ht="15.75" customHeight="1">
      <c r="A144" s="241"/>
      <c r="D144" s="215">
        <f t="shared" si="3"/>
        <v>46009</v>
      </c>
      <c r="E144" s="251">
        <f t="shared" si="7"/>
        <v>4855161.29</v>
      </c>
      <c r="F144" s="242">
        <f t="shared" si="2"/>
        <v>7.469478908</v>
      </c>
    </row>
    <row r="145" ht="15.75" customHeight="1">
      <c r="A145" s="241"/>
      <c r="D145" s="215">
        <f t="shared" si="3"/>
        <v>46010</v>
      </c>
      <c r="E145" s="251">
        <f t="shared" si="7"/>
        <v>4855161.29</v>
      </c>
      <c r="F145" s="242">
        <f t="shared" si="2"/>
        <v>7.469478908</v>
      </c>
    </row>
    <row r="146" ht="15.75" customHeight="1">
      <c r="A146" s="241"/>
      <c r="D146" s="215">
        <f t="shared" si="3"/>
        <v>46011</v>
      </c>
      <c r="E146" s="251">
        <f t="shared" si="7"/>
        <v>4855161.29</v>
      </c>
      <c r="F146" s="242">
        <f t="shared" si="2"/>
        <v>7.469478908</v>
      </c>
    </row>
    <row r="147" ht="15.75" customHeight="1">
      <c r="A147" s="241"/>
      <c r="D147" s="215">
        <f t="shared" si="3"/>
        <v>46012</v>
      </c>
      <c r="E147" s="251">
        <f t="shared" si="7"/>
        <v>4855161.29</v>
      </c>
      <c r="F147" s="242">
        <f t="shared" si="2"/>
        <v>7.469478908</v>
      </c>
    </row>
    <row r="148" ht="15.75" customHeight="1">
      <c r="A148" s="241"/>
      <c r="D148" s="215">
        <f t="shared" si="3"/>
        <v>46013</v>
      </c>
      <c r="E148" s="251">
        <f t="shared" si="7"/>
        <v>4855161.29</v>
      </c>
      <c r="F148" s="242">
        <f t="shared" si="2"/>
        <v>7.469478908</v>
      </c>
    </row>
    <row r="149" ht="15.75" customHeight="1">
      <c r="A149" s="241"/>
      <c r="D149" s="215">
        <f t="shared" si="3"/>
        <v>46014</v>
      </c>
      <c r="E149" s="251">
        <f t="shared" si="7"/>
        <v>4855161.29</v>
      </c>
      <c r="F149" s="242">
        <f t="shared" si="2"/>
        <v>7.469478908</v>
      </c>
    </row>
    <row r="150" ht="15.75" customHeight="1">
      <c r="A150" s="241"/>
      <c r="D150" s="215">
        <f t="shared" si="3"/>
        <v>46015</v>
      </c>
      <c r="E150" s="251">
        <f t="shared" si="7"/>
        <v>4855161.29</v>
      </c>
      <c r="F150" s="242">
        <f t="shared" si="2"/>
        <v>7.469478908</v>
      </c>
    </row>
    <row r="151" ht="15.75" customHeight="1">
      <c r="A151" s="241"/>
      <c r="D151" s="215">
        <f t="shared" si="3"/>
        <v>46016</v>
      </c>
      <c r="E151" s="251">
        <f t="shared" si="7"/>
        <v>4855161.29</v>
      </c>
      <c r="F151" s="242">
        <f t="shared" si="2"/>
        <v>7.469478908</v>
      </c>
    </row>
    <row r="152" ht="15.75" customHeight="1">
      <c r="A152" s="241"/>
      <c r="D152" s="215">
        <f t="shared" si="3"/>
        <v>46017</v>
      </c>
      <c r="E152" s="251">
        <f t="shared" si="7"/>
        <v>4855161.29</v>
      </c>
      <c r="F152" s="242">
        <f t="shared" si="2"/>
        <v>7.469478908</v>
      </c>
    </row>
    <row r="153" ht="15.75" customHeight="1">
      <c r="A153" s="241"/>
      <c r="D153" s="215">
        <f t="shared" si="3"/>
        <v>46018</v>
      </c>
      <c r="E153" s="251">
        <f t="shared" si="7"/>
        <v>4855161.29</v>
      </c>
      <c r="F153" s="242">
        <f t="shared" si="2"/>
        <v>7.469478908</v>
      </c>
    </row>
    <row r="154" ht="15.75" customHeight="1">
      <c r="A154" s="241"/>
      <c r="D154" s="215">
        <f t="shared" si="3"/>
        <v>46019</v>
      </c>
      <c r="E154" s="251">
        <f t="shared" si="7"/>
        <v>4855161.29</v>
      </c>
      <c r="F154" s="242">
        <f t="shared" si="2"/>
        <v>7.469478908</v>
      </c>
    </row>
    <row r="155" ht="15.75" customHeight="1">
      <c r="A155" s="241"/>
      <c r="D155" s="215">
        <f t="shared" si="3"/>
        <v>46020</v>
      </c>
      <c r="E155" s="251">
        <f t="shared" si="7"/>
        <v>4855161.29</v>
      </c>
      <c r="F155" s="242">
        <f t="shared" si="2"/>
        <v>7.469478908</v>
      </c>
    </row>
    <row r="156" ht="15.75" customHeight="1">
      <c r="A156" s="241"/>
      <c r="D156" s="215">
        <f t="shared" si="3"/>
        <v>46021</v>
      </c>
      <c r="E156" s="251">
        <f t="shared" si="7"/>
        <v>4855161.29</v>
      </c>
      <c r="F156" s="242">
        <f t="shared" si="2"/>
        <v>7.469478908</v>
      </c>
    </row>
    <row r="157" ht="15.75" customHeight="1">
      <c r="A157" s="241"/>
      <c r="D157" s="215">
        <f t="shared" si="3"/>
        <v>46022</v>
      </c>
      <c r="E157" s="251">
        <f t="shared" si="7"/>
        <v>4855161.29</v>
      </c>
      <c r="F157" s="242">
        <f t="shared" si="2"/>
        <v>7.469478908</v>
      </c>
    </row>
    <row r="158" ht="15.75" customHeight="1">
      <c r="A158" s="241"/>
      <c r="F158" s="242"/>
    </row>
    <row r="159" ht="15.75" customHeight="1">
      <c r="A159" s="241"/>
      <c r="B159" s="245" t="s">
        <v>702</v>
      </c>
      <c r="C159" s="246">
        <v>1.49955E8</v>
      </c>
      <c r="D159" s="215">
        <f>D157+1</f>
        <v>46023</v>
      </c>
      <c r="E159" s="251">
        <f t="shared" ref="E159:E189" si="8">$C$159/$C$160</f>
        <v>4837258.065</v>
      </c>
      <c r="F159" s="242">
        <f t="shared" ref="F159:F217" si="9">E159/$F$2</f>
        <v>7.441935484</v>
      </c>
    </row>
    <row r="160" ht="15.75" customHeight="1">
      <c r="A160" s="241"/>
      <c r="B160" s="109" t="s">
        <v>697</v>
      </c>
      <c r="C160" s="109">
        <v>31.0</v>
      </c>
      <c r="D160" s="215">
        <f t="shared" ref="D160:D189" si="10">D159+1</f>
        <v>46024</v>
      </c>
      <c r="E160" s="251">
        <f t="shared" si="8"/>
        <v>4837258.065</v>
      </c>
      <c r="F160" s="242">
        <f t="shared" si="9"/>
        <v>7.441935484</v>
      </c>
    </row>
    <row r="161" ht="15.75" customHeight="1">
      <c r="A161" s="241"/>
      <c r="D161" s="215">
        <f t="shared" si="10"/>
        <v>46025</v>
      </c>
      <c r="E161" s="251">
        <f t="shared" si="8"/>
        <v>4837258.065</v>
      </c>
      <c r="F161" s="242">
        <f t="shared" si="9"/>
        <v>7.441935484</v>
      </c>
    </row>
    <row r="162" ht="15.75" customHeight="1">
      <c r="A162" s="241"/>
      <c r="D162" s="215">
        <f t="shared" si="10"/>
        <v>46026</v>
      </c>
      <c r="E162" s="251">
        <f t="shared" si="8"/>
        <v>4837258.065</v>
      </c>
      <c r="F162" s="242">
        <f t="shared" si="9"/>
        <v>7.441935484</v>
      </c>
    </row>
    <row r="163" ht="15.75" customHeight="1">
      <c r="A163" s="241"/>
      <c r="D163" s="215">
        <f t="shared" si="10"/>
        <v>46027</v>
      </c>
      <c r="E163" s="251">
        <f t="shared" si="8"/>
        <v>4837258.065</v>
      </c>
      <c r="F163" s="242">
        <f t="shared" si="9"/>
        <v>7.441935484</v>
      </c>
    </row>
    <row r="164" ht="15.75" customHeight="1">
      <c r="A164" s="241"/>
      <c r="D164" s="215">
        <f t="shared" si="10"/>
        <v>46028</v>
      </c>
      <c r="E164" s="251">
        <f t="shared" si="8"/>
        <v>4837258.065</v>
      </c>
      <c r="F164" s="242">
        <f t="shared" si="9"/>
        <v>7.441935484</v>
      </c>
    </row>
    <row r="165" ht="15.75" customHeight="1">
      <c r="A165" s="241"/>
      <c r="D165" s="215">
        <f t="shared" si="10"/>
        <v>46029</v>
      </c>
      <c r="E165" s="251">
        <f t="shared" si="8"/>
        <v>4837258.065</v>
      </c>
      <c r="F165" s="242">
        <f t="shared" si="9"/>
        <v>7.441935484</v>
      </c>
    </row>
    <row r="166" ht="15.75" customHeight="1">
      <c r="A166" s="241"/>
      <c r="D166" s="215">
        <f t="shared" si="10"/>
        <v>46030</v>
      </c>
      <c r="E166" s="251">
        <f t="shared" si="8"/>
        <v>4837258.065</v>
      </c>
      <c r="F166" s="242">
        <f t="shared" si="9"/>
        <v>7.441935484</v>
      </c>
    </row>
    <row r="167" ht="15.75" customHeight="1">
      <c r="A167" s="241"/>
      <c r="D167" s="215">
        <f t="shared" si="10"/>
        <v>46031</v>
      </c>
      <c r="E167" s="251">
        <f t="shared" si="8"/>
        <v>4837258.065</v>
      </c>
      <c r="F167" s="242">
        <f t="shared" si="9"/>
        <v>7.441935484</v>
      </c>
    </row>
    <row r="168" ht="15.75" customHeight="1">
      <c r="A168" s="241"/>
      <c r="D168" s="215">
        <f t="shared" si="10"/>
        <v>46032</v>
      </c>
      <c r="E168" s="251">
        <f t="shared" si="8"/>
        <v>4837258.065</v>
      </c>
      <c r="F168" s="242">
        <f t="shared" si="9"/>
        <v>7.441935484</v>
      </c>
    </row>
    <row r="169" ht="15.75" customHeight="1">
      <c r="A169" s="241"/>
      <c r="D169" s="215">
        <f t="shared" si="10"/>
        <v>46033</v>
      </c>
      <c r="E169" s="251">
        <f t="shared" si="8"/>
        <v>4837258.065</v>
      </c>
      <c r="F169" s="242">
        <f t="shared" si="9"/>
        <v>7.441935484</v>
      </c>
    </row>
    <row r="170" ht="15.75" customHeight="1">
      <c r="A170" s="241"/>
      <c r="D170" s="215">
        <f t="shared" si="10"/>
        <v>46034</v>
      </c>
      <c r="E170" s="251">
        <f t="shared" si="8"/>
        <v>4837258.065</v>
      </c>
      <c r="F170" s="242">
        <f t="shared" si="9"/>
        <v>7.441935484</v>
      </c>
    </row>
    <row r="171" ht="15.75" customHeight="1">
      <c r="A171" s="241"/>
      <c r="D171" s="215">
        <f t="shared" si="10"/>
        <v>46035</v>
      </c>
      <c r="E171" s="251">
        <f t="shared" si="8"/>
        <v>4837258.065</v>
      </c>
      <c r="F171" s="242">
        <f t="shared" si="9"/>
        <v>7.441935484</v>
      </c>
    </row>
    <row r="172" ht="15.75" customHeight="1">
      <c r="A172" s="241"/>
      <c r="D172" s="215">
        <f t="shared" si="10"/>
        <v>46036</v>
      </c>
      <c r="E172" s="251">
        <f t="shared" si="8"/>
        <v>4837258.065</v>
      </c>
      <c r="F172" s="242">
        <f t="shared" si="9"/>
        <v>7.441935484</v>
      </c>
    </row>
    <row r="173" ht="15.75" customHeight="1">
      <c r="A173" s="241"/>
      <c r="D173" s="215">
        <f t="shared" si="10"/>
        <v>46037</v>
      </c>
      <c r="E173" s="251">
        <f t="shared" si="8"/>
        <v>4837258.065</v>
      </c>
      <c r="F173" s="242">
        <f t="shared" si="9"/>
        <v>7.441935484</v>
      </c>
    </row>
    <row r="174" ht="15.75" customHeight="1">
      <c r="A174" s="241"/>
      <c r="D174" s="215">
        <f t="shared" si="10"/>
        <v>46038</v>
      </c>
      <c r="E174" s="251">
        <f t="shared" si="8"/>
        <v>4837258.065</v>
      </c>
      <c r="F174" s="242">
        <f t="shared" si="9"/>
        <v>7.441935484</v>
      </c>
    </row>
    <row r="175" ht="15.75" customHeight="1">
      <c r="A175" s="241"/>
      <c r="D175" s="215">
        <f t="shared" si="10"/>
        <v>46039</v>
      </c>
      <c r="E175" s="251">
        <f t="shared" si="8"/>
        <v>4837258.065</v>
      </c>
      <c r="F175" s="242">
        <f t="shared" si="9"/>
        <v>7.441935484</v>
      </c>
    </row>
    <row r="176" ht="15.75" customHeight="1">
      <c r="A176" s="241"/>
      <c r="D176" s="215">
        <f t="shared" si="10"/>
        <v>46040</v>
      </c>
      <c r="E176" s="251">
        <f t="shared" si="8"/>
        <v>4837258.065</v>
      </c>
      <c r="F176" s="242">
        <f t="shared" si="9"/>
        <v>7.441935484</v>
      </c>
    </row>
    <row r="177" ht="15.75" customHeight="1">
      <c r="A177" s="241"/>
      <c r="D177" s="215">
        <f t="shared" si="10"/>
        <v>46041</v>
      </c>
      <c r="E177" s="251">
        <f t="shared" si="8"/>
        <v>4837258.065</v>
      </c>
      <c r="F177" s="242">
        <f t="shared" si="9"/>
        <v>7.441935484</v>
      </c>
    </row>
    <row r="178" ht="15.75" customHeight="1">
      <c r="A178" s="241"/>
      <c r="D178" s="215">
        <f t="shared" si="10"/>
        <v>46042</v>
      </c>
      <c r="E178" s="251">
        <f t="shared" si="8"/>
        <v>4837258.065</v>
      </c>
      <c r="F178" s="242">
        <f t="shared" si="9"/>
        <v>7.441935484</v>
      </c>
    </row>
    <row r="179" ht="15.75" customHeight="1">
      <c r="A179" s="241"/>
      <c r="D179" s="215">
        <f t="shared" si="10"/>
        <v>46043</v>
      </c>
      <c r="E179" s="251">
        <f t="shared" si="8"/>
        <v>4837258.065</v>
      </c>
      <c r="F179" s="242">
        <f t="shared" si="9"/>
        <v>7.441935484</v>
      </c>
    </row>
    <row r="180" ht="15.75" customHeight="1">
      <c r="A180" s="241"/>
      <c r="D180" s="215">
        <f t="shared" si="10"/>
        <v>46044</v>
      </c>
      <c r="E180" s="251">
        <f t="shared" si="8"/>
        <v>4837258.065</v>
      </c>
      <c r="F180" s="242">
        <f t="shared" si="9"/>
        <v>7.441935484</v>
      </c>
    </row>
    <row r="181" ht="15.75" customHeight="1">
      <c r="A181" s="241"/>
      <c r="D181" s="215">
        <f t="shared" si="10"/>
        <v>46045</v>
      </c>
      <c r="E181" s="251">
        <f t="shared" si="8"/>
        <v>4837258.065</v>
      </c>
      <c r="F181" s="242">
        <f t="shared" si="9"/>
        <v>7.441935484</v>
      </c>
    </row>
    <row r="182" ht="15.75" customHeight="1">
      <c r="A182" s="241"/>
      <c r="D182" s="215">
        <f t="shared" si="10"/>
        <v>46046</v>
      </c>
      <c r="E182" s="251">
        <f t="shared" si="8"/>
        <v>4837258.065</v>
      </c>
      <c r="F182" s="242">
        <f t="shared" si="9"/>
        <v>7.441935484</v>
      </c>
    </row>
    <row r="183" ht="15.75" customHeight="1">
      <c r="A183" s="241"/>
      <c r="D183" s="215">
        <f t="shared" si="10"/>
        <v>46047</v>
      </c>
      <c r="E183" s="251">
        <f t="shared" si="8"/>
        <v>4837258.065</v>
      </c>
      <c r="F183" s="242">
        <f t="shared" si="9"/>
        <v>7.441935484</v>
      </c>
    </row>
    <row r="184" ht="15.75" customHeight="1">
      <c r="A184" s="241"/>
      <c r="D184" s="215">
        <f t="shared" si="10"/>
        <v>46048</v>
      </c>
      <c r="E184" s="251">
        <f t="shared" si="8"/>
        <v>4837258.065</v>
      </c>
      <c r="F184" s="242">
        <f t="shared" si="9"/>
        <v>7.441935484</v>
      </c>
    </row>
    <row r="185" ht="15.75" customHeight="1">
      <c r="A185" s="241"/>
      <c r="D185" s="215">
        <f t="shared" si="10"/>
        <v>46049</v>
      </c>
      <c r="E185" s="251">
        <f t="shared" si="8"/>
        <v>4837258.065</v>
      </c>
      <c r="F185" s="242">
        <f t="shared" si="9"/>
        <v>7.441935484</v>
      </c>
    </row>
    <row r="186" ht="15.75" customHeight="1">
      <c r="A186" s="241"/>
      <c r="D186" s="215">
        <f t="shared" si="10"/>
        <v>46050</v>
      </c>
      <c r="E186" s="251">
        <f t="shared" si="8"/>
        <v>4837258.065</v>
      </c>
      <c r="F186" s="242">
        <f t="shared" si="9"/>
        <v>7.441935484</v>
      </c>
    </row>
    <row r="187" ht="15.75" customHeight="1">
      <c r="A187" s="241"/>
      <c r="D187" s="215">
        <f t="shared" si="10"/>
        <v>46051</v>
      </c>
      <c r="E187" s="251">
        <f t="shared" si="8"/>
        <v>4837258.065</v>
      </c>
      <c r="F187" s="242">
        <f t="shared" si="9"/>
        <v>7.441935484</v>
      </c>
    </row>
    <row r="188" ht="15.75" customHeight="1">
      <c r="A188" s="241"/>
      <c r="D188" s="215">
        <f t="shared" si="10"/>
        <v>46052</v>
      </c>
      <c r="E188" s="251">
        <f t="shared" si="8"/>
        <v>4837258.065</v>
      </c>
      <c r="F188" s="242">
        <f t="shared" si="9"/>
        <v>7.441935484</v>
      </c>
    </row>
    <row r="189" ht="15.75" customHeight="1">
      <c r="A189" s="241"/>
      <c r="D189" s="215">
        <f t="shared" si="10"/>
        <v>46053</v>
      </c>
      <c r="E189" s="251">
        <f t="shared" si="8"/>
        <v>4837258.065</v>
      </c>
      <c r="F189" s="242">
        <f t="shared" si="9"/>
        <v>7.441935484</v>
      </c>
    </row>
    <row r="190" ht="15.75" customHeight="1">
      <c r="A190" s="241"/>
      <c r="B190" s="252" t="s">
        <v>703</v>
      </c>
      <c r="C190" s="253">
        <v>1.25E8</v>
      </c>
      <c r="D190" s="215">
        <f t="shared" ref="D190:D217" si="11">D189+1</f>
        <v>46054</v>
      </c>
      <c r="E190" s="251">
        <f t="shared" ref="E190:E217" si="12">$C$190/$C$191</f>
        <v>4464285.714</v>
      </c>
      <c r="F190" s="242">
        <f t="shared" si="9"/>
        <v>6.868131868</v>
      </c>
    </row>
    <row r="191" ht="15.75" customHeight="1">
      <c r="A191" s="241"/>
      <c r="B191" s="109" t="s">
        <v>697</v>
      </c>
      <c r="C191" s="254">
        <v>28.0</v>
      </c>
      <c r="D191" s="215">
        <f t="shared" si="11"/>
        <v>46055</v>
      </c>
      <c r="E191" s="251">
        <f t="shared" si="12"/>
        <v>4464285.714</v>
      </c>
      <c r="F191" s="242">
        <f t="shared" si="9"/>
        <v>6.868131868</v>
      </c>
    </row>
    <row r="192" ht="15.75" customHeight="1">
      <c r="A192" s="241"/>
      <c r="D192" s="215">
        <f t="shared" si="11"/>
        <v>46056</v>
      </c>
      <c r="E192" s="251">
        <f t="shared" si="12"/>
        <v>4464285.714</v>
      </c>
      <c r="F192" s="242">
        <f t="shared" si="9"/>
        <v>6.868131868</v>
      </c>
    </row>
    <row r="193" ht="15.75" customHeight="1">
      <c r="A193" s="241"/>
      <c r="D193" s="215">
        <f t="shared" si="11"/>
        <v>46057</v>
      </c>
      <c r="E193" s="251">
        <f t="shared" si="12"/>
        <v>4464285.714</v>
      </c>
      <c r="F193" s="242">
        <f t="shared" si="9"/>
        <v>6.868131868</v>
      </c>
    </row>
    <row r="194" ht="15.75" customHeight="1">
      <c r="A194" s="241"/>
      <c r="D194" s="215">
        <f t="shared" si="11"/>
        <v>46058</v>
      </c>
      <c r="E194" s="251">
        <f t="shared" si="12"/>
        <v>4464285.714</v>
      </c>
      <c r="F194" s="242">
        <f t="shared" si="9"/>
        <v>6.868131868</v>
      </c>
    </row>
    <row r="195" ht="15.75" customHeight="1">
      <c r="A195" s="241"/>
      <c r="D195" s="215">
        <f t="shared" si="11"/>
        <v>46059</v>
      </c>
      <c r="E195" s="251">
        <f t="shared" si="12"/>
        <v>4464285.714</v>
      </c>
      <c r="F195" s="242">
        <f t="shared" si="9"/>
        <v>6.868131868</v>
      </c>
    </row>
    <row r="196" ht="15.75" customHeight="1">
      <c r="A196" s="241"/>
      <c r="D196" s="215">
        <f t="shared" si="11"/>
        <v>46060</v>
      </c>
      <c r="E196" s="251">
        <f t="shared" si="12"/>
        <v>4464285.714</v>
      </c>
      <c r="F196" s="242">
        <f t="shared" si="9"/>
        <v>6.868131868</v>
      </c>
    </row>
    <row r="197" ht="15.75" customHeight="1">
      <c r="A197" s="241"/>
      <c r="D197" s="215">
        <f t="shared" si="11"/>
        <v>46061</v>
      </c>
      <c r="E197" s="251">
        <f t="shared" si="12"/>
        <v>4464285.714</v>
      </c>
      <c r="F197" s="242">
        <f t="shared" si="9"/>
        <v>6.868131868</v>
      </c>
    </row>
    <row r="198" ht="15.75" customHeight="1">
      <c r="A198" s="241"/>
      <c r="D198" s="215">
        <f t="shared" si="11"/>
        <v>46062</v>
      </c>
      <c r="E198" s="251">
        <f t="shared" si="12"/>
        <v>4464285.714</v>
      </c>
      <c r="F198" s="242">
        <f t="shared" si="9"/>
        <v>6.868131868</v>
      </c>
    </row>
    <row r="199" ht="15.75" customHeight="1">
      <c r="A199" s="241"/>
      <c r="D199" s="215">
        <f t="shared" si="11"/>
        <v>46063</v>
      </c>
      <c r="E199" s="251">
        <f t="shared" si="12"/>
        <v>4464285.714</v>
      </c>
      <c r="F199" s="242">
        <f t="shared" si="9"/>
        <v>6.868131868</v>
      </c>
    </row>
    <row r="200" ht="15.75" customHeight="1">
      <c r="A200" s="241"/>
      <c r="D200" s="215">
        <f t="shared" si="11"/>
        <v>46064</v>
      </c>
      <c r="E200" s="251">
        <f t="shared" si="12"/>
        <v>4464285.714</v>
      </c>
      <c r="F200" s="242">
        <f t="shared" si="9"/>
        <v>6.868131868</v>
      </c>
    </row>
    <row r="201" ht="15.75" customHeight="1">
      <c r="A201" s="241"/>
      <c r="D201" s="215">
        <f t="shared" si="11"/>
        <v>46065</v>
      </c>
      <c r="E201" s="251">
        <f t="shared" si="12"/>
        <v>4464285.714</v>
      </c>
      <c r="F201" s="242">
        <f t="shared" si="9"/>
        <v>6.868131868</v>
      </c>
    </row>
    <row r="202" ht="15.75" customHeight="1">
      <c r="A202" s="241"/>
      <c r="D202" s="215">
        <f t="shared" si="11"/>
        <v>46066</v>
      </c>
      <c r="E202" s="251">
        <f t="shared" si="12"/>
        <v>4464285.714</v>
      </c>
      <c r="F202" s="242">
        <f t="shared" si="9"/>
        <v>6.868131868</v>
      </c>
    </row>
    <row r="203" ht="15.75" customHeight="1">
      <c r="A203" s="241"/>
      <c r="D203" s="215">
        <f t="shared" si="11"/>
        <v>46067</v>
      </c>
      <c r="E203" s="251">
        <f t="shared" si="12"/>
        <v>4464285.714</v>
      </c>
      <c r="F203" s="242">
        <f t="shared" si="9"/>
        <v>6.868131868</v>
      </c>
    </row>
    <row r="204" ht="15.75" customHeight="1">
      <c r="A204" s="241"/>
      <c r="D204" s="215">
        <f t="shared" si="11"/>
        <v>46068</v>
      </c>
      <c r="E204" s="251">
        <f t="shared" si="12"/>
        <v>4464285.714</v>
      </c>
      <c r="F204" s="242">
        <f t="shared" si="9"/>
        <v>6.868131868</v>
      </c>
    </row>
    <row r="205" ht="15.75" customHeight="1">
      <c r="A205" s="241"/>
      <c r="D205" s="215">
        <f t="shared" si="11"/>
        <v>46069</v>
      </c>
      <c r="E205" s="251">
        <f t="shared" si="12"/>
        <v>4464285.714</v>
      </c>
      <c r="F205" s="242">
        <f t="shared" si="9"/>
        <v>6.868131868</v>
      </c>
    </row>
    <row r="206" ht="15.75" customHeight="1">
      <c r="A206" s="241"/>
      <c r="D206" s="215">
        <f t="shared" si="11"/>
        <v>46070</v>
      </c>
      <c r="E206" s="251">
        <f t="shared" si="12"/>
        <v>4464285.714</v>
      </c>
      <c r="F206" s="242">
        <f t="shared" si="9"/>
        <v>6.868131868</v>
      </c>
    </row>
    <row r="207" ht="15.75" customHeight="1">
      <c r="A207" s="241"/>
      <c r="D207" s="215">
        <f t="shared" si="11"/>
        <v>46071</v>
      </c>
      <c r="E207" s="251">
        <f t="shared" si="12"/>
        <v>4464285.714</v>
      </c>
      <c r="F207" s="242">
        <f t="shared" si="9"/>
        <v>6.868131868</v>
      </c>
    </row>
    <row r="208" ht="15.75" customHeight="1">
      <c r="A208" s="241"/>
      <c r="D208" s="215">
        <f t="shared" si="11"/>
        <v>46072</v>
      </c>
      <c r="E208" s="251">
        <f t="shared" si="12"/>
        <v>4464285.714</v>
      </c>
      <c r="F208" s="242">
        <f t="shared" si="9"/>
        <v>6.868131868</v>
      </c>
    </row>
    <row r="209" ht="15.75" customHeight="1">
      <c r="A209" s="241"/>
      <c r="D209" s="215">
        <f t="shared" si="11"/>
        <v>46073</v>
      </c>
      <c r="E209" s="251">
        <f t="shared" si="12"/>
        <v>4464285.714</v>
      </c>
      <c r="F209" s="242">
        <f t="shared" si="9"/>
        <v>6.868131868</v>
      </c>
    </row>
    <row r="210" ht="15.75" customHeight="1">
      <c r="A210" s="241"/>
      <c r="D210" s="215">
        <f t="shared" si="11"/>
        <v>46074</v>
      </c>
      <c r="E210" s="251">
        <f t="shared" si="12"/>
        <v>4464285.714</v>
      </c>
      <c r="F210" s="242">
        <f t="shared" si="9"/>
        <v>6.868131868</v>
      </c>
    </row>
    <row r="211" ht="15.75" customHeight="1">
      <c r="A211" s="241"/>
      <c r="D211" s="215">
        <f t="shared" si="11"/>
        <v>46075</v>
      </c>
      <c r="E211" s="251">
        <f t="shared" si="12"/>
        <v>4464285.714</v>
      </c>
      <c r="F211" s="242">
        <f t="shared" si="9"/>
        <v>6.868131868</v>
      </c>
    </row>
    <row r="212" ht="15.75" customHeight="1">
      <c r="A212" s="241"/>
      <c r="D212" s="215">
        <f t="shared" si="11"/>
        <v>46076</v>
      </c>
      <c r="E212" s="251">
        <f t="shared" si="12"/>
        <v>4464285.714</v>
      </c>
      <c r="F212" s="242">
        <f t="shared" si="9"/>
        <v>6.868131868</v>
      </c>
    </row>
    <row r="213" ht="15.75" customHeight="1">
      <c r="A213" s="241"/>
      <c r="D213" s="215">
        <f t="shared" si="11"/>
        <v>46077</v>
      </c>
      <c r="E213" s="251">
        <f t="shared" si="12"/>
        <v>4464285.714</v>
      </c>
      <c r="F213" s="242">
        <f t="shared" si="9"/>
        <v>6.868131868</v>
      </c>
    </row>
    <row r="214" ht="15.75" customHeight="1">
      <c r="A214" s="241"/>
      <c r="D214" s="215">
        <f t="shared" si="11"/>
        <v>46078</v>
      </c>
      <c r="E214" s="251">
        <f t="shared" si="12"/>
        <v>4464285.714</v>
      </c>
      <c r="F214" s="242">
        <f t="shared" si="9"/>
        <v>6.868131868</v>
      </c>
    </row>
    <row r="215" ht="15.75" customHeight="1">
      <c r="A215" s="241"/>
      <c r="D215" s="215">
        <f t="shared" si="11"/>
        <v>46079</v>
      </c>
      <c r="E215" s="251">
        <f t="shared" si="12"/>
        <v>4464285.714</v>
      </c>
      <c r="F215" s="242">
        <f t="shared" si="9"/>
        <v>6.868131868</v>
      </c>
    </row>
    <row r="216" ht="15.75" customHeight="1">
      <c r="A216" s="241"/>
      <c r="D216" s="215">
        <f t="shared" si="11"/>
        <v>46080</v>
      </c>
      <c r="E216" s="251">
        <f t="shared" si="12"/>
        <v>4464285.714</v>
      </c>
      <c r="F216" s="242">
        <f t="shared" si="9"/>
        <v>6.868131868</v>
      </c>
    </row>
    <row r="217" ht="15.75" customHeight="1">
      <c r="A217" s="241"/>
      <c r="D217" s="215">
        <f t="shared" si="11"/>
        <v>46081</v>
      </c>
      <c r="E217" s="251">
        <f t="shared" si="12"/>
        <v>4464285.714</v>
      </c>
      <c r="F217" s="242">
        <f t="shared" si="9"/>
        <v>6.868131868</v>
      </c>
    </row>
    <row r="218" ht="15.75" customHeight="1">
      <c r="A218" s="241"/>
      <c r="D218" s="215"/>
      <c r="F218" s="242"/>
    </row>
    <row r="219" ht="15.75" customHeight="1">
      <c r="A219" s="241"/>
      <c r="D219" s="215"/>
      <c r="F219" s="242"/>
    </row>
    <row r="220" ht="15.75" customHeight="1">
      <c r="A220" s="241"/>
      <c r="D220" s="215"/>
      <c r="F220" s="242"/>
    </row>
    <row r="221" ht="15.75" customHeight="1">
      <c r="A221" s="241"/>
      <c r="D221" s="215"/>
      <c r="F221" s="242"/>
    </row>
    <row r="222" ht="15.75" customHeight="1">
      <c r="A222" s="241"/>
      <c r="F222" s="242"/>
    </row>
    <row r="223" ht="15.75" customHeight="1">
      <c r="A223" s="241"/>
      <c r="F223" s="242"/>
    </row>
    <row r="224" ht="15.75" customHeight="1">
      <c r="A224" s="241"/>
      <c r="F224" s="242"/>
    </row>
    <row r="225" ht="15.75" customHeight="1">
      <c r="A225" s="241"/>
      <c r="F225" s="242"/>
    </row>
    <row r="226" ht="15.75" customHeight="1">
      <c r="A226" s="241"/>
      <c r="F226" s="242"/>
    </row>
    <row r="227" ht="15.75" customHeight="1">
      <c r="A227" s="241"/>
      <c r="F227" s="242"/>
    </row>
    <row r="228" ht="15.75" customHeight="1">
      <c r="A228" s="241"/>
      <c r="F228" s="242"/>
    </row>
    <row r="229" ht="15.75" customHeight="1">
      <c r="A229" s="241"/>
      <c r="F229" s="242"/>
    </row>
    <row r="230" ht="15.75" customHeight="1">
      <c r="A230" s="241"/>
      <c r="F230" s="242"/>
    </row>
    <row r="231" ht="15.75" customHeight="1">
      <c r="A231" s="241"/>
      <c r="F231" s="242"/>
    </row>
    <row r="232" ht="15.75" customHeight="1">
      <c r="A232" s="241"/>
      <c r="F232" s="242"/>
    </row>
    <row r="233" ht="15.75" customHeight="1">
      <c r="A233" s="241"/>
      <c r="F233" s="242"/>
    </row>
    <row r="234" ht="15.75" customHeight="1">
      <c r="A234" s="241"/>
      <c r="F234" s="242"/>
    </row>
    <row r="235" ht="15.75" customHeight="1">
      <c r="A235" s="241"/>
      <c r="F235" s="242"/>
    </row>
    <row r="236" ht="15.75" customHeight="1">
      <c r="A236" s="241"/>
      <c r="F236" s="242"/>
    </row>
    <row r="237" ht="15.75" customHeight="1">
      <c r="A237" s="241"/>
      <c r="F237" s="242"/>
    </row>
    <row r="238" ht="15.75" customHeight="1">
      <c r="A238" s="241"/>
      <c r="F238" s="242"/>
    </row>
    <row r="239" ht="15.75" customHeight="1">
      <c r="A239" s="241"/>
      <c r="F239" s="242"/>
    </row>
    <row r="240" ht="15.75" customHeight="1">
      <c r="A240" s="241"/>
      <c r="F240" s="242"/>
    </row>
    <row r="241" ht="15.75" customHeight="1">
      <c r="A241" s="241"/>
      <c r="F241" s="242"/>
    </row>
    <row r="242" ht="15.75" customHeight="1">
      <c r="A242" s="241"/>
      <c r="F242" s="242"/>
    </row>
    <row r="243" ht="15.75" customHeight="1">
      <c r="A243" s="241"/>
      <c r="F243" s="242"/>
    </row>
    <row r="244" ht="15.75" customHeight="1">
      <c r="A244" s="241"/>
      <c r="F244" s="242"/>
    </row>
    <row r="245" ht="15.75" customHeight="1">
      <c r="A245" s="241"/>
      <c r="F245" s="242"/>
    </row>
    <row r="246" ht="15.75" customHeight="1">
      <c r="A246" s="241"/>
      <c r="F246" s="242"/>
    </row>
    <row r="247" ht="15.75" customHeight="1">
      <c r="A247" s="241"/>
      <c r="F247" s="242"/>
    </row>
    <row r="248" ht="15.75" customHeight="1">
      <c r="A248" s="241"/>
      <c r="F248" s="242"/>
    </row>
    <row r="249" ht="15.75" customHeight="1">
      <c r="A249" s="241"/>
      <c r="F249" s="242"/>
    </row>
    <row r="250" ht="15.75" customHeight="1">
      <c r="A250" s="241"/>
      <c r="F250" s="242"/>
    </row>
    <row r="251" ht="15.75" customHeight="1">
      <c r="A251" s="241"/>
      <c r="F251" s="242"/>
    </row>
    <row r="252" ht="15.75" customHeight="1">
      <c r="A252" s="241"/>
      <c r="F252" s="242"/>
    </row>
    <row r="253" ht="15.75" customHeight="1">
      <c r="A253" s="241"/>
      <c r="F253" s="242"/>
    </row>
    <row r="254" ht="15.75" customHeight="1">
      <c r="A254" s="241"/>
      <c r="F254" s="242"/>
    </row>
    <row r="255" ht="15.75" customHeight="1">
      <c r="A255" s="241"/>
      <c r="F255" s="242"/>
    </row>
    <row r="256" ht="15.75" customHeight="1">
      <c r="A256" s="241"/>
      <c r="F256" s="242"/>
    </row>
    <row r="257" ht="15.75" customHeight="1">
      <c r="A257" s="241"/>
      <c r="F257" s="242"/>
    </row>
    <row r="258" ht="15.75" customHeight="1">
      <c r="A258" s="241"/>
      <c r="F258" s="242"/>
    </row>
    <row r="259" ht="15.75" customHeight="1">
      <c r="A259" s="241"/>
      <c r="F259" s="242"/>
    </row>
    <row r="260" ht="15.75" customHeight="1">
      <c r="A260" s="241"/>
      <c r="F260" s="242"/>
    </row>
    <row r="261" ht="15.75" customHeight="1">
      <c r="A261" s="241"/>
      <c r="F261" s="242"/>
    </row>
    <row r="262" ht="15.75" customHeight="1">
      <c r="A262" s="241"/>
      <c r="F262" s="242"/>
    </row>
    <row r="263" ht="15.75" customHeight="1">
      <c r="A263" s="241"/>
      <c r="F263" s="242"/>
    </row>
    <row r="264" ht="15.75" customHeight="1">
      <c r="A264" s="241"/>
      <c r="F264" s="242"/>
    </row>
    <row r="265" ht="15.75" customHeight="1">
      <c r="A265" s="241"/>
      <c r="F265" s="242"/>
    </row>
    <row r="266" ht="15.75" customHeight="1">
      <c r="A266" s="241"/>
      <c r="F266" s="242"/>
    </row>
    <row r="267" ht="15.75" customHeight="1">
      <c r="A267" s="241"/>
      <c r="F267" s="242"/>
    </row>
    <row r="268" ht="15.75" customHeight="1">
      <c r="A268" s="241"/>
      <c r="F268" s="242"/>
    </row>
    <row r="269" ht="15.75" customHeight="1">
      <c r="A269" s="241"/>
      <c r="F269" s="242"/>
    </row>
    <row r="270" ht="15.75" customHeight="1">
      <c r="A270" s="241"/>
      <c r="F270" s="242"/>
    </row>
    <row r="271" ht="15.75" customHeight="1">
      <c r="A271" s="241"/>
      <c r="F271" s="242"/>
    </row>
    <row r="272" ht="15.75" customHeight="1">
      <c r="A272" s="241"/>
      <c r="F272" s="242"/>
    </row>
    <row r="273" ht="15.75" customHeight="1">
      <c r="A273" s="241"/>
      <c r="F273" s="242"/>
    </row>
    <row r="274" ht="15.75" customHeight="1">
      <c r="A274" s="241"/>
      <c r="F274" s="242"/>
    </row>
    <row r="275" ht="15.75" customHeight="1">
      <c r="A275" s="241"/>
      <c r="F275" s="242"/>
    </row>
    <row r="276" ht="15.75" customHeight="1">
      <c r="A276" s="241"/>
      <c r="F276" s="242"/>
    </row>
    <row r="277" ht="15.75" customHeight="1">
      <c r="A277" s="241"/>
      <c r="F277" s="242"/>
    </row>
    <row r="278" ht="15.75" customHeight="1">
      <c r="A278" s="241"/>
      <c r="F278" s="242"/>
    </row>
    <row r="279" ht="15.75" customHeight="1">
      <c r="A279" s="241"/>
      <c r="F279" s="242"/>
    </row>
    <row r="280" ht="15.75" customHeight="1">
      <c r="A280" s="241"/>
      <c r="F280" s="242"/>
    </row>
    <row r="281" ht="15.75" customHeight="1">
      <c r="A281" s="241"/>
      <c r="F281" s="242"/>
    </row>
    <row r="282" ht="15.75" customHeight="1">
      <c r="A282" s="241"/>
      <c r="F282" s="242"/>
    </row>
    <row r="283" ht="15.75" customHeight="1">
      <c r="A283" s="241"/>
      <c r="F283" s="242"/>
    </row>
    <row r="284" ht="15.75" customHeight="1">
      <c r="A284" s="241"/>
      <c r="F284" s="242"/>
    </row>
    <row r="285" ht="15.75" customHeight="1">
      <c r="A285" s="241"/>
      <c r="F285" s="242"/>
    </row>
    <row r="286" ht="15.75" customHeight="1">
      <c r="A286" s="241"/>
      <c r="F286" s="242"/>
    </row>
    <row r="287" ht="15.75" customHeight="1">
      <c r="A287" s="241"/>
      <c r="F287" s="242"/>
    </row>
    <row r="288" ht="15.75" customHeight="1">
      <c r="A288" s="241"/>
      <c r="F288" s="242"/>
    </row>
    <row r="289" ht="15.75" customHeight="1">
      <c r="A289" s="241"/>
      <c r="F289" s="242"/>
    </row>
    <row r="290" ht="15.75" customHeight="1">
      <c r="A290" s="241"/>
      <c r="F290" s="242"/>
    </row>
    <row r="291" ht="15.75" customHeight="1">
      <c r="A291" s="241"/>
      <c r="F291" s="242"/>
    </row>
    <row r="292" ht="15.75" customHeight="1">
      <c r="A292" s="241"/>
      <c r="F292" s="242"/>
    </row>
    <row r="293" ht="15.75" customHeight="1">
      <c r="A293" s="241"/>
      <c r="F293" s="242"/>
    </row>
    <row r="294" ht="15.75" customHeight="1">
      <c r="A294" s="241"/>
      <c r="F294" s="242"/>
    </row>
    <row r="295" ht="15.75" customHeight="1">
      <c r="A295" s="241"/>
      <c r="F295" s="242"/>
    </row>
    <row r="296" ht="15.75" customHeight="1">
      <c r="A296" s="241"/>
      <c r="F296" s="242"/>
    </row>
    <row r="297" ht="15.75" customHeight="1">
      <c r="A297" s="241"/>
      <c r="F297" s="242"/>
    </row>
    <row r="298" ht="15.75" customHeight="1">
      <c r="A298" s="241"/>
      <c r="F298" s="242"/>
    </row>
    <row r="299" ht="15.75" customHeight="1">
      <c r="A299" s="241"/>
      <c r="F299" s="242"/>
    </row>
    <row r="300" ht="15.75" customHeight="1">
      <c r="A300" s="241"/>
      <c r="F300" s="242"/>
    </row>
    <row r="301" ht="15.75" customHeight="1">
      <c r="A301" s="241"/>
      <c r="F301" s="242"/>
    </row>
    <row r="302" ht="15.75" customHeight="1">
      <c r="A302" s="241"/>
      <c r="F302" s="242"/>
    </row>
    <row r="303" ht="15.75" customHeight="1">
      <c r="A303" s="241"/>
      <c r="F303" s="242"/>
    </row>
    <row r="304" ht="15.75" customHeight="1">
      <c r="A304" s="241"/>
      <c r="F304" s="242"/>
    </row>
    <row r="305" ht="15.75" customHeight="1">
      <c r="A305" s="241"/>
      <c r="F305" s="242"/>
    </row>
    <row r="306" ht="15.75" customHeight="1">
      <c r="A306" s="241"/>
      <c r="F306" s="242"/>
    </row>
    <row r="307" ht="15.75" customHeight="1">
      <c r="A307" s="241"/>
      <c r="F307" s="242"/>
    </row>
    <row r="308" ht="15.75" customHeight="1">
      <c r="A308" s="241"/>
      <c r="F308" s="242"/>
    </row>
    <row r="309" ht="15.75" customHeight="1">
      <c r="A309" s="241"/>
      <c r="F309" s="242"/>
    </row>
    <row r="310" ht="15.75" customHeight="1">
      <c r="A310" s="241"/>
      <c r="F310" s="242"/>
    </row>
    <row r="311" ht="15.75" customHeight="1">
      <c r="A311" s="241"/>
      <c r="F311" s="242"/>
    </row>
    <row r="312" ht="15.75" customHeight="1">
      <c r="A312" s="241"/>
      <c r="F312" s="242"/>
    </row>
    <row r="313" ht="15.75" customHeight="1">
      <c r="A313" s="241"/>
      <c r="F313" s="242"/>
    </row>
    <row r="314" ht="15.75" customHeight="1">
      <c r="A314" s="241"/>
      <c r="F314" s="242"/>
    </row>
    <row r="315" ht="15.75" customHeight="1">
      <c r="A315" s="241"/>
      <c r="F315" s="242"/>
    </row>
    <row r="316" ht="15.75" customHeight="1">
      <c r="A316" s="241"/>
      <c r="F316" s="242"/>
    </row>
    <row r="317" ht="15.75" customHeight="1">
      <c r="A317" s="241"/>
      <c r="F317" s="242"/>
    </row>
    <row r="318" ht="15.75" customHeight="1">
      <c r="A318" s="241"/>
      <c r="F318" s="242"/>
    </row>
    <row r="319" ht="15.75" customHeight="1">
      <c r="A319" s="241"/>
      <c r="F319" s="242"/>
    </row>
    <row r="320" ht="15.75" customHeight="1">
      <c r="A320" s="241"/>
      <c r="F320" s="242"/>
    </row>
    <row r="321" ht="15.75" customHeight="1">
      <c r="A321" s="241"/>
      <c r="F321" s="242"/>
    </row>
    <row r="322" ht="15.75" customHeight="1">
      <c r="A322" s="241"/>
      <c r="F322" s="242"/>
    </row>
    <row r="323" ht="15.75" customHeight="1">
      <c r="A323" s="241"/>
      <c r="F323" s="242"/>
    </row>
    <row r="324" ht="15.75" customHeight="1">
      <c r="A324" s="241"/>
      <c r="F324" s="242"/>
    </row>
    <row r="325" ht="15.75" customHeight="1">
      <c r="A325" s="241"/>
      <c r="F325" s="242"/>
    </row>
    <row r="326" ht="15.75" customHeight="1">
      <c r="A326" s="241"/>
      <c r="F326" s="242"/>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sheetViews>
  <sheetFormatPr customHeight="1" defaultColWidth="12.63" defaultRowHeight="15.0"/>
  <cols>
    <col customWidth="1" min="1" max="1" width="3.13"/>
    <col customWidth="1" min="2" max="2" width="10.88"/>
    <col customWidth="1" min="4" max="4" width="13.13"/>
    <col customWidth="1" min="5" max="5" width="14.75"/>
    <col customWidth="1" min="6" max="6" width="14.5"/>
    <col customWidth="1" min="7" max="7" width="13.38"/>
    <col customWidth="1" min="8" max="8" width="15.88"/>
    <col customWidth="1" min="9" max="9" width="11.88"/>
    <col customWidth="1" min="10" max="10" width="13.63"/>
    <col customWidth="1" min="11" max="11" width="11.63"/>
    <col customWidth="1" min="12" max="12" width="9.38"/>
    <col customWidth="1" min="13" max="13" width="13.0"/>
    <col customWidth="1" min="14" max="14" width="12.0"/>
    <col customWidth="1" min="16" max="18" width="4.88"/>
    <col customWidth="1" min="19" max="19" width="14.88"/>
    <col customWidth="1" min="20" max="20" width="36.38"/>
    <col customWidth="1" min="21" max="21" width="26.25"/>
    <col customWidth="1" min="22" max="22" width="15.75"/>
    <col customWidth="1" min="23" max="23" width="15.13"/>
    <col customWidth="1" min="24" max="24" width="10.0"/>
    <col customWidth="1" min="25" max="25" width="3.25"/>
    <col customWidth="1" min="26" max="26" width="6.38"/>
    <col customWidth="1" min="27" max="27" width="17.0"/>
    <col customWidth="1" min="28" max="28" width="15.0"/>
    <col customWidth="1" min="29" max="29" width="20.0"/>
    <col customWidth="1" min="32" max="32" width="9.5"/>
    <col customWidth="1" min="33" max="33" width="9.63"/>
  </cols>
  <sheetData>
    <row r="1" ht="38.25" customHeight="1">
      <c r="A1" s="1"/>
      <c r="B1" s="2" t="s">
        <v>704</v>
      </c>
      <c r="C1" s="3"/>
      <c r="D1" s="1"/>
      <c r="E1" s="1"/>
      <c r="F1" s="1"/>
      <c r="G1" s="1"/>
      <c r="H1" s="1"/>
      <c r="I1" s="1"/>
      <c r="J1" s="4">
        <v>45870.0</v>
      </c>
      <c r="L1" s="5" t="s">
        <v>97</v>
      </c>
      <c r="M1" s="4">
        <f>TODAY()</f>
        <v>46082</v>
      </c>
      <c r="O1" s="3"/>
      <c r="P1" s="1"/>
      <c r="Q1" s="1"/>
      <c r="R1" s="1"/>
      <c r="S1" s="1"/>
      <c r="T1" s="1"/>
      <c r="U1" s="1"/>
      <c r="V1" s="1"/>
      <c r="W1" s="1"/>
      <c r="X1" s="1"/>
      <c r="Y1" s="1"/>
      <c r="Z1" s="1"/>
      <c r="AA1" s="1"/>
      <c r="AB1" s="1"/>
      <c r="AC1" s="1"/>
      <c r="AD1" s="1"/>
      <c r="AE1" s="1"/>
      <c r="AF1" s="1"/>
      <c r="AG1" s="1"/>
      <c r="AH1" s="1"/>
      <c r="AI1" s="1"/>
      <c r="AJ1" s="1"/>
      <c r="AK1" s="1"/>
      <c r="AL1" s="1"/>
      <c r="AM1" s="1"/>
      <c r="AN1" s="1"/>
    </row>
    <row r="2" ht="31.5" customHeight="1">
      <c r="A2" s="1"/>
      <c r="B2" s="18" t="s">
        <v>2</v>
      </c>
      <c r="C2" s="3"/>
      <c r="D2" s="233">
        <f>NOW()</f>
        <v>46082.13814</v>
      </c>
      <c r="F2" s="1"/>
      <c r="G2" s="1"/>
      <c r="H2" s="1"/>
      <c r="I2" s="1"/>
      <c r="J2" s="4"/>
      <c r="K2" s="4"/>
      <c r="L2" s="5"/>
      <c r="M2" s="4"/>
      <c r="N2" s="4"/>
      <c r="O2" s="3"/>
      <c r="P2" s="1"/>
      <c r="Q2" s="1"/>
      <c r="R2" s="1"/>
      <c r="S2" s="1"/>
      <c r="T2" s="1"/>
      <c r="U2" s="1"/>
      <c r="V2" s="1"/>
      <c r="W2" s="1"/>
      <c r="X2" s="1"/>
      <c r="Y2" s="1"/>
      <c r="Z2" s="1"/>
      <c r="AA2" s="1"/>
      <c r="AB2" s="1"/>
      <c r="AC2" s="1"/>
      <c r="AD2" s="1"/>
      <c r="AE2" s="1"/>
      <c r="AF2" s="1"/>
      <c r="AG2" s="1"/>
      <c r="AH2" s="1"/>
      <c r="AI2" s="1"/>
      <c r="AJ2" s="1"/>
      <c r="AK2" s="1"/>
      <c r="AL2" s="1"/>
      <c r="AM2" s="1"/>
      <c r="AN2" s="1"/>
    </row>
    <row r="3" ht="29.25" customHeight="1">
      <c r="A3" s="22"/>
      <c r="B3" s="255" t="s">
        <v>3</v>
      </c>
      <c r="C3" s="24"/>
      <c r="D3" s="256" t="s">
        <v>4</v>
      </c>
      <c r="E3" s="256" t="s">
        <v>5</v>
      </c>
      <c r="F3" s="256" t="s">
        <v>6</v>
      </c>
      <c r="G3" s="256" t="s">
        <v>7</v>
      </c>
      <c r="H3" s="257"/>
      <c r="I3" s="24"/>
      <c r="J3" s="258"/>
      <c r="K3" s="259"/>
      <c r="L3" s="258"/>
      <c r="M3" s="258"/>
      <c r="N3" s="258"/>
      <c r="O3" s="260"/>
      <c r="P3" s="3"/>
      <c r="Q3" s="1"/>
      <c r="R3" s="1"/>
      <c r="S3" s="1"/>
      <c r="T3" s="1"/>
      <c r="U3" s="1"/>
      <c r="V3" s="1"/>
      <c r="W3" s="1"/>
      <c r="X3" s="1"/>
      <c r="Y3" s="1"/>
      <c r="Z3" s="261"/>
      <c r="AA3" s="262" t="s">
        <v>705</v>
      </c>
      <c r="AB3" s="261"/>
      <c r="AC3" s="261"/>
      <c r="AD3" s="1"/>
      <c r="AE3" s="1"/>
      <c r="AF3" s="1"/>
      <c r="AG3" s="1"/>
      <c r="AH3" s="1"/>
      <c r="AI3" s="1"/>
      <c r="AJ3" s="1"/>
      <c r="AK3" s="1"/>
      <c r="AL3" s="1"/>
      <c r="AM3" s="1"/>
      <c r="AN3" s="1"/>
    </row>
    <row r="4" ht="27.0" customHeight="1">
      <c r="A4" s="1"/>
      <c r="B4" s="263" t="s">
        <v>16</v>
      </c>
      <c r="D4" s="264">
        <f>C15</f>
        <v>100000000</v>
      </c>
      <c r="E4" s="264">
        <f>E15</f>
        <v>68896824</v>
      </c>
      <c r="F4" s="265">
        <f t="shared" ref="F4:F5" si="1">E4-D4</f>
        <v>-31103176</v>
      </c>
      <c r="G4" s="266">
        <f t="shared" ref="G4:G5" si="2">E4/D4</f>
        <v>0.68896824</v>
      </c>
      <c r="H4" s="267"/>
      <c r="I4" s="268"/>
      <c r="J4" s="268"/>
      <c r="K4" s="269"/>
      <c r="L4" s="268"/>
      <c r="M4" s="268"/>
      <c r="N4" s="268"/>
      <c r="O4" s="270"/>
      <c r="P4" s="3"/>
      <c r="Q4" s="1"/>
      <c r="R4" s="1"/>
      <c r="S4" s="1"/>
      <c r="T4" s="1"/>
      <c r="U4" s="1"/>
      <c r="V4" s="1"/>
      <c r="W4" s="1"/>
      <c r="X4" s="1"/>
      <c r="Y4" s="1"/>
      <c r="Z4" s="261"/>
      <c r="AA4" s="271" t="s">
        <v>706</v>
      </c>
      <c r="AB4" s="261"/>
      <c r="AC4" s="272">
        <f>'ADS SHOPEE'!B60</f>
        <v>45903.35764</v>
      </c>
      <c r="AD4" s="1"/>
      <c r="AE4" s="1"/>
      <c r="AF4" s="1"/>
      <c r="AG4" s="1"/>
      <c r="AH4" s="1"/>
      <c r="AI4" s="1"/>
      <c r="AJ4" s="1"/>
      <c r="AK4" s="1"/>
      <c r="AL4" s="1"/>
      <c r="AM4" s="1"/>
      <c r="AN4" s="1"/>
    </row>
    <row r="5" ht="15.75" customHeight="1">
      <c r="A5" s="1"/>
      <c r="B5" s="263" t="s">
        <v>19</v>
      </c>
      <c r="D5" s="273">
        <f>D15</f>
        <v>153.8461538</v>
      </c>
      <c r="E5" s="273">
        <f>F15</f>
        <v>108</v>
      </c>
      <c r="F5" s="265">
        <f t="shared" si="1"/>
        <v>-45.84615385</v>
      </c>
      <c r="G5" s="266">
        <f t="shared" si="2"/>
        <v>0.702</v>
      </c>
      <c r="H5" s="267"/>
      <c r="I5" s="106"/>
      <c r="J5" s="106"/>
      <c r="K5" s="274"/>
      <c r="L5" s="106"/>
      <c r="M5" s="106"/>
      <c r="N5" s="106"/>
      <c r="O5" s="275"/>
      <c r="P5" s="3"/>
      <c r="Q5" s="1"/>
      <c r="R5" s="1"/>
      <c r="S5" s="1"/>
      <c r="T5" s="1"/>
      <c r="U5" s="1"/>
      <c r="V5" s="1"/>
      <c r="W5" s="1"/>
      <c r="X5" s="1"/>
      <c r="Y5" s="1"/>
      <c r="Z5" s="261"/>
      <c r="AA5" s="261"/>
      <c r="AB5" s="261"/>
      <c r="AC5" s="261"/>
      <c r="AD5" s="1"/>
      <c r="AE5" s="1"/>
      <c r="AF5" s="1"/>
      <c r="AG5" s="1"/>
      <c r="AH5" s="1"/>
      <c r="AI5" s="1"/>
      <c r="AJ5" s="1"/>
      <c r="AK5" s="1"/>
      <c r="AL5" s="1"/>
      <c r="AM5" s="1"/>
      <c r="AN5" s="1"/>
    </row>
    <row r="6" ht="15.75" customHeight="1">
      <c r="A6" s="1"/>
      <c r="B6" s="276" t="s">
        <v>29</v>
      </c>
      <c r="C6" s="82"/>
      <c r="D6" s="277"/>
      <c r="E6" s="273">
        <f>'ADS SHOPEE'!W62</f>
        <v>24639954</v>
      </c>
      <c r="F6" s="278"/>
      <c r="G6" s="279"/>
      <c r="H6" s="280"/>
      <c r="I6" s="106"/>
      <c r="J6" s="106"/>
      <c r="K6" s="274"/>
      <c r="L6" s="106"/>
      <c r="M6" s="106"/>
      <c r="N6" s="106"/>
      <c r="O6" s="275"/>
      <c r="P6" s="3"/>
      <c r="Q6" s="1"/>
      <c r="R6" s="1"/>
      <c r="S6" s="1"/>
      <c r="T6" s="1"/>
      <c r="U6" s="1"/>
      <c r="V6" s="1"/>
      <c r="W6" s="1"/>
      <c r="X6" s="1"/>
      <c r="Y6" s="1"/>
      <c r="Z6" s="261"/>
      <c r="AA6" s="261"/>
      <c r="AB6" s="261"/>
      <c r="AC6" s="261"/>
      <c r="AD6" s="1"/>
      <c r="AE6" s="1"/>
      <c r="AF6" s="1"/>
      <c r="AG6" s="1"/>
      <c r="AH6" s="1"/>
      <c r="AI6" s="1"/>
      <c r="AJ6" s="1"/>
      <c r="AK6" s="1"/>
      <c r="AL6" s="1"/>
      <c r="AM6" s="1"/>
      <c r="AN6" s="1"/>
    </row>
    <row r="7" ht="18.0" customHeight="1">
      <c r="A7" s="1"/>
      <c r="B7" s="81" t="s">
        <v>707</v>
      </c>
      <c r="C7" s="82"/>
      <c r="D7" s="277"/>
      <c r="E7" s="281">
        <f>'ADS SHOPEE'!Y62</f>
        <v>3368692</v>
      </c>
      <c r="F7" s="278"/>
      <c r="G7" s="279"/>
      <c r="H7" s="282"/>
      <c r="I7" s="93"/>
      <c r="J7" s="93"/>
      <c r="K7" s="283"/>
      <c r="L7" s="93"/>
      <c r="M7" s="93"/>
      <c r="N7" s="93"/>
      <c r="O7" s="95"/>
      <c r="P7" s="3"/>
      <c r="Q7" s="1"/>
      <c r="R7" s="1"/>
      <c r="S7" s="1"/>
      <c r="T7" s="1"/>
      <c r="U7" s="1"/>
      <c r="V7" s="1"/>
      <c r="Y7" s="1"/>
      <c r="Z7" s="261"/>
      <c r="AA7" s="261"/>
      <c r="AB7" s="261"/>
      <c r="AC7" s="261"/>
      <c r="AD7" s="1"/>
      <c r="AE7" s="1"/>
      <c r="AF7" s="1"/>
      <c r="AG7" s="1"/>
      <c r="AH7" s="1"/>
      <c r="AI7" s="1"/>
      <c r="AJ7" s="1"/>
      <c r="AK7" s="1"/>
      <c r="AL7" s="1"/>
      <c r="AM7" s="1"/>
      <c r="AN7" s="1"/>
    </row>
    <row r="8" ht="15.75" customHeight="1">
      <c r="A8" s="1"/>
      <c r="B8" s="81" t="s">
        <v>708</v>
      </c>
      <c r="C8" s="82"/>
      <c r="D8" s="279"/>
      <c r="E8" s="284"/>
      <c r="F8" s="278"/>
      <c r="G8" s="266">
        <f>E6/E4</f>
        <v>0.3576355566</v>
      </c>
      <c r="H8" s="282"/>
      <c r="I8" s="93"/>
      <c r="J8" s="93"/>
      <c r="K8" s="283"/>
      <c r="L8" s="93"/>
      <c r="M8" s="93"/>
      <c r="N8" s="93"/>
      <c r="O8" s="95"/>
      <c r="P8" s="3"/>
      <c r="Q8" s="1"/>
      <c r="R8" s="1"/>
      <c r="S8" s="1"/>
      <c r="T8" s="1"/>
      <c r="U8" s="1"/>
      <c r="V8" s="1"/>
      <c r="Y8" s="1"/>
      <c r="Z8" s="261"/>
      <c r="AA8" s="261"/>
      <c r="AB8" s="261"/>
      <c r="AC8" s="261"/>
      <c r="AD8" s="1"/>
      <c r="AE8" s="1"/>
      <c r="AF8" s="1"/>
      <c r="AG8" s="1"/>
      <c r="AH8" s="1"/>
      <c r="AI8" s="1"/>
      <c r="AJ8" s="1"/>
      <c r="AK8" s="1"/>
      <c r="AL8" s="1"/>
      <c r="AM8" s="1"/>
      <c r="AN8" s="1"/>
    </row>
    <row r="9" ht="15.75" customHeight="1">
      <c r="A9" s="1"/>
      <c r="B9" s="96" t="s">
        <v>709</v>
      </c>
      <c r="C9" s="97"/>
      <c r="D9" s="285"/>
      <c r="E9" s="286"/>
      <c r="F9" s="287"/>
      <c r="G9" s="288">
        <f>E7/E6</f>
        <v>0.1367166513</v>
      </c>
      <c r="H9" s="289"/>
      <c r="I9" s="102"/>
      <c r="J9" s="102"/>
      <c r="K9" s="290"/>
      <c r="L9" s="102"/>
      <c r="M9" s="102"/>
      <c r="N9" s="102"/>
      <c r="O9" s="104"/>
      <c r="P9" s="3"/>
      <c r="Q9" s="1"/>
      <c r="R9" s="1"/>
      <c r="S9" s="291"/>
      <c r="T9" s="1"/>
      <c r="U9" s="1"/>
      <c r="V9" s="1"/>
      <c r="Y9" s="1"/>
      <c r="Z9" s="261"/>
      <c r="AA9" s="261"/>
      <c r="AB9" s="261"/>
      <c r="AC9" s="261"/>
      <c r="AD9" s="1"/>
      <c r="AE9" s="1"/>
      <c r="AF9" s="1"/>
      <c r="AG9" s="1"/>
      <c r="AH9" s="1"/>
      <c r="AI9" s="1"/>
      <c r="AJ9" s="1"/>
      <c r="AK9" s="1"/>
      <c r="AL9" s="1"/>
      <c r="AM9" s="1"/>
      <c r="AN9" s="1"/>
    </row>
    <row r="10" ht="10.5" customHeight="1">
      <c r="A10" s="1"/>
      <c r="B10" s="1"/>
      <c r="C10" s="3"/>
      <c r="D10" s="1"/>
      <c r="E10" s="1"/>
      <c r="F10" s="1"/>
      <c r="G10" s="1"/>
      <c r="H10" s="105"/>
      <c r="I10" s="93"/>
      <c r="J10" s="106"/>
      <c r="K10" s="107"/>
      <c r="L10" s="1"/>
      <c r="M10" s="1"/>
      <c r="N10" s="1"/>
      <c r="O10" s="3"/>
      <c r="P10" s="1"/>
      <c r="Q10" s="1"/>
      <c r="R10" s="1"/>
      <c r="S10" s="1"/>
      <c r="T10" s="1"/>
      <c r="U10" s="1"/>
      <c r="X10" s="1"/>
      <c r="Y10" s="1"/>
      <c r="Z10" s="261"/>
      <c r="AA10" s="261"/>
      <c r="AB10" s="261"/>
      <c r="AC10" s="261"/>
      <c r="AD10" s="1"/>
      <c r="AE10" s="1"/>
      <c r="AF10" s="1"/>
      <c r="AG10" s="1"/>
      <c r="AH10" s="1"/>
      <c r="AI10" s="1"/>
      <c r="AJ10" s="1"/>
      <c r="AK10" s="1"/>
      <c r="AL10" s="1"/>
      <c r="AM10" s="1"/>
    </row>
    <row r="11" ht="11.25" customHeight="1">
      <c r="A11" s="1"/>
      <c r="B11" s="1"/>
      <c r="C11" s="3"/>
      <c r="D11" s="3"/>
      <c r="E11" s="3"/>
      <c r="F11" s="3"/>
      <c r="G11" s="3"/>
      <c r="H11" s="3"/>
      <c r="I11" s="3"/>
      <c r="J11" s="3"/>
      <c r="K11" s="3"/>
      <c r="L11" s="3"/>
      <c r="M11" s="3"/>
      <c r="N11" s="3"/>
      <c r="O11" s="3"/>
      <c r="P11" s="1"/>
      <c r="Q11" s="1"/>
      <c r="R11" s="1"/>
      <c r="S11" s="1"/>
      <c r="T11" s="1"/>
      <c r="U11" s="1"/>
      <c r="W11" s="292"/>
      <c r="Y11" s="1"/>
      <c r="Z11" s="261"/>
      <c r="AA11" s="261"/>
      <c r="AB11" s="261"/>
      <c r="AC11" s="261"/>
      <c r="AD11" s="1"/>
      <c r="AE11" s="1"/>
      <c r="AF11" s="1"/>
      <c r="AG11" s="1"/>
      <c r="AH11" s="1"/>
      <c r="AI11" s="1"/>
      <c r="AJ11" s="1"/>
      <c r="AK11" s="1"/>
      <c r="AL11" s="1"/>
      <c r="AM11" s="1"/>
      <c r="AN11" s="1"/>
    </row>
    <row r="12" ht="20.25" customHeight="1">
      <c r="A12" s="1"/>
      <c r="B12" s="108" t="s">
        <v>710</v>
      </c>
      <c r="C12" s="109"/>
      <c r="D12" s="108">
        <v>650000.0</v>
      </c>
      <c r="E12" s="110"/>
      <c r="F12" s="3"/>
      <c r="H12" s="111">
        <f t="shared" ref="H12:I12" si="3">E15/C15-1</f>
        <v>-0.31103176</v>
      </c>
      <c r="I12" s="111">
        <f t="shared" si="3"/>
        <v>-0.298</v>
      </c>
      <c r="J12" s="3"/>
      <c r="K12" s="3"/>
      <c r="L12" s="3"/>
      <c r="M12" s="3"/>
      <c r="N12" s="3"/>
      <c r="O12" s="3"/>
      <c r="P12" s="1"/>
      <c r="Q12" s="1"/>
      <c r="R12" s="1"/>
      <c r="S12" s="1"/>
      <c r="T12" s="1"/>
      <c r="U12" s="1"/>
      <c r="V12" s="1"/>
      <c r="W12" s="292"/>
      <c r="Y12" s="1"/>
      <c r="Z12" s="261"/>
      <c r="AA12" s="261"/>
      <c r="AB12" s="261"/>
      <c r="AC12" s="261"/>
      <c r="AD12" s="1"/>
      <c r="AE12" s="1"/>
      <c r="AF12" s="1"/>
      <c r="AG12" s="1"/>
      <c r="AH12" s="1"/>
      <c r="AI12" s="1"/>
      <c r="AJ12" s="1"/>
      <c r="AK12" s="1"/>
      <c r="AL12" s="1"/>
      <c r="AM12" s="1"/>
      <c r="AN12" s="1"/>
    </row>
    <row r="13" ht="53.25" customHeight="1">
      <c r="A13" s="1"/>
      <c r="B13" s="119" t="s">
        <v>33</v>
      </c>
      <c r="C13" s="113" t="s">
        <v>4</v>
      </c>
      <c r="D13" s="114"/>
      <c r="E13" s="293" t="s">
        <v>34</v>
      </c>
      <c r="F13" s="294"/>
      <c r="G13" s="294"/>
      <c r="H13" s="117" t="s">
        <v>35</v>
      </c>
      <c r="I13" s="114"/>
      <c r="J13" s="118" t="s">
        <v>36</v>
      </c>
      <c r="K13" s="114"/>
      <c r="L13" s="119" t="s">
        <v>37</v>
      </c>
      <c r="M13" s="119" t="s">
        <v>38</v>
      </c>
      <c r="N13" s="119" t="s">
        <v>39</v>
      </c>
      <c r="O13" s="119" t="s">
        <v>40</v>
      </c>
      <c r="P13" s="3"/>
      <c r="Q13" s="1"/>
      <c r="R13" s="1"/>
      <c r="S13" s="1"/>
      <c r="T13" s="1"/>
      <c r="U13" s="1"/>
      <c r="W13" s="295">
        <f>SUM(W15:W55)</f>
        <v>67022819</v>
      </c>
      <c r="Y13" s="1"/>
      <c r="Z13" s="1"/>
      <c r="AA13" s="1"/>
      <c r="AB13" s="1"/>
      <c r="AC13" s="1"/>
      <c r="AD13" s="1"/>
      <c r="AE13" s="1"/>
      <c r="AF13" s="1"/>
      <c r="AG13" s="1"/>
      <c r="AH13" s="1"/>
      <c r="AI13" s="1"/>
      <c r="AJ13" s="1"/>
      <c r="AK13" s="1"/>
      <c r="AL13" s="1"/>
      <c r="AM13" s="1"/>
      <c r="AN13" s="1"/>
    </row>
    <row r="14" ht="50.25" customHeight="1">
      <c r="A14" s="1"/>
      <c r="B14" s="130"/>
      <c r="C14" s="121" t="s">
        <v>41</v>
      </c>
      <c r="D14" s="122" t="s">
        <v>42</v>
      </c>
      <c r="E14" s="296" t="s">
        <v>711</v>
      </c>
      <c r="F14" s="125" t="s">
        <v>42</v>
      </c>
      <c r="G14" s="125" t="s">
        <v>712</v>
      </c>
      <c r="H14" s="126" t="s">
        <v>51</v>
      </c>
      <c r="I14" s="127" t="s">
        <v>42</v>
      </c>
      <c r="J14" s="128" t="s">
        <v>51</v>
      </c>
      <c r="K14" s="129" t="s">
        <v>42</v>
      </c>
      <c r="L14" s="130"/>
      <c r="M14" s="130"/>
      <c r="N14" s="130"/>
      <c r="O14" s="130"/>
      <c r="P14" s="3"/>
      <c r="Q14" s="1"/>
      <c r="R14" s="1"/>
      <c r="S14" s="297" t="s">
        <v>713</v>
      </c>
      <c r="T14" s="297" t="s">
        <v>714</v>
      </c>
      <c r="U14" s="297" t="s">
        <v>715</v>
      </c>
      <c r="V14" s="297" t="s">
        <v>716</v>
      </c>
      <c r="W14" s="297" t="s">
        <v>717</v>
      </c>
      <c r="X14" s="297" t="s">
        <v>718</v>
      </c>
      <c r="Y14" s="1"/>
      <c r="Z14" s="298"/>
      <c r="AA14" s="299" t="s">
        <v>719</v>
      </c>
      <c r="AB14" s="298"/>
      <c r="AC14" s="298"/>
      <c r="AD14" s="1"/>
      <c r="AE14" s="1"/>
      <c r="AF14" s="1"/>
      <c r="AG14" s="1"/>
      <c r="AH14" s="1"/>
      <c r="AI14" s="1"/>
      <c r="AJ14" s="1"/>
      <c r="AK14" s="1"/>
      <c r="AL14" s="1"/>
      <c r="AM14" s="1"/>
      <c r="AN14" s="1"/>
    </row>
    <row r="15" ht="22.5" customHeight="1">
      <c r="A15" s="1"/>
      <c r="B15" s="300" t="s">
        <v>52</v>
      </c>
      <c r="C15" s="132">
        <f t="shared" ref="C15:F15" si="4">SUBTOTAL(9,C16:C49)</f>
        <v>100000000</v>
      </c>
      <c r="D15" s="132">
        <f t="shared" si="4"/>
        <v>153.8461538</v>
      </c>
      <c r="E15" s="132">
        <f t="shared" si="4"/>
        <v>68896824</v>
      </c>
      <c r="F15" s="132">
        <f t="shared" si="4"/>
        <v>108</v>
      </c>
      <c r="G15" s="132">
        <f t="shared" ref="G15:G17" si="7">E15/F15</f>
        <v>637933.5556</v>
      </c>
      <c r="H15" s="301">
        <f t="shared" ref="H15:I15" si="5">E15/C15</f>
        <v>0.68896824</v>
      </c>
      <c r="I15" s="301">
        <f t="shared" si="5"/>
        <v>0.702</v>
      </c>
      <c r="J15" s="132">
        <f t="shared" ref="J15:O15" si="6">SUBTOTAL(9,J16:J49)</f>
        <v>-31103176</v>
      </c>
      <c r="K15" s="132">
        <f t="shared" si="6"/>
        <v>-45.84615385</v>
      </c>
      <c r="L15" s="302">
        <f t="shared" si="6"/>
        <v>16</v>
      </c>
      <c r="M15" s="302">
        <f t="shared" si="6"/>
        <v>13739256</v>
      </c>
      <c r="N15" s="302">
        <f t="shared" si="6"/>
        <v>3</v>
      </c>
      <c r="O15" s="302">
        <f t="shared" si="6"/>
        <v>0</v>
      </c>
      <c r="P15" s="3"/>
      <c r="Q15" s="1"/>
      <c r="R15" s="1"/>
      <c r="S15" s="303">
        <v>1.0</v>
      </c>
      <c r="T15" s="304" t="str">
        <f>'Bảng tổng hợp 1'!A3</f>
        <v>Viên uống HB GutCare (30 - 60 viên) hỗ trợ giảm triệu chứng đau khớp</v>
      </c>
      <c r="U15" s="304" t="str">
        <f>'Bảng tổng hợp 1'!B3</f>
        <v>-</v>
      </c>
      <c r="V15" s="305">
        <f>'Bảng tổng hợp 1'!C3</f>
        <v>2</v>
      </c>
      <c r="W15" s="306">
        <f>'Bảng tổng hợp 1'!D3</f>
        <v>1166880</v>
      </c>
      <c r="X15" s="307"/>
      <c r="Y15" s="1"/>
      <c r="Z15" s="298"/>
      <c r="AA15" s="298"/>
      <c r="AB15" s="298"/>
      <c r="AC15" s="298"/>
      <c r="AD15" s="1"/>
      <c r="AE15" s="1"/>
      <c r="AF15" s="1"/>
      <c r="AG15" s="1"/>
      <c r="AH15" s="1"/>
      <c r="AI15" s="1"/>
      <c r="AJ15" s="1"/>
      <c r="AK15" s="1"/>
      <c r="AL15" s="1"/>
      <c r="AM15" s="1"/>
      <c r="AN15" s="1"/>
    </row>
    <row r="16" ht="15.75" customHeight="1">
      <c r="A16" s="1"/>
      <c r="B16" s="146">
        <v>45870.0</v>
      </c>
      <c r="C16" s="135">
        <f t="shared" ref="C16:C46" si="10">100000000/31</f>
        <v>3225806.452</v>
      </c>
      <c r="D16" s="135">
        <f t="shared" ref="D16:D46" si="11">C16/$D$12</f>
        <v>4.962779156</v>
      </c>
      <c r="E16" s="137">
        <f>'DS Shoppe (đã xác nhận)'!B42</f>
        <v>4281650</v>
      </c>
      <c r="F16" s="138">
        <f>'DS Shoppe (đã xác nhận)'!C42</f>
        <v>5</v>
      </c>
      <c r="G16" s="139">
        <f t="shared" si="7"/>
        <v>856330</v>
      </c>
      <c r="H16" s="140">
        <f t="shared" ref="H16:I16" si="8">E16/C16</f>
        <v>1.3273115</v>
      </c>
      <c r="I16" s="140">
        <f t="shared" si="8"/>
        <v>1.0075</v>
      </c>
      <c r="J16" s="141">
        <f t="shared" ref="J16:K16" si="9">E16-C16</f>
        <v>1055843.548</v>
      </c>
      <c r="K16" s="141">
        <f t="shared" si="9"/>
        <v>0.03722084367</v>
      </c>
      <c r="L16" s="142">
        <f>'DS Shoppe (đã xác nhận)'!H42</f>
        <v>1</v>
      </c>
      <c r="M16" s="143">
        <f>'DS Shoppe (đã xác nhận)'!I42</f>
        <v>219500</v>
      </c>
      <c r="N16" s="308">
        <f>'DS Shoppe (đã xác nhận)'!J42</f>
        <v>0</v>
      </c>
      <c r="O16" s="309">
        <f>'DS Shoppe (đã xác nhận)'!K42</f>
        <v>0</v>
      </c>
      <c r="P16" s="147"/>
      <c r="Q16" s="1"/>
      <c r="R16" s="1"/>
      <c r="S16" s="310">
        <f t="shared" ref="S16:S51" si="14">S15+1</f>
        <v>2</v>
      </c>
      <c r="T16" s="311" t="str">
        <f>'Bảng tổng hợp 1'!A4</f>
        <v/>
      </c>
      <c r="U16" s="311" t="str">
        <f>'Bảng tổng hợp 1'!B4</f>
        <v>60 viên</v>
      </c>
      <c r="V16" s="308">
        <f>'Bảng tổng hợp 1'!C4</f>
        <v>2</v>
      </c>
      <c r="W16" s="137">
        <f>'Bảng tổng hợp 1'!D4</f>
        <v>1166880</v>
      </c>
      <c r="X16" s="309"/>
      <c r="Y16" s="1"/>
      <c r="Z16" s="298"/>
      <c r="AA16" s="298"/>
      <c r="AB16" s="298"/>
      <c r="AC16" s="298"/>
      <c r="AD16" s="1"/>
      <c r="AE16" s="1"/>
      <c r="AF16" s="1"/>
      <c r="AG16" s="1"/>
      <c r="AH16" s="1"/>
      <c r="AI16" s="1"/>
      <c r="AJ16" s="1"/>
      <c r="AK16" s="1"/>
      <c r="AL16" s="1"/>
      <c r="AM16" s="1"/>
      <c r="AN16" s="1"/>
    </row>
    <row r="17" ht="15.75" customHeight="1">
      <c r="A17" s="1"/>
      <c r="B17" s="146">
        <f t="shared" ref="B17:B46" si="15">B16+1</f>
        <v>45871</v>
      </c>
      <c r="C17" s="135">
        <f t="shared" si="10"/>
        <v>3225806.452</v>
      </c>
      <c r="D17" s="135">
        <f t="shared" si="11"/>
        <v>4.962779156</v>
      </c>
      <c r="E17" s="137">
        <f>'DS Shoppe (đã xác nhận)'!B43</f>
        <v>1780500</v>
      </c>
      <c r="F17" s="138">
        <f>'DS Shoppe (đã xác nhận)'!C43</f>
        <v>3</v>
      </c>
      <c r="G17" s="139">
        <f t="shared" si="7"/>
        <v>593500</v>
      </c>
      <c r="H17" s="140">
        <f t="shared" ref="H17:I17" si="12">E17/C17</f>
        <v>0.551955</v>
      </c>
      <c r="I17" s="140">
        <f t="shared" si="12"/>
        <v>0.6045</v>
      </c>
      <c r="J17" s="141">
        <f t="shared" ref="J17:K17" si="13">E17-C17</f>
        <v>-1445306.452</v>
      </c>
      <c r="K17" s="141">
        <f t="shared" si="13"/>
        <v>-1.962779156</v>
      </c>
      <c r="L17" s="142">
        <f>'DS Shoppe (đã xác nhận)'!H43</f>
        <v>0</v>
      </c>
      <c r="M17" s="312">
        <f>'DS Shoppe (đã xác nhận)'!I43</f>
        <v>0</v>
      </c>
      <c r="N17" s="308">
        <f>'DS Shoppe (đã xác nhận)'!J43</f>
        <v>0</v>
      </c>
      <c r="O17" s="309">
        <f>'DS Shoppe (đã xác nhận)'!K43</f>
        <v>0</v>
      </c>
      <c r="P17" s="147"/>
      <c r="Q17" s="1"/>
      <c r="R17" s="1"/>
      <c r="S17" s="310">
        <f t="shared" si="14"/>
        <v>3</v>
      </c>
      <c r="T17" s="311" t="str">
        <f>'Bảng tổng hợp 1'!A6</f>
        <v/>
      </c>
      <c r="U17" s="311" t="str">
        <f>'Bảng tổng hợp 1'!B6</f>
        <v>30 viên</v>
      </c>
      <c r="V17" s="308">
        <f>'Bảng tổng hợp 1'!C6</f>
        <v>5</v>
      </c>
      <c r="W17" s="137">
        <f>'Bảng tổng hợp 1'!D6</f>
        <v>5278000</v>
      </c>
      <c r="X17" s="309"/>
      <c r="Y17" s="1"/>
      <c r="Z17" s="298"/>
      <c r="AA17" s="298"/>
      <c r="AB17" s="298"/>
      <c r="AC17" s="298"/>
      <c r="AD17" s="1"/>
      <c r="AE17" s="1"/>
      <c r="AF17" s="1"/>
      <c r="AG17" s="1"/>
      <c r="AH17" s="1"/>
      <c r="AI17" s="1"/>
      <c r="AJ17" s="1"/>
      <c r="AK17" s="1"/>
      <c r="AL17" s="1"/>
      <c r="AM17" s="1"/>
      <c r="AN17" s="1"/>
    </row>
    <row r="18" ht="15.75" customHeight="1">
      <c r="A18" s="1"/>
      <c r="B18" s="146">
        <f t="shared" si="15"/>
        <v>45872</v>
      </c>
      <c r="C18" s="135">
        <f t="shared" si="10"/>
        <v>3225806.452</v>
      </c>
      <c r="D18" s="135">
        <f t="shared" si="11"/>
        <v>4.962779156</v>
      </c>
      <c r="E18" s="137">
        <f>'DS Shoppe (đã xác nhận)'!B44</f>
        <v>0</v>
      </c>
      <c r="F18" s="138">
        <f>'DS Shoppe (đã xác nhận)'!C44</f>
        <v>1</v>
      </c>
      <c r="G18" s="139"/>
      <c r="H18" s="140">
        <f t="shared" ref="H18:I18" si="16">E18/C18</f>
        <v>0</v>
      </c>
      <c r="I18" s="140">
        <f t="shared" si="16"/>
        <v>0.2015</v>
      </c>
      <c r="J18" s="141">
        <f t="shared" ref="J18:K18" si="17">E18-C18</f>
        <v>-3225806.452</v>
      </c>
      <c r="K18" s="141">
        <f t="shared" si="17"/>
        <v>-3.962779156</v>
      </c>
      <c r="L18" s="142">
        <f>'DS Shoppe (đã xác nhận)'!H44</f>
        <v>1</v>
      </c>
      <c r="M18" s="143">
        <f>'DS Shoppe (đã xác nhận)'!I44</f>
        <v>827200</v>
      </c>
      <c r="N18" s="308">
        <f>'DS Shoppe (đã xác nhận)'!J44</f>
        <v>0</v>
      </c>
      <c r="O18" s="309">
        <f>'DS Shoppe (đã xác nhận)'!K44</f>
        <v>0</v>
      </c>
      <c r="P18" s="147"/>
      <c r="Q18" s="1"/>
      <c r="R18" s="1"/>
      <c r="S18" s="313">
        <f t="shared" si="14"/>
        <v>4</v>
      </c>
      <c r="T18" s="314" t="s">
        <v>720</v>
      </c>
      <c r="U18" s="314" t="s">
        <v>721</v>
      </c>
      <c r="V18" s="315"/>
      <c r="W18" s="314"/>
      <c r="X18" s="316" t="s">
        <v>722</v>
      </c>
      <c r="Y18" s="1"/>
      <c r="Z18" s="298"/>
      <c r="AA18" s="298"/>
      <c r="AB18" s="298"/>
      <c r="AC18" s="298"/>
      <c r="AD18" s="1"/>
      <c r="AE18" s="1"/>
      <c r="AF18" s="1"/>
      <c r="AG18" s="1"/>
      <c r="AH18" s="1"/>
      <c r="AI18" s="1"/>
      <c r="AJ18" s="1"/>
      <c r="AK18" s="1"/>
      <c r="AL18" s="1"/>
      <c r="AM18" s="1"/>
      <c r="AN18" s="1"/>
    </row>
    <row r="19" ht="15.75" customHeight="1">
      <c r="A19" s="1"/>
      <c r="B19" s="146">
        <f t="shared" si="15"/>
        <v>45873</v>
      </c>
      <c r="C19" s="135">
        <f t="shared" si="10"/>
        <v>3225806.452</v>
      </c>
      <c r="D19" s="135">
        <f t="shared" si="11"/>
        <v>4.962779156</v>
      </c>
      <c r="E19" s="137">
        <f>'DS Shoppe (đã xác nhận)'!B45</f>
        <v>1194720</v>
      </c>
      <c r="F19" s="138">
        <f>'DS Shoppe (đã xác nhận)'!C45</f>
        <v>3</v>
      </c>
      <c r="G19" s="139"/>
      <c r="H19" s="140">
        <f t="shared" ref="H19:I19" si="18">E19/C19</f>
        <v>0.3703632</v>
      </c>
      <c r="I19" s="140">
        <f t="shared" si="18"/>
        <v>0.6045</v>
      </c>
      <c r="J19" s="141">
        <f t="shared" ref="J19:K19" si="19">E19-C19</f>
        <v>-2031086.452</v>
      </c>
      <c r="K19" s="141">
        <f t="shared" si="19"/>
        <v>-1.962779156</v>
      </c>
      <c r="L19" s="142">
        <f>'DS Shoppe (đã xác nhận)'!H45</f>
        <v>0</v>
      </c>
      <c r="M19" s="143">
        <f>'DS Shoppe (đã xác nhận)'!I45</f>
        <v>0</v>
      </c>
      <c r="N19" s="308">
        <f>'DS Shoppe (đã xác nhận)'!J45</f>
        <v>0</v>
      </c>
      <c r="O19" s="309">
        <f>'DS Shoppe (đã xác nhận)'!K45</f>
        <v>0</v>
      </c>
      <c r="P19" s="147"/>
      <c r="Q19" s="1"/>
      <c r="R19" s="1"/>
      <c r="S19" s="310">
        <f t="shared" si="14"/>
        <v>5</v>
      </c>
      <c r="T19" s="311" t="str">
        <f>'Bảng tổng hợp 1'!A8</f>
        <v/>
      </c>
      <c r="U19" s="311" t="str">
        <f>'Bảng tổng hợp 1'!B8</f>
        <v>60 viên</v>
      </c>
      <c r="V19" s="308">
        <f>'Bảng tổng hợp 1'!C8</f>
        <v>5</v>
      </c>
      <c r="W19" s="137">
        <f>'Bảng tổng hợp 1'!D8</f>
        <v>1733140</v>
      </c>
      <c r="X19" s="309"/>
      <c r="Y19" s="1"/>
      <c r="Z19" s="298"/>
      <c r="AA19" s="298"/>
      <c r="AB19" s="298"/>
      <c r="AC19" s="298"/>
      <c r="AD19" s="1"/>
      <c r="AE19" s="1"/>
      <c r="AF19" s="1"/>
      <c r="AG19" s="1"/>
      <c r="AH19" s="1"/>
      <c r="AI19" s="1"/>
      <c r="AJ19" s="1"/>
      <c r="AK19" s="1"/>
      <c r="AL19" s="1"/>
      <c r="AM19" s="1"/>
      <c r="AN19" s="1"/>
    </row>
    <row r="20" ht="15.75" customHeight="1">
      <c r="A20" s="1"/>
      <c r="B20" s="146">
        <f t="shared" si="15"/>
        <v>45874</v>
      </c>
      <c r="C20" s="135">
        <f t="shared" si="10"/>
        <v>3225806.452</v>
      </c>
      <c r="D20" s="135">
        <f t="shared" si="11"/>
        <v>4.962779156</v>
      </c>
      <c r="E20" s="137">
        <f>'DS Shoppe (đã xác nhận)'!B46</f>
        <v>1583200</v>
      </c>
      <c r="F20" s="138">
        <f>'DS Shoppe (đã xác nhận)'!C46</f>
        <v>3</v>
      </c>
      <c r="G20" s="139"/>
      <c r="H20" s="140">
        <f t="shared" ref="H20:I20" si="20">E20/C20</f>
        <v>0.490792</v>
      </c>
      <c r="I20" s="140">
        <f t="shared" si="20"/>
        <v>0.6045</v>
      </c>
      <c r="J20" s="141">
        <f t="shared" ref="J20:K20" si="21">E20-C20</f>
        <v>-1642606.452</v>
      </c>
      <c r="K20" s="141">
        <f t="shared" si="21"/>
        <v>-1.962779156</v>
      </c>
      <c r="L20" s="142">
        <f>'DS Shoppe (đã xác nhận)'!H46</f>
        <v>1</v>
      </c>
      <c r="M20" s="143">
        <f>'DS Shoppe (đã xác nhận)'!I46</f>
        <v>279572</v>
      </c>
      <c r="N20" s="308">
        <f>'DS Shoppe (đã xác nhận)'!J46</f>
        <v>0</v>
      </c>
      <c r="O20" s="309">
        <f>'DS Shoppe (đã xác nhận)'!K46</f>
        <v>0</v>
      </c>
      <c r="P20" s="147"/>
      <c r="Q20" s="1"/>
      <c r="R20" s="1"/>
      <c r="S20" s="310">
        <f t="shared" si="14"/>
        <v>6</v>
      </c>
      <c r="T20" s="311" t="str">
        <f>'Bảng tổng hợp 1'!A10</f>
        <v>Viên uống HB Arginmilk Plus 60 viên</v>
      </c>
      <c r="U20" s="311" t="str">
        <f>'Bảng tổng hợp 1'!B10</f>
        <v>-</v>
      </c>
      <c r="V20" s="308">
        <f>'Bảng tổng hợp 1'!C10</f>
        <v>4</v>
      </c>
      <c r="W20" s="137">
        <f>'Bảng tổng hợp 1'!D10</f>
        <v>2364865</v>
      </c>
      <c r="X20" s="309"/>
      <c r="Y20" s="1"/>
      <c r="Z20" s="298"/>
      <c r="AA20" s="298"/>
      <c r="AB20" s="298"/>
      <c r="AC20" s="298"/>
      <c r="AD20" s="1"/>
      <c r="AE20" s="1"/>
      <c r="AF20" s="1"/>
      <c r="AG20" s="1"/>
      <c r="AH20" s="1"/>
      <c r="AI20" s="1"/>
      <c r="AJ20" s="1"/>
      <c r="AK20" s="1"/>
      <c r="AL20" s="1"/>
      <c r="AM20" s="1"/>
      <c r="AN20" s="1"/>
    </row>
    <row r="21" ht="15.75" customHeight="1">
      <c r="A21" s="1"/>
      <c r="B21" s="146">
        <f t="shared" si="15"/>
        <v>45875</v>
      </c>
      <c r="C21" s="135">
        <f t="shared" si="10"/>
        <v>3225806.452</v>
      </c>
      <c r="D21" s="135">
        <f t="shared" si="11"/>
        <v>4.962779156</v>
      </c>
      <c r="E21" s="137">
        <f>'DS Shoppe (đã xác nhận)'!B47</f>
        <v>277743</v>
      </c>
      <c r="F21" s="138">
        <f>'DS Shoppe (đã xác nhận)'!C47</f>
        <v>1</v>
      </c>
      <c r="G21" s="139">
        <f>E21/F21</f>
        <v>277743</v>
      </c>
      <c r="H21" s="140">
        <f t="shared" ref="H21:I21" si="22">E21/C21</f>
        <v>0.08610033</v>
      </c>
      <c r="I21" s="140">
        <f t="shared" si="22"/>
        <v>0.2015</v>
      </c>
      <c r="J21" s="141">
        <f t="shared" ref="J21:K21" si="23">E21-C21</f>
        <v>-2948063.452</v>
      </c>
      <c r="K21" s="141">
        <f t="shared" si="23"/>
        <v>-3.962779156</v>
      </c>
      <c r="L21" s="142">
        <f>'DS Shoppe (đã xác nhận)'!H47</f>
        <v>0</v>
      </c>
      <c r="M21" s="143">
        <f>'DS Shoppe (đã xác nhận)'!I47</f>
        <v>0</v>
      </c>
      <c r="N21" s="308">
        <f>'DS Shoppe (đã xác nhận)'!J47</f>
        <v>0</v>
      </c>
      <c r="O21" s="309">
        <f>'DS Shoppe (đã xác nhận)'!K47</f>
        <v>0</v>
      </c>
      <c r="P21" s="147"/>
      <c r="Q21" s="1"/>
      <c r="R21" s="1"/>
      <c r="S21" s="310">
        <f t="shared" si="14"/>
        <v>7</v>
      </c>
      <c r="T21" s="109" t="str">
        <f>'Bảng tổng hợp 1'!A28</f>
        <v>Viên Uống Bổ Sung 30 Loại Vitamin Và Khoáng Chất Cho Nam HB ONCE DAILY MEN'S MULTI</v>
      </c>
      <c r="U21" s="109" t="str">
        <f>'Bảng tổng hợp 1'!B28</f>
        <v>-</v>
      </c>
      <c r="V21" s="214">
        <f>'Bảng tổng hợp 1'!C28</f>
        <v>0</v>
      </c>
      <c r="W21" s="109">
        <f>'Bảng tổng hợp 1'!D28</f>
        <v>0</v>
      </c>
      <c r="X21" s="309"/>
      <c r="Y21" s="1"/>
      <c r="Z21" s="298"/>
      <c r="AA21" s="298"/>
      <c r="AB21" s="298"/>
      <c r="AC21" s="298"/>
      <c r="AD21" s="1"/>
      <c r="AE21" s="1"/>
      <c r="AF21" s="1"/>
      <c r="AG21" s="1"/>
      <c r="AH21" s="1"/>
      <c r="AI21" s="1"/>
      <c r="AJ21" s="1"/>
      <c r="AK21" s="1"/>
      <c r="AL21" s="1"/>
      <c r="AM21" s="1"/>
      <c r="AN21" s="1"/>
    </row>
    <row r="22" ht="15.75" customHeight="1">
      <c r="A22" s="1"/>
      <c r="B22" s="146">
        <f t="shared" si="15"/>
        <v>45876</v>
      </c>
      <c r="C22" s="135">
        <f t="shared" si="10"/>
        <v>3225806.452</v>
      </c>
      <c r="D22" s="135">
        <f t="shared" si="11"/>
        <v>4.962779156</v>
      </c>
      <c r="E22" s="137">
        <f>'DS Shoppe (đã xác nhận)'!B48</f>
        <v>245064</v>
      </c>
      <c r="F22" s="138">
        <f>'DS Shoppe (đã xác nhận)'!C48</f>
        <v>2</v>
      </c>
      <c r="G22" s="139"/>
      <c r="H22" s="140">
        <f t="shared" ref="H22:I22" si="24">E22/C22</f>
        <v>0.07596984</v>
      </c>
      <c r="I22" s="140">
        <f t="shared" si="24"/>
        <v>0.403</v>
      </c>
      <c r="J22" s="141">
        <f t="shared" ref="J22:K22" si="25">E22-C22</f>
        <v>-2980742.452</v>
      </c>
      <c r="K22" s="141">
        <f t="shared" si="25"/>
        <v>-2.962779156</v>
      </c>
      <c r="L22" s="142">
        <f>'DS Shoppe (đã xác nhận)'!H48</f>
        <v>1</v>
      </c>
      <c r="M22" s="143">
        <f>'DS Shoppe (đã xác nhận)'!I48</f>
        <v>517999</v>
      </c>
      <c r="N22" s="308">
        <f>'DS Shoppe (đã xác nhận)'!J48</f>
        <v>0</v>
      </c>
      <c r="O22" s="309">
        <f>'DS Shoppe (đã xác nhận)'!K48</f>
        <v>0</v>
      </c>
      <c r="P22" s="147"/>
      <c r="Q22" s="1"/>
      <c r="R22" s="1"/>
      <c r="S22" s="310">
        <f t="shared" si="14"/>
        <v>8</v>
      </c>
      <c r="T22" s="311" t="str">
        <f>'Bảng tổng hợp 1'!A13</f>
        <v/>
      </c>
      <c r="U22" s="311" t="str">
        <f>'Bảng tổng hợp 1'!B13</f>
        <v>30 viên</v>
      </c>
      <c r="V22" s="308">
        <f>'Bảng tổng hợp 1'!C13</f>
        <v>4</v>
      </c>
      <c r="W22" s="137">
        <f>'Bảng tổng hợp 1'!D13</f>
        <v>1818607</v>
      </c>
      <c r="X22" s="309"/>
      <c r="Y22" s="1"/>
      <c r="Z22" s="298"/>
      <c r="AA22" s="298"/>
      <c r="AB22" s="298"/>
      <c r="AC22" s="298"/>
      <c r="AD22" s="1"/>
      <c r="AE22" s="1"/>
      <c r="AF22" s="1"/>
      <c r="AG22" s="1"/>
      <c r="AH22" s="1"/>
      <c r="AI22" s="1"/>
      <c r="AJ22" s="1"/>
      <c r="AK22" s="1"/>
      <c r="AL22" s="1"/>
      <c r="AM22" s="1"/>
      <c r="AN22" s="1"/>
    </row>
    <row r="23" ht="15.75" customHeight="1">
      <c r="A23" s="1"/>
      <c r="B23" s="146">
        <f t="shared" si="15"/>
        <v>45877</v>
      </c>
      <c r="C23" s="135">
        <f t="shared" si="10"/>
        <v>3225806.452</v>
      </c>
      <c r="D23" s="135">
        <f t="shared" si="11"/>
        <v>4.962779156</v>
      </c>
      <c r="E23" s="137">
        <f>'DS Shoppe (đã xác nhận)'!B49</f>
        <v>0</v>
      </c>
      <c r="F23" s="138">
        <f>'DS Shoppe (đã xác nhận)'!C49</f>
        <v>1</v>
      </c>
      <c r="G23" s="139">
        <f t="shared" ref="G23:G32" si="28">E23/F23</f>
        <v>0</v>
      </c>
      <c r="H23" s="140">
        <f t="shared" ref="H23:I23" si="26">E23/C23</f>
        <v>0</v>
      </c>
      <c r="I23" s="140">
        <f t="shared" si="26"/>
        <v>0.2015</v>
      </c>
      <c r="J23" s="141">
        <f t="shared" ref="J23:K23" si="27">E23-C23</f>
        <v>-3225806.452</v>
      </c>
      <c r="K23" s="141">
        <f t="shared" si="27"/>
        <v>-3.962779156</v>
      </c>
      <c r="L23" s="142">
        <f>'DS Shoppe (đã xác nhận)'!H49</f>
        <v>1</v>
      </c>
      <c r="M23" s="143">
        <f>'DS Shoppe (đã xác nhận)'!I49</f>
        <v>883575</v>
      </c>
      <c r="N23" s="308">
        <f>'DS Shoppe (đã xác nhận)'!J49</f>
        <v>0</v>
      </c>
      <c r="O23" s="309">
        <f>'DS Shoppe (đã xác nhận)'!K49</f>
        <v>0</v>
      </c>
      <c r="P23" s="147"/>
      <c r="Q23" s="1"/>
      <c r="R23" s="1"/>
      <c r="S23" s="310">
        <f t="shared" si="14"/>
        <v>9</v>
      </c>
      <c r="T23" s="311" t="str">
        <f>'Bảng tổng hợp 1'!A15</f>
        <v>Viên Uống Giúp Chống Nắng Trắng Da Mờ Nám HB GLUTA WHITE +</v>
      </c>
      <c r="U23" s="311" t="str">
        <f>'Bảng tổng hợp 1'!B15</f>
        <v>-</v>
      </c>
      <c r="V23" s="308">
        <f>'Bảng tổng hợp 1'!C15</f>
        <v>25</v>
      </c>
      <c r="W23" s="137">
        <f>'Bảng tổng hợp 1'!D15</f>
        <v>23349080</v>
      </c>
      <c r="X23" s="309"/>
      <c r="Y23" s="1"/>
      <c r="Z23" s="298"/>
      <c r="AA23" s="298"/>
      <c r="AB23" s="298"/>
      <c r="AC23" s="298"/>
      <c r="AD23" s="1"/>
      <c r="AE23" s="1"/>
      <c r="AF23" s="1"/>
      <c r="AG23" s="1"/>
      <c r="AH23" s="1"/>
      <c r="AI23" s="1"/>
      <c r="AJ23" s="1"/>
      <c r="AK23" s="1"/>
      <c r="AL23" s="1"/>
      <c r="AM23" s="1"/>
      <c r="AN23" s="1"/>
    </row>
    <row r="24" ht="15.75" customHeight="1">
      <c r="A24" s="1"/>
      <c r="B24" s="146">
        <f t="shared" si="15"/>
        <v>45878</v>
      </c>
      <c r="C24" s="135">
        <f t="shared" si="10"/>
        <v>3225806.452</v>
      </c>
      <c r="D24" s="135">
        <f t="shared" si="11"/>
        <v>4.962779156</v>
      </c>
      <c r="E24" s="137">
        <f>'DS Shoppe (đã xác nhận)'!B50</f>
        <v>11305684</v>
      </c>
      <c r="F24" s="138">
        <f>'DS Shoppe (đã xác nhận)'!C50</f>
        <v>17</v>
      </c>
      <c r="G24" s="139">
        <f t="shared" si="28"/>
        <v>665040.2353</v>
      </c>
      <c r="H24" s="140">
        <f t="shared" ref="H24:I24" si="29">E24/C24</f>
        <v>3.50476204</v>
      </c>
      <c r="I24" s="140">
        <f t="shared" si="29"/>
        <v>3.4255</v>
      </c>
      <c r="J24" s="141">
        <f t="shared" ref="J24:K24" si="30">E24-C24</f>
        <v>8079877.548</v>
      </c>
      <c r="K24" s="141">
        <f t="shared" si="30"/>
        <v>12.03722084</v>
      </c>
      <c r="L24" s="142">
        <f>'DS Shoppe (đã xác nhận)'!H50</f>
        <v>1</v>
      </c>
      <c r="M24" s="143">
        <f>'DS Shoppe (đã xác nhận)'!I50</f>
        <v>1095930</v>
      </c>
      <c r="N24" s="308">
        <f>'DS Shoppe (đã xác nhận)'!J50</f>
        <v>1</v>
      </c>
      <c r="O24" s="309">
        <f>'DS Shoppe (đã xác nhận)'!K50</f>
        <v>0</v>
      </c>
      <c r="P24" s="147"/>
      <c r="Q24" s="1"/>
      <c r="R24" s="1"/>
      <c r="S24" s="310">
        <f t="shared" si="14"/>
        <v>10</v>
      </c>
      <c r="T24" s="311" t="str">
        <f>'Bảng tổng hợp 1'!A16</f>
        <v>Viên uống giúp Bổ Sung Canxi và Vitamin D3 HB CALCIDSOFT</v>
      </c>
      <c r="U24" s="311" t="str">
        <f>'Bảng tổng hợp 1'!B16</f>
        <v>-</v>
      </c>
      <c r="V24" s="308">
        <f>'Bảng tổng hợp 1'!C16</f>
        <v>13</v>
      </c>
      <c r="W24" s="137">
        <f>'Bảng tổng hợp 1'!D16</f>
        <v>3674311</v>
      </c>
      <c r="X24" s="309"/>
      <c r="Y24" s="1"/>
      <c r="Z24" s="298"/>
      <c r="AA24" s="298"/>
      <c r="AB24" s="298"/>
      <c r="AC24" s="298"/>
      <c r="AD24" s="1"/>
      <c r="AE24" s="1"/>
      <c r="AF24" s="1"/>
      <c r="AG24" s="1"/>
      <c r="AH24" s="1"/>
      <c r="AI24" s="1"/>
      <c r="AJ24" s="1"/>
      <c r="AK24" s="1"/>
      <c r="AL24" s="1"/>
      <c r="AM24" s="1"/>
      <c r="AN24" s="1"/>
    </row>
    <row r="25" ht="15.75" customHeight="1">
      <c r="A25" s="1"/>
      <c r="B25" s="146">
        <f t="shared" si="15"/>
        <v>45879</v>
      </c>
      <c r="C25" s="135">
        <f t="shared" si="10"/>
        <v>3225806.452</v>
      </c>
      <c r="D25" s="135">
        <f t="shared" si="11"/>
        <v>4.962779156</v>
      </c>
      <c r="E25" s="137">
        <f>'DS Shoppe (đã xác nhận)'!B51</f>
        <v>4824140</v>
      </c>
      <c r="F25" s="138">
        <f>'DS Shoppe (đã xác nhận)'!C51</f>
        <v>7</v>
      </c>
      <c r="G25" s="139">
        <f t="shared" si="28"/>
        <v>689162.8571</v>
      </c>
      <c r="H25" s="140">
        <f t="shared" ref="H25:I25" si="31">E25/C25</f>
        <v>1.4954834</v>
      </c>
      <c r="I25" s="140">
        <f t="shared" si="31"/>
        <v>1.4105</v>
      </c>
      <c r="J25" s="141">
        <f t="shared" ref="J25:K25" si="32">E25-C25</f>
        <v>1598333.548</v>
      </c>
      <c r="K25" s="141">
        <f t="shared" si="32"/>
        <v>2.037220844</v>
      </c>
      <c r="L25" s="142">
        <f>'DS Shoppe (đã xác nhận)'!H51</f>
        <v>0</v>
      </c>
      <c r="M25" s="143">
        <f>'DS Shoppe (đã xác nhận)'!I51</f>
        <v>0</v>
      </c>
      <c r="N25" s="308">
        <f>'DS Shoppe (đã xác nhận)'!J51</f>
        <v>0</v>
      </c>
      <c r="O25" s="309">
        <f>'DS Shoppe (đã xác nhận)'!K51</f>
        <v>0</v>
      </c>
      <c r="P25" s="147"/>
      <c r="Q25" s="1"/>
      <c r="R25" s="1"/>
      <c r="S25" s="310">
        <f t="shared" si="14"/>
        <v>11</v>
      </c>
      <c r="T25" s="311" t="str">
        <f>'Bảng tổng hợp 1'!A18</f>
        <v/>
      </c>
      <c r="U25" s="311" t="str">
        <f>'Bảng tổng hợp 1'!B18</f>
        <v>Hộp 60 Viên</v>
      </c>
      <c r="V25" s="308">
        <f>'Bảng tổng hợp 1'!C18</f>
        <v>11</v>
      </c>
      <c r="W25" s="137">
        <f>'Bảng tổng hợp 1'!D18</f>
        <v>3284431</v>
      </c>
      <c r="X25" s="309"/>
      <c r="Y25" s="1"/>
      <c r="Z25" s="298"/>
      <c r="AA25" s="298"/>
      <c r="AB25" s="298"/>
      <c r="AC25" s="298"/>
      <c r="AD25" s="1"/>
      <c r="AE25" s="1"/>
      <c r="AF25" s="1"/>
      <c r="AG25" s="1"/>
      <c r="AH25" s="1"/>
      <c r="AI25" s="1"/>
      <c r="AJ25" s="1"/>
      <c r="AK25" s="1"/>
      <c r="AL25" s="1"/>
      <c r="AM25" s="1"/>
      <c r="AN25" s="1"/>
    </row>
    <row r="26" ht="15.75" customHeight="1">
      <c r="A26" s="1"/>
      <c r="B26" s="146">
        <f t="shared" si="15"/>
        <v>45880</v>
      </c>
      <c r="C26" s="135">
        <f t="shared" si="10"/>
        <v>3225806.452</v>
      </c>
      <c r="D26" s="135">
        <f t="shared" si="11"/>
        <v>4.962779156</v>
      </c>
      <c r="E26" s="137">
        <f>'DS Shoppe (đã xác nhận)'!B52</f>
        <v>2116600</v>
      </c>
      <c r="F26" s="138">
        <f>'DS Shoppe (đã xác nhận)'!C52</f>
        <v>2</v>
      </c>
      <c r="G26" s="139">
        <f t="shared" si="28"/>
        <v>1058300</v>
      </c>
      <c r="H26" s="140">
        <f t="shared" ref="H26:I26" si="33">E26/C26</f>
        <v>0.656146</v>
      </c>
      <c r="I26" s="140">
        <f t="shared" si="33"/>
        <v>0.403</v>
      </c>
      <c r="J26" s="141">
        <f t="shared" ref="J26:K26" si="34">E26-C26</f>
        <v>-1109206.452</v>
      </c>
      <c r="K26" s="141">
        <f t="shared" si="34"/>
        <v>-2.962779156</v>
      </c>
      <c r="L26" s="142">
        <f>'DS Shoppe (đã xác nhận)'!H52</f>
        <v>0</v>
      </c>
      <c r="M26" s="143">
        <f>'DS Shoppe (đã xác nhận)'!I52</f>
        <v>0</v>
      </c>
      <c r="N26" s="308">
        <f>'DS Shoppe (đã xác nhận)'!J52</f>
        <v>0</v>
      </c>
      <c r="O26" s="309">
        <f>'DS Shoppe (đã xác nhận)'!K52</f>
        <v>0</v>
      </c>
      <c r="P26" s="147"/>
      <c r="Q26" s="1"/>
      <c r="R26" s="1"/>
      <c r="S26" s="310">
        <f t="shared" si="14"/>
        <v>12</v>
      </c>
      <c r="T26" s="311" t="str">
        <f>'Bảng tổng hợp 1'!A19</f>
        <v>Viên Uống Giảm Gãy Rụng và Đen Tóc HB Black Hair Healthy Beauty (date 15/02/2026)</v>
      </c>
      <c r="U26" s="311" t="str">
        <f>'Bảng tổng hợp 1'!B19</f>
        <v>-</v>
      </c>
      <c r="V26" s="308">
        <f>'Bảng tổng hợp 1'!C19</f>
        <v>9</v>
      </c>
      <c r="W26" s="137">
        <f>'Bảng tổng hợp 1'!D19</f>
        <v>5496780</v>
      </c>
      <c r="X26" s="309"/>
      <c r="Y26" s="1"/>
      <c r="Z26" s="298"/>
      <c r="AA26" s="298"/>
      <c r="AB26" s="298"/>
      <c r="AC26" s="298"/>
      <c r="AD26" s="1"/>
      <c r="AE26" s="1"/>
      <c r="AF26" s="1"/>
      <c r="AG26" s="1"/>
      <c r="AH26" s="1"/>
      <c r="AI26" s="1"/>
      <c r="AJ26" s="1"/>
      <c r="AK26" s="1"/>
      <c r="AL26" s="1"/>
      <c r="AM26" s="1"/>
      <c r="AN26" s="1"/>
    </row>
    <row r="27" ht="15.75" customHeight="1">
      <c r="A27" s="1"/>
      <c r="B27" s="146">
        <f t="shared" si="15"/>
        <v>45881</v>
      </c>
      <c r="C27" s="135">
        <f t="shared" si="10"/>
        <v>3225806.452</v>
      </c>
      <c r="D27" s="135">
        <f t="shared" si="11"/>
        <v>4.962779156</v>
      </c>
      <c r="E27" s="137">
        <f>'DS Shoppe (đã xác nhận)'!B53</f>
        <v>2514900</v>
      </c>
      <c r="F27" s="138">
        <f>'DS Shoppe (đã xác nhận)'!C53</f>
        <v>2</v>
      </c>
      <c r="G27" s="139">
        <f t="shared" si="28"/>
        <v>1257450</v>
      </c>
      <c r="H27" s="140">
        <f t="shared" ref="H27:I27" si="35">E27/C27</f>
        <v>0.779619</v>
      </c>
      <c r="I27" s="140">
        <f t="shared" si="35"/>
        <v>0.403</v>
      </c>
      <c r="J27" s="141">
        <f t="shared" ref="J27:K27" si="36">E27-C27</f>
        <v>-710906.4516</v>
      </c>
      <c r="K27" s="141">
        <f t="shared" si="36"/>
        <v>-2.962779156</v>
      </c>
      <c r="L27" s="142">
        <f>'DS Shoppe (đã xác nhận)'!H53</f>
        <v>0</v>
      </c>
      <c r="M27" s="143">
        <f>'DS Shoppe (đã xác nhận)'!I53</f>
        <v>0</v>
      </c>
      <c r="N27" s="308">
        <f>'DS Shoppe (đã xác nhận)'!J53</f>
        <v>1</v>
      </c>
      <c r="O27" s="309">
        <f>'DS Shoppe (đã xác nhận)'!K53</f>
        <v>0</v>
      </c>
      <c r="P27" s="147"/>
      <c r="Q27" s="1"/>
      <c r="R27" s="1"/>
      <c r="S27" s="310">
        <f t="shared" si="14"/>
        <v>13</v>
      </c>
      <c r="T27" s="311" t="str">
        <f>'Bảng tổng hợp 1'!A23</f>
        <v>Viên Uống Đông Trùng Hạ Thảo Bồi Bổ Khí Huyết HB CORDY EXTRACT</v>
      </c>
      <c r="U27" s="311" t="str">
        <f>'Bảng tổng hợp 1'!B23</f>
        <v>-</v>
      </c>
      <c r="V27" s="308">
        <f>'Bảng tổng hợp 1'!C23</f>
        <v>0</v>
      </c>
      <c r="W27" s="137">
        <f>'Bảng tổng hợp 1'!D23</f>
        <v>0</v>
      </c>
      <c r="X27" s="309"/>
      <c r="Y27" s="1"/>
      <c r="Z27" s="298"/>
      <c r="AA27" s="298"/>
      <c r="AB27" s="298"/>
      <c r="AC27" s="298"/>
      <c r="AD27" s="1"/>
      <c r="AE27" s="1"/>
      <c r="AF27" s="1"/>
      <c r="AG27" s="1"/>
      <c r="AH27" s="1"/>
      <c r="AI27" s="1"/>
      <c r="AJ27" s="1"/>
      <c r="AK27" s="1"/>
      <c r="AL27" s="1"/>
      <c r="AM27" s="1"/>
      <c r="AN27" s="1"/>
    </row>
    <row r="28" ht="15.75" customHeight="1">
      <c r="A28" s="1"/>
      <c r="B28" s="146">
        <f t="shared" si="15"/>
        <v>45882</v>
      </c>
      <c r="C28" s="135">
        <f t="shared" si="10"/>
        <v>3225806.452</v>
      </c>
      <c r="D28" s="135">
        <f t="shared" si="11"/>
        <v>4.962779156</v>
      </c>
      <c r="E28" s="137">
        <f>'DS Shoppe (đã xác nhận)'!B54</f>
        <v>0</v>
      </c>
      <c r="F28" s="138">
        <f>'DS Shoppe (đã xác nhận)'!C54</f>
        <v>1</v>
      </c>
      <c r="G28" s="139">
        <f t="shared" si="28"/>
        <v>0</v>
      </c>
      <c r="H28" s="140">
        <f t="shared" ref="H28:I28" si="37">E28/C28</f>
        <v>0</v>
      </c>
      <c r="I28" s="140">
        <f t="shared" si="37"/>
        <v>0.2015</v>
      </c>
      <c r="J28" s="141">
        <f t="shared" ref="J28:K28" si="38">E28-C28</f>
        <v>-3225806.452</v>
      </c>
      <c r="K28" s="141">
        <f t="shared" si="38"/>
        <v>-3.962779156</v>
      </c>
      <c r="L28" s="142">
        <f>'DS Shoppe (đã xác nhận)'!H54</f>
        <v>1</v>
      </c>
      <c r="M28" s="143">
        <f>'DS Shoppe (đã xác nhận)'!I54</f>
        <v>704000</v>
      </c>
      <c r="N28" s="308">
        <f>'DS Shoppe (đã xác nhận)'!J54</f>
        <v>0</v>
      </c>
      <c r="O28" s="309">
        <f>'DS Shoppe (đã xác nhận)'!K54</f>
        <v>0</v>
      </c>
      <c r="P28" s="147"/>
      <c r="Q28" s="1"/>
      <c r="R28" s="1"/>
      <c r="S28" s="310">
        <f t="shared" si="14"/>
        <v>14</v>
      </c>
      <c r="T28" s="311" t="str">
        <f>'Bảng tổng hợp 1'!A26</f>
        <v/>
      </c>
      <c r="U28" s="311" t="str">
        <f>'Bảng tổng hợp 1'!B26</f>
        <v>60 Viên</v>
      </c>
      <c r="V28" s="308">
        <f>'Bảng tổng hợp 1'!C26</f>
        <v>1</v>
      </c>
      <c r="W28" s="137">
        <f>'Bảng tổng hợp 1'!D26</f>
        <v>677320</v>
      </c>
      <c r="X28" s="309"/>
      <c r="Y28" s="1"/>
      <c r="Z28" s="1"/>
      <c r="AA28" s="1"/>
      <c r="AB28" s="1"/>
      <c r="AC28" s="1"/>
      <c r="AD28" s="1"/>
      <c r="AE28" s="1"/>
      <c r="AF28" s="1"/>
      <c r="AG28" s="1"/>
      <c r="AH28" s="1"/>
      <c r="AI28" s="1"/>
      <c r="AJ28" s="1"/>
      <c r="AK28" s="1"/>
      <c r="AL28" s="1"/>
      <c r="AM28" s="1"/>
      <c r="AN28" s="1"/>
    </row>
    <row r="29" ht="15.75" customHeight="1">
      <c r="A29" s="1"/>
      <c r="B29" s="146">
        <f t="shared" si="15"/>
        <v>45883</v>
      </c>
      <c r="C29" s="135">
        <f t="shared" si="10"/>
        <v>3225806.452</v>
      </c>
      <c r="D29" s="135">
        <f t="shared" si="11"/>
        <v>4.962779156</v>
      </c>
      <c r="E29" s="137">
        <f>'DS Shoppe (đã xác nhận)'!B55</f>
        <v>2882020</v>
      </c>
      <c r="F29" s="138">
        <f>'DS Shoppe (đã xác nhận)'!C55</f>
        <v>6</v>
      </c>
      <c r="G29" s="139">
        <f t="shared" si="28"/>
        <v>480336.6667</v>
      </c>
      <c r="H29" s="140">
        <f t="shared" ref="H29:I29" si="39">E29/C29</f>
        <v>0.8934262</v>
      </c>
      <c r="I29" s="140">
        <f t="shared" si="39"/>
        <v>1.209</v>
      </c>
      <c r="J29" s="141">
        <f t="shared" ref="J29:K29" si="40">E29-C29</f>
        <v>-343786.4516</v>
      </c>
      <c r="K29" s="141">
        <f t="shared" si="40"/>
        <v>1.037220844</v>
      </c>
      <c r="L29" s="142">
        <f>'DS Shoppe (đã xác nhận)'!H55</f>
        <v>1</v>
      </c>
      <c r="M29" s="143">
        <f>'DS Shoppe (đã xác nhận)'!I55</f>
        <v>792000</v>
      </c>
      <c r="N29" s="308">
        <f>'DS Shoppe (đã xác nhận)'!J55</f>
        <v>1</v>
      </c>
      <c r="O29" s="309">
        <f>'DS Shoppe (đã xác nhận)'!K55</f>
        <v>0</v>
      </c>
      <c r="P29" s="147"/>
      <c r="Q29" s="1"/>
      <c r="R29" s="1"/>
      <c r="S29" s="310">
        <f t="shared" si="14"/>
        <v>15</v>
      </c>
      <c r="T29" s="311" t="str">
        <f>'Bảng tổng hợp 1'!A27</f>
        <v/>
      </c>
      <c r="U29" s="311" t="str">
        <f>'Bảng tổng hợp 1'!B27</f>
        <v>Hộp/Vỉ 10 viên x 3</v>
      </c>
      <c r="V29" s="308">
        <f>'Bảng tổng hợp 1'!C27</f>
        <v>1</v>
      </c>
      <c r="W29" s="137">
        <f>'Bảng tổng hợp 1'!D27</f>
        <v>374640</v>
      </c>
      <c r="X29" s="309"/>
      <c r="Y29" s="1"/>
      <c r="Z29" s="261"/>
      <c r="AA29" s="262" t="s">
        <v>723</v>
      </c>
      <c r="AB29" s="261"/>
      <c r="AC29" s="261"/>
      <c r="AD29" s="1"/>
      <c r="AE29" s="1"/>
      <c r="AF29" s="1"/>
      <c r="AG29" s="1"/>
      <c r="AH29" s="1"/>
      <c r="AI29" s="1"/>
      <c r="AJ29" s="1"/>
      <c r="AK29" s="1"/>
      <c r="AL29" s="1"/>
      <c r="AM29" s="1"/>
      <c r="AN29" s="1"/>
    </row>
    <row r="30" ht="15.75" customHeight="1">
      <c r="A30" s="1"/>
      <c r="B30" s="146">
        <f t="shared" si="15"/>
        <v>45884</v>
      </c>
      <c r="C30" s="135">
        <f t="shared" si="10"/>
        <v>3225806.452</v>
      </c>
      <c r="D30" s="135">
        <f t="shared" si="11"/>
        <v>4.962779156</v>
      </c>
      <c r="E30" s="137">
        <f>'DS Shoppe (đã xác nhận)'!B56</f>
        <v>5539445</v>
      </c>
      <c r="F30" s="138">
        <f>'DS Shoppe (đã xác nhận)'!C56</f>
        <v>10</v>
      </c>
      <c r="G30" s="139">
        <f t="shared" si="28"/>
        <v>553944.5</v>
      </c>
      <c r="H30" s="140">
        <f t="shared" ref="H30:I30" si="41">E30/C30</f>
        <v>1.71722795</v>
      </c>
      <c r="I30" s="140">
        <f t="shared" si="41"/>
        <v>2.015</v>
      </c>
      <c r="J30" s="141">
        <f t="shared" ref="J30:K30" si="42">E30-C30</f>
        <v>2313638.548</v>
      </c>
      <c r="K30" s="141">
        <f t="shared" si="42"/>
        <v>5.037220844</v>
      </c>
      <c r="L30" s="142">
        <f>'DS Shoppe (đã xác nhận)'!H56</f>
        <v>3</v>
      </c>
      <c r="M30" s="143">
        <f>'DS Shoppe (đã xác nhận)'!I56</f>
        <v>3948210</v>
      </c>
      <c r="N30" s="308">
        <f>'DS Shoppe (đã xác nhận)'!J56</f>
        <v>0</v>
      </c>
      <c r="O30" s="309">
        <f>'DS Shoppe (đã xác nhận)'!K56</f>
        <v>0</v>
      </c>
      <c r="P30" s="147"/>
      <c r="Q30" s="1"/>
      <c r="R30" s="1"/>
      <c r="S30" s="310">
        <f t="shared" si="14"/>
        <v>16</v>
      </c>
      <c r="T30" s="311" t="str">
        <f>'Bảng tổng hợp 1'!A30</f>
        <v>Khẩu Trang Y Tế Kháng Khuẩn HB Medical Mask Cao Cấp Healthy Beauty 1 Hộp 50 cái</v>
      </c>
      <c r="U30" s="311" t="str">
        <f>'Bảng tổng hợp 1'!B30</f>
        <v>-</v>
      </c>
      <c r="V30" s="308">
        <f>'Bảng tổng hợp 1'!C30</f>
        <v>17</v>
      </c>
      <c r="W30" s="137">
        <f>'Bảng tổng hợp 1'!D30</f>
        <v>952500</v>
      </c>
      <c r="X30" s="309"/>
      <c r="Y30" s="1"/>
      <c r="Z30" s="261"/>
      <c r="AA30" s="271" t="s">
        <v>706</v>
      </c>
      <c r="AB30" s="317"/>
      <c r="AC30" s="318" t="str">
        <f>#REF!</f>
        <v>#REF!</v>
      </c>
      <c r="AD30" s="1"/>
      <c r="AE30" s="1"/>
      <c r="AF30" s="1"/>
      <c r="AG30" s="1"/>
      <c r="AH30" s="1"/>
      <c r="AI30" s="1"/>
      <c r="AJ30" s="1"/>
      <c r="AK30" s="1"/>
      <c r="AL30" s="1"/>
      <c r="AM30" s="1"/>
      <c r="AN30" s="1"/>
    </row>
    <row r="31" ht="15.75" customHeight="1">
      <c r="A31" s="1"/>
      <c r="B31" s="146">
        <f t="shared" si="15"/>
        <v>45885</v>
      </c>
      <c r="C31" s="135">
        <f t="shared" si="10"/>
        <v>3225806.452</v>
      </c>
      <c r="D31" s="135">
        <f t="shared" si="11"/>
        <v>4.962779156</v>
      </c>
      <c r="E31" s="137">
        <f>'DS Shoppe (đã xác nhận)'!B57</f>
        <v>679400</v>
      </c>
      <c r="F31" s="138">
        <f>'DS Shoppe (đã xác nhận)'!C57</f>
        <v>1</v>
      </c>
      <c r="G31" s="139">
        <f t="shared" si="28"/>
        <v>679400</v>
      </c>
      <c r="H31" s="140">
        <f t="shared" ref="H31:I31" si="43">E31/C31</f>
        <v>0.210614</v>
      </c>
      <c r="I31" s="140">
        <f t="shared" si="43"/>
        <v>0.2015</v>
      </c>
      <c r="J31" s="141">
        <f t="shared" ref="J31:K31" si="44">E31-C31</f>
        <v>-2546406.452</v>
      </c>
      <c r="K31" s="141">
        <f t="shared" si="44"/>
        <v>-3.962779156</v>
      </c>
      <c r="L31" s="142">
        <f>'DS Shoppe (đã xác nhận)'!H57</f>
        <v>0</v>
      </c>
      <c r="M31" s="143">
        <f>'DS Shoppe (đã xác nhận)'!I57</f>
        <v>0</v>
      </c>
      <c r="N31" s="308">
        <f>'DS Shoppe (đã xác nhận)'!J57</f>
        <v>0</v>
      </c>
      <c r="O31" s="309">
        <f>'DS Shoppe (đã xác nhận)'!K57</f>
        <v>0</v>
      </c>
      <c r="P31" s="147"/>
      <c r="Q31" s="1"/>
      <c r="R31" s="1"/>
      <c r="S31" s="310">
        <f t="shared" si="14"/>
        <v>17</v>
      </c>
      <c r="T31" s="311" t="str">
        <f>'Bảng tổng hợp 1'!A31</f>
        <v/>
      </c>
      <c r="U31" s="311" t="str">
        <f>'Bảng tổng hợp 1'!B31</f>
        <v>Màu Trắng</v>
      </c>
      <c r="V31" s="308">
        <f>'Bảng tổng hợp 1'!C31</f>
        <v>11</v>
      </c>
      <c r="W31" s="137">
        <f>'Bảng tổng hợp 1'!D31</f>
        <v>609500</v>
      </c>
      <c r="X31" s="309"/>
      <c r="Y31" s="1"/>
      <c r="Z31" s="261"/>
      <c r="AA31" s="261"/>
      <c r="AB31" s="261"/>
      <c r="AC31" s="261"/>
      <c r="AD31" s="1"/>
      <c r="AE31" s="1"/>
      <c r="AF31" s="1"/>
      <c r="AG31" s="1"/>
      <c r="AH31" s="1"/>
      <c r="AI31" s="1"/>
      <c r="AJ31" s="1"/>
      <c r="AK31" s="1"/>
      <c r="AL31" s="1"/>
      <c r="AM31" s="1"/>
      <c r="AN31" s="1"/>
    </row>
    <row r="32" ht="15.75" customHeight="1">
      <c r="A32" s="1"/>
      <c r="B32" s="146">
        <f t="shared" si="15"/>
        <v>45886</v>
      </c>
      <c r="C32" s="135">
        <f t="shared" si="10"/>
        <v>3225806.452</v>
      </c>
      <c r="D32" s="135">
        <f t="shared" si="11"/>
        <v>4.962779156</v>
      </c>
      <c r="E32" s="137">
        <f>'DS Shoppe (đã xác nhận)'!B58</f>
        <v>3231860</v>
      </c>
      <c r="F32" s="138">
        <f>'DS Shoppe (đã xác nhận)'!C58</f>
        <v>5</v>
      </c>
      <c r="G32" s="139">
        <f t="shared" si="28"/>
        <v>646372</v>
      </c>
      <c r="H32" s="140">
        <f t="shared" ref="H32:I32" si="45">E32/C32</f>
        <v>1.0018766</v>
      </c>
      <c r="I32" s="140">
        <f t="shared" si="45"/>
        <v>1.0075</v>
      </c>
      <c r="J32" s="141">
        <f t="shared" ref="J32:K32" si="46">E32-C32</f>
        <v>6053.548387</v>
      </c>
      <c r="K32" s="141">
        <f t="shared" si="46"/>
        <v>0.03722084367</v>
      </c>
      <c r="L32" s="142">
        <f>'DS Shoppe (đã xác nhận)'!H58</f>
        <v>1</v>
      </c>
      <c r="M32" s="143">
        <f>'DS Shoppe (đã xác nhận)'!I58</f>
        <v>804100</v>
      </c>
      <c r="N32" s="308">
        <f>'DS Shoppe (đã xác nhận)'!J58</f>
        <v>0</v>
      </c>
      <c r="O32" s="309">
        <f>'DS Shoppe (đã xác nhận)'!K58</f>
        <v>0</v>
      </c>
      <c r="P32" s="147"/>
      <c r="Q32" s="1"/>
      <c r="R32" s="1"/>
      <c r="S32" s="310">
        <f t="shared" si="14"/>
        <v>18</v>
      </c>
      <c r="T32" s="311" t="str">
        <f>'Bảng tổng hợp 1'!A33</f>
        <v/>
      </c>
      <c r="U32" s="311" t="str">
        <f>'Bảng tổng hợp 1'!B33</f>
        <v>Than Hoạt Tính</v>
      </c>
      <c r="V32" s="308">
        <f>'Bảng tổng hợp 1'!C33</f>
        <v>5</v>
      </c>
      <c r="W32" s="137">
        <f>'Bảng tổng hợp 1'!D33</f>
        <v>295000</v>
      </c>
      <c r="X32" s="309"/>
      <c r="Y32" s="1"/>
      <c r="Z32" s="261"/>
      <c r="AA32" s="261"/>
      <c r="AB32" s="261"/>
      <c r="AC32" s="261"/>
      <c r="AD32" s="1"/>
      <c r="AE32" s="1"/>
      <c r="AF32" s="1"/>
      <c r="AG32" s="1"/>
      <c r="AH32" s="1"/>
      <c r="AI32" s="1"/>
      <c r="AJ32" s="1"/>
      <c r="AK32" s="1"/>
      <c r="AL32" s="1"/>
      <c r="AM32" s="1"/>
      <c r="AN32" s="1"/>
    </row>
    <row r="33" ht="15.75" customHeight="1">
      <c r="A33" s="1"/>
      <c r="B33" s="146">
        <f t="shared" si="15"/>
        <v>45887</v>
      </c>
      <c r="C33" s="135">
        <f t="shared" si="10"/>
        <v>3225806.452</v>
      </c>
      <c r="D33" s="135">
        <f t="shared" si="11"/>
        <v>4.962779156</v>
      </c>
      <c r="E33" s="137">
        <f>'DS Shoppe (đã xác nhận)'!B59</f>
        <v>1736260</v>
      </c>
      <c r="F33" s="138">
        <f>'DS Shoppe (đã xác nhận)'!C59</f>
        <v>2</v>
      </c>
      <c r="G33" s="139"/>
      <c r="H33" s="140">
        <f t="shared" ref="H33:I33" si="47">E33/C33</f>
        <v>0.5382406</v>
      </c>
      <c r="I33" s="140">
        <f t="shared" si="47"/>
        <v>0.403</v>
      </c>
      <c r="J33" s="141">
        <f t="shared" ref="J33:K33" si="48">E33-C33</f>
        <v>-1489546.452</v>
      </c>
      <c r="K33" s="141">
        <f t="shared" si="48"/>
        <v>-2.962779156</v>
      </c>
      <c r="L33" s="142">
        <f>'DS Shoppe (đã xác nhận)'!H59</f>
        <v>0</v>
      </c>
      <c r="M33" s="143">
        <f>'DS Shoppe (đã xác nhận)'!I59</f>
        <v>0</v>
      </c>
      <c r="N33" s="308">
        <f>'DS Shoppe (đã xác nhận)'!J59</f>
        <v>0</v>
      </c>
      <c r="O33" s="309">
        <f>'DS Shoppe (đã xác nhận)'!K59</f>
        <v>0</v>
      </c>
      <c r="P33" s="147"/>
      <c r="Q33" s="1"/>
      <c r="R33" s="1"/>
      <c r="S33" s="310">
        <f t="shared" si="14"/>
        <v>19</v>
      </c>
      <c r="T33" s="311" t="str">
        <f>'Bảng tổng hợp 1'!A34</f>
        <v>HB MEDICAL MASK - Túi zip - Khẩu trang y tế 4 lớp kháng khuẩn chuẩn nhóm A</v>
      </c>
      <c r="U33" s="311" t="str">
        <f>'Bảng tổng hợp 1'!B34</f>
        <v>-</v>
      </c>
      <c r="V33" s="308">
        <f>'Bảng tổng hợp 1'!C34</f>
        <v>0</v>
      </c>
      <c r="W33" s="137">
        <f>'Bảng tổng hợp 1'!D34</f>
        <v>0</v>
      </c>
      <c r="X33" s="309"/>
      <c r="Y33" s="1"/>
      <c r="Z33" s="261"/>
      <c r="AA33" s="261"/>
      <c r="AB33" s="261"/>
      <c r="AC33" s="261"/>
      <c r="AD33" s="1"/>
      <c r="AE33" s="1"/>
      <c r="AF33" s="1"/>
      <c r="AG33" s="1"/>
      <c r="AH33" s="1"/>
      <c r="AI33" s="1"/>
      <c r="AJ33" s="1"/>
      <c r="AK33" s="1"/>
      <c r="AL33" s="1"/>
      <c r="AM33" s="1"/>
      <c r="AN33" s="1"/>
    </row>
    <row r="34" ht="15.75" customHeight="1">
      <c r="A34" s="1"/>
      <c r="B34" s="146">
        <f t="shared" si="15"/>
        <v>45888</v>
      </c>
      <c r="C34" s="135">
        <f t="shared" si="10"/>
        <v>3225806.452</v>
      </c>
      <c r="D34" s="135">
        <f t="shared" si="11"/>
        <v>4.962779156</v>
      </c>
      <c r="E34" s="137">
        <f>'DS Shoppe (đã xác nhận)'!B60</f>
        <v>2411200</v>
      </c>
      <c r="F34" s="138">
        <f>'DS Shoppe (đã xác nhận)'!C60</f>
        <v>3</v>
      </c>
      <c r="G34" s="139">
        <f t="shared" ref="G34:G35" si="51">E34/F34</f>
        <v>803733.3333</v>
      </c>
      <c r="H34" s="140">
        <f t="shared" ref="H34:I34" si="49">E34/C34</f>
        <v>0.747472</v>
      </c>
      <c r="I34" s="140">
        <f t="shared" si="49"/>
        <v>0.6045</v>
      </c>
      <c r="J34" s="141">
        <f t="shared" ref="J34:K34" si="50">E34-C34</f>
        <v>-814606.4516</v>
      </c>
      <c r="K34" s="141">
        <f t="shared" si="50"/>
        <v>-1.962779156</v>
      </c>
      <c r="L34" s="142">
        <f>'DS Shoppe (đã xác nhận)'!H60</f>
        <v>1</v>
      </c>
      <c r="M34" s="143">
        <f>'DS Shoppe (đã xác nhận)'!I60</f>
        <v>831600</v>
      </c>
      <c r="N34" s="308">
        <f>'DS Shoppe (đã xác nhận)'!J60</f>
        <v>0</v>
      </c>
      <c r="O34" s="309">
        <f>'DS Shoppe (đã xác nhận)'!K60</f>
        <v>0</v>
      </c>
      <c r="P34" s="147"/>
      <c r="Q34" s="1"/>
      <c r="R34" s="1"/>
      <c r="S34" s="310">
        <f t="shared" si="14"/>
        <v>20</v>
      </c>
      <c r="T34" s="311" t="str">
        <f>'Bảng tổng hợp 1'!A35</f>
        <v/>
      </c>
      <c r="U34" s="311" t="str">
        <f>'Bảng tổng hợp 1'!B35</f>
        <v>Màu trắng</v>
      </c>
      <c r="V34" s="308">
        <f>'Bảng tổng hợp 1'!C35</f>
        <v>0</v>
      </c>
      <c r="W34" s="137">
        <f>'Bảng tổng hợp 1'!D35</f>
        <v>0</v>
      </c>
      <c r="X34" s="309"/>
      <c r="Y34" s="1"/>
      <c r="Z34" s="261"/>
      <c r="AA34" s="261"/>
      <c r="AB34" s="261"/>
      <c r="AC34" s="261"/>
      <c r="AD34" s="1"/>
      <c r="AE34" s="1"/>
      <c r="AF34" s="1"/>
      <c r="AG34" s="1"/>
      <c r="AH34" s="1"/>
      <c r="AI34" s="1"/>
      <c r="AJ34" s="1"/>
      <c r="AK34" s="1"/>
      <c r="AL34" s="1"/>
      <c r="AM34" s="1"/>
      <c r="AN34" s="1"/>
    </row>
    <row r="35" ht="15.75" customHeight="1">
      <c r="A35" s="1"/>
      <c r="B35" s="146">
        <f t="shared" si="15"/>
        <v>45889</v>
      </c>
      <c r="C35" s="135">
        <f t="shared" si="10"/>
        <v>3225806.452</v>
      </c>
      <c r="D35" s="135">
        <f t="shared" si="11"/>
        <v>4.962779156</v>
      </c>
      <c r="E35" s="137">
        <f>'DS Shoppe (đã xác nhận)'!B61</f>
        <v>343140</v>
      </c>
      <c r="F35" s="138">
        <f>'DS Shoppe (đã xác nhận)'!C61</f>
        <v>1</v>
      </c>
      <c r="G35" s="139">
        <f t="shared" si="51"/>
        <v>343140</v>
      </c>
      <c r="H35" s="140">
        <f t="shared" ref="H35:I35" si="52">E35/C35</f>
        <v>0.1063734</v>
      </c>
      <c r="I35" s="140">
        <f t="shared" si="52"/>
        <v>0.2015</v>
      </c>
      <c r="J35" s="141">
        <f t="shared" ref="J35:K35" si="53">E35-C35</f>
        <v>-2882666.452</v>
      </c>
      <c r="K35" s="141">
        <f t="shared" si="53"/>
        <v>-3.962779156</v>
      </c>
      <c r="L35" s="142">
        <f>'DS Shoppe (đã xác nhận)'!H61</f>
        <v>0</v>
      </c>
      <c r="M35" s="143">
        <f>'DS Shoppe (đã xác nhận)'!I61</f>
        <v>0</v>
      </c>
      <c r="N35" s="308">
        <f>'DS Shoppe (đã xác nhận)'!J61</f>
        <v>0</v>
      </c>
      <c r="O35" s="309">
        <f>'DS Shoppe (đã xác nhận)'!K61</f>
        <v>0</v>
      </c>
      <c r="P35" s="147"/>
      <c r="Q35" s="1"/>
      <c r="R35" s="1"/>
      <c r="S35" s="310">
        <f t="shared" si="14"/>
        <v>21</v>
      </c>
      <c r="T35" s="311" t="str">
        <f>'Bảng tổng hợp 1'!A36</f>
        <v/>
      </c>
      <c r="U35" s="311" t="str">
        <f>'Bảng tổng hợp 1'!B36</f>
        <v>Màu xanh</v>
      </c>
      <c r="V35" s="308">
        <f>'Bảng tổng hợp 1'!C36</f>
        <v>0</v>
      </c>
      <c r="W35" s="137">
        <f>'Bảng tổng hợp 1'!D36</f>
        <v>0</v>
      </c>
      <c r="X35" s="309"/>
      <c r="Y35" s="1"/>
      <c r="Z35" s="261"/>
      <c r="AA35" s="261"/>
      <c r="AB35" s="261"/>
      <c r="AC35" s="261"/>
      <c r="AD35" s="1"/>
      <c r="AE35" s="1"/>
      <c r="AF35" s="1"/>
      <c r="AG35" s="1"/>
      <c r="AH35" s="1"/>
      <c r="AI35" s="1"/>
      <c r="AJ35" s="1"/>
      <c r="AK35" s="1"/>
      <c r="AL35" s="1"/>
      <c r="AM35" s="1"/>
      <c r="AN35" s="1"/>
    </row>
    <row r="36" ht="15.75" customHeight="1">
      <c r="A36" s="1"/>
      <c r="B36" s="146">
        <f t="shared" si="15"/>
        <v>45890</v>
      </c>
      <c r="C36" s="135">
        <f t="shared" si="10"/>
        <v>3225806.452</v>
      </c>
      <c r="D36" s="135">
        <f t="shared" si="11"/>
        <v>4.962779156</v>
      </c>
      <c r="E36" s="137">
        <f>'DS Shoppe (đã xác nhận)'!B62</f>
        <v>196080</v>
      </c>
      <c r="F36" s="138">
        <f>'DS Shoppe (đã xác nhận)'!C62</f>
        <v>1</v>
      </c>
      <c r="G36" s="139"/>
      <c r="H36" s="140">
        <f t="shared" ref="H36:I36" si="54">E36/C36</f>
        <v>0.0607848</v>
      </c>
      <c r="I36" s="140">
        <f t="shared" si="54"/>
        <v>0.2015</v>
      </c>
      <c r="J36" s="141">
        <f t="shared" ref="J36:K36" si="55">E36-C36</f>
        <v>-3029726.452</v>
      </c>
      <c r="K36" s="141">
        <f t="shared" si="55"/>
        <v>-3.962779156</v>
      </c>
      <c r="L36" s="142">
        <f>'DS Shoppe (đã xác nhận)'!H62</f>
        <v>0</v>
      </c>
      <c r="M36" s="312">
        <f>'DS Shoppe (đã xác nhận)'!I62</f>
        <v>0</v>
      </c>
      <c r="N36" s="308">
        <f>'DS Shoppe (đã xác nhận)'!J62</f>
        <v>0</v>
      </c>
      <c r="O36" s="309">
        <f>'DS Shoppe (đã xác nhận)'!K62</f>
        <v>0</v>
      </c>
      <c r="P36" s="147"/>
      <c r="Q36" s="1"/>
      <c r="R36" s="1"/>
      <c r="S36" s="310">
        <f t="shared" si="14"/>
        <v>22</v>
      </c>
      <c r="T36" s="311" t="str">
        <f>'Bảng tổng hợp 1'!A37</f>
        <v>Combo X 2 - Viên uống giúp tái tạo và nuôi dưỡng mô sụn - HB Glucollagen 7 in 1</v>
      </c>
      <c r="U36" s="311" t="str">
        <f>'Bảng tổng hợp 1'!B37</f>
        <v>-</v>
      </c>
      <c r="V36" s="308">
        <f>'Bảng tổng hợp 1'!C37</f>
        <v>2</v>
      </c>
      <c r="W36" s="137">
        <f>'Bảng tổng hợp 1'!D37</f>
        <v>3095820</v>
      </c>
      <c r="X36" s="309"/>
      <c r="Y36" s="1"/>
      <c r="Z36" s="261"/>
      <c r="AA36" s="261"/>
      <c r="AB36" s="261"/>
      <c r="AC36" s="261"/>
      <c r="AD36" s="1"/>
      <c r="AE36" s="1"/>
      <c r="AF36" s="1"/>
      <c r="AG36" s="1"/>
      <c r="AH36" s="1"/>
      <c r="AI36" s="1"/>
      <c r="AJ36" s="1"/>
      <c r="AK36" s="1"/>
      <c r="AL36" s="1"/>
      <c r="AM36" s="1"/>
      <c r="AN36" s="1"/>
    </row>
    <row r="37" ht="15.75" customHeight="1">
      <c r="A37" s="1"/>
      <c r="B37" s="146">
        <f t="shared" si="15"/>
        <v>45891</v>
      </c>
      <c r="C37" s="135">
        <f t="shared" si="10"/>
        <v>3225806.452</v>
      </c>
      <c r="D37" s="135">
        <f t="shared" si="11"/>
        <v>4.962779156</v>
      </c>
      <c r="E37" s="137">
        <f>'DS Shoppe (đã xác nhận)'!B63</f>
        <v>2520300</v>
      </c>
      <c r="F37" s="138">
        <f>'DS Shoppe (đã xác nhận)'!C63</f>
        <v>3</v>
      </c>
      <c r="G37" s="139"/>
      <c r="H37" s="140">
        <f t="shared" ref="H37:I37" si="56">E37/C37</f>
        <v>0.781293</v>
      </c>
      <c r="I37" s="140">
        <f t="shared" si="56"/>
        <v>0.6045</v>
      </c>
      <c r="J37" s="141">
        <f t="shared" ref="J37:K37" si="57">E37-C37</f>
        <v>-705506.4516</v>
      </c>
      <c r="K37" s="141">
        <f t="shared" si="57"/>
        <v>-1.962779156</v>
      </c>
      <c r="L37" s="142">
        <f>'DS Shoppe (đã xác nhận)'!H63</f>
        <v>0</v>
      </c>
      <c r="M37" s="312">
        <f>'DS Shoppe (đã xác nhận)'!I63</f>
        <v>0</v>
      </c>
      <c r="N37" s="308">
        <f>'DS Shoppe (đã xác nhận)'!J63</f>
        <v>0</v>
      </c>
      <c r="O37" s="309">
        <f>'DS Shoppe (đã xác nhận)'!K63</f>
        <v>0</v>
      </c>
      <c r="P37" s="147"/>
      <c r="Q37" s="1"/>
      <c r="R37" s="1"/>
      <c r="S37" s="310">
        <f t="shared" si="14"/>
        <v>23</v>
      </c>
      <c r="T37" s="311" t="str">
        <f>'Bảng tổng hợp 1'!A38</f>
        <v/>
      </c>
      <c r="U37" s="311" t="str">
        <f>'Bảng tổng hợp 1'!B38</f>
        <v>30 viên</v>
      </c>
      <c r="V37" s="308">
        <f>'Bảng tổng hợp 1'!C38</f>
        <v>0</v>
      </c>
      <c r="W37" s="137">
        <f>'Bảng tổng hợp 1'!D38</f>
        <v>0</v>
      </c>
      <c r="X37" s="309"/>
      <c r="Y37" s="1"/>
      <c r="Z37" s="261"/>
      <c r="AA37" s="261"/>
      <c r="AB37" s="261"/>
      <c r="AC37" s="261"/>
      <c r="AD37" s="1"/>
      <c r="AE37" s="1"/>
      <c r="AF37" s="1"/>
      <c r="AG37" s="1"/>
      <c r="AH37" s="1"/>
      <c r="AI37" s="1"/>
      <c r="AJ37" s="1"/>
      <c r="AK37" s="1"/>
      <c r="AL37" s="1"/>
      <c r="AM37" s="1"/>
      <c r="AN37" s="1"/>
    </row>
    <row r="38" ht="15.75" customHeight="1">
      <c r="A38" s="1"/>
      <c r="B38" s="146">
        <f t="shared" si="15"/>
        <v>45892</v>
      </c>
      <c r="C38" s="135">
        <f t="shared" si="10"/>
        <v>3225806.452</v>
      </c>
      <c r="D38" s="135">
        <f t="shared" si="11"/>
        <v>4.962779156</v>
      </c>
      <c r="E38" s="137">
        <f>'DS Shoppe (đã xác nhận)'!B64</f>
        <v>1142080</v>
      </c>
      <c r="F38" s="138">
        <f>'DS Shoppe (đã xác nhận)'!C64</f>
        <v>2</v>
      </c>
      <c r="G38" s="139"/>
      <c r="H38" s="140">
        <f t="shared" ref="H38:I38" si="58">E38/C38</f>
        <v>0.3540448</v>
      </c>
      <c r="I38" s="140">
        <f t="shared" si="58"/>
        <v>0.403</v>
      </c>
      <c r="J38" s="141">
        <f t="shared" ref="J38:K38" si="59">E38-C38</f>
        <v>-2083726.452</v>
      </c>
      <c r="K38" s="141">
        <f t="shared" si="59"/>
        <v>-2.962779156</v>
      </c>
      <c r="L38" s="142">
        <f>'DS Shoppe (đã xác nhận)'!H64</f>
        <v>0</v>
      </c>
      <c r="M38" s="143">
        <f>'DS Shoppe (đã xác nhận)'!I64</f>
        <v>0</v>
      </c>
      <c r="N38" s="308">
        <f>'DS Shoppe (đã xác nhận)'!J64</f>
        <v>0</v>
      </c>
      <c r="O38" s="309">
        <f>'DS Shoppe (đã xác nhận)'!K64</f>
        <v>0</v>
      </c>
      <c r="P38" s="147"/>
      <c r="Q38" s="1"/>
      <c r="R38" s="1"/>
      <c r="S38" s="310">
        <f t="shared" si="14"/>
        <v>24</v>
      </c>
      <c r="T38" s="109" t="str">
        <f>'Bảng tổng hợp 1'!A39</f>
        <v/>
      </c>
      <c r="U38" s="109" t="str">
        <f>'Bảng tổng hợp 1'!B39</f>
        <v>60 viên</v>
      </c>
      <c r="V38" s="214">
        <f>'Bảng tổng hợp 1'!C39</f>
        <v>2</v>
      </c>
      <c r="W38" s="216">
        <f>'Bảng tổng hợp 1'!D39</f>
        <v>3095820</v>
      </c>
      <c r="X38" s="309"/>
      <c r="Y38" s="1"/>
      <c r="Z38" s="261"/>
      <c r="AA38" s="261"/>
      <c r="AB38" s="261"/>
      <c r="AC38" s="261"/>
      <c r="AD38" s="1"/>
      <c r="AE38" s="1"/>
      <c r="AF38" s="1"/>
      <c r="AG38" s="1"/>
      <c r="AH38" s="1"/>
      <c r="AI38" s="1"/>
      <c r="AJ38" s="1"/>
      <c r="AK38" s="1"/>
      <c r="AL38" s="1"/>
      <c r="AM38" s="1"/>
      <c r="AN38" s="1"/>
    </row>
    <row r="39" ht="15.75" customHeight="1">
      <c r="A39" s="1"/>
      <c r="B39" s="146">
        <f t="shared" si="15"/>
        <v>45893</v>
      </c>
      <c r="C39" s="135">
        <f t="shared" si="10"/>
        <v>3225806.452</v>
      </c>
      <c r="D39" s="135">
        <f t="shared" si="11"/>
        <v>4.962779156</v>
      </c>
      <c r="E39" s="137">
        <f>'DS Shoppe (đã xác nhận)'!B65</f>
        <v>2073458</v>
      </c>
      <c r="F39" s="138">
        <f>'DS Shoppe (đã xác nhận)'!C65</f>
        <v>4</v>
      </c>
      <c r="G39" s="139"/>
      <c r="H39" s="140">
        <f t="shared" ref="H39:I39" si="60">E39/C39</f>
        <v>0.64277198</v>
      </c>
      <c r="I39" s="140">
        <f t="shared" si="60"/>
        <v>0.806</v>
      </c>
      <c r="J39" s="141">
        <f t="shared" ref="J39:K39" si="61">E39-C39</f>
        <v>-1152348.452</v>
      </c>
      <c r="K39" s="141">
        <f t="shared" si="61"/>
        <v>-0.9627791563</v>
      </c>
      <c r="L39" s="142">
        <f>'DS Shoppe (đã xác nhận)'!H65</f>
        <v>1</v>
      </c>
      <c r="M39" s="143">
        <f>'DS Shoppe (đã xác nhận)'!I65</f>
        <v>1110000</v>
      </c>
      <c r="N39" s="308">
        <f>'DS Shoppe (đã xác nhận)'!J65</f>
        <v>0</v>
      </c>
      <c r="O39" s="309">
        <f>'DS Shoppe (đã xác nhận)'!K65</f>
        <v>0</v>
      </c>
      <c r="P39" s="147"/>
      <c r="Q39" s="1"/>
      <c r="R39" s="1"/>
      <c r="S39" s="310">
        <f t="shared" si="14"/>
        <v>25</v>
      </c>
      <c r="T39" s="311" t="str">
        <f>'Bảng tổng hợp 1'!A40</f>
        <v>ComBo Vui Khỏe Vận Động HB Calcidsoft &amp; Shark Cartilage 750Mg Healthy Beauty Giúp Xương Chắc Khỏe Khớp Dẻo Dai</v>
      </c>
      <c r="U39" s="311" t="str">
        <f>'Bảng tổng hợp 1'!B40</f>
        <v>-</v>
      </c>
      <c r="V39" s="308">
        <f>'Bảng tổng hợp 1'!C40</f>
        <v>0</v>
      </c>
      <c r="W39" s="311">
        <f>'Bảng tổng hợp 1'!D40</f>
        <v>0</v>
      </c>
      <c r="X39" s="309"/>
      <c r="Y39" s="1"/>
      <c r="Z39" s="261"/>
      <c r="AA39" s="261"/>
      <c r="AB39" s="261"/>
      <c r="AC39" s="261"/>
      <c r="AD39" s="1"/>
      <c r="AE39" s="1"/>
      <c r="AF39" s="1"/>
      <c r="AG39" s="1"/>
      <c r="AH39" s="1"/>
      <c r="AI39" s="1"/>
      <c r="AJ39" s="1"/>
      <c r="AK39" s="1"/>
      <c r="AL39" s="1"/>
      <c r="AM39" s="1"/>
      <c r="AN39" s="1"/>
    </row>
    <row r="40" ht="15.75" customHeight="1">
      <c r="A40" s="1"/>
      <c r="B40" s="146">
        <f t="shared" si="15"/>
        <v>45894</v>
      </c>
      <c r="C40" s="135">
        <f t="shared" si="10"/>
        <v>3225806.452</v>
      </c>
      <c r="D40" s="135">
        <f t="shared" si="11"/>
        <v>4.962779156</v>
      </c>
      <c r="E40" s="137">
        <f>'DS Shoppe (đã xác nhận)'!B66</f>
        <v>10658283</v>
      </c>
      <c r="F40" s="138">
        <f>'DS Shoppe (đã xác nhận)'!C66</f>
        <v>12</v>
      </c>
      <c r="G40" s="139"/>
      <c r="H40" s="140">
        <f t="shared" ref="H40:I40" si="62">E40/C40</f>
        <v>3.30406773</v>
      </c>
      <c r="I40" s="140">
        <f t="shared" si="62"/>
        <v>2.418</v>
      </c>
      <c r="J40" s="141">
        <f t="shared" ref="J40:K40" si="63">E40-C40</f>
        <v>7432476.548</v>
      </c>
      <c r="K40" s="141">
        <f t="shared" si="63"/>
        <v>7.037220844</v>
      </c>
      <c r="L40" s="142">
        <f>'DS Shoppe (đã xác nhận)'!H66</f>
        <v>2</v>
      </c>
      <c r="M40" s="143">
        <f>'DS Shoppe (đã xác nhận)'!I66</f>
        <v>1725570</v>
      </c>
      <c r="N40" s="308">
        <f>'DS Shoppe (đã xác nhận)'!J66</f>
        <v>0</v>
      </c>
      <c r="O40" s="309">
        <f>'DS Shoppe (đã xác nhận)'!K66</f>
        <v>0</v>
      </c>
      <c r="P40" s="147"/>
      <c r="Q40" s="1"/>
      <c r="R40" s="1"/>
      <c r="S40" s="310">
        <f t="shared" si="14"/>
        <v>26</v>
      </c>
      <c r="T40" s="311" t="str">
        <f>'Bảng tổng hợp 1'!A41</f>
        <v>Combo Trẻ Hóa Làn Da Gluta White+ &amp; HB Collagen Type 1,2,3 Healthy Beauty</v>
      </c>
      <c r="U40" s="311" t="str">
        <f>'Bảng tổng hợp 1'!B41</f>
        <v>-</v>
      </c>
      <c r="V40" s="308">
        <f>'Bảng tổng hợp 1'!C41</f>
        <v>0</v>
      </c>
      <c r="W40" s="311">
        <f>'Bảng tổng hợp 1'!D41</f>
        <v>0</v>
      </c>
      <c r="X40" s="309"/>
      <c r="Y40" s="1"/>
      <c r="Z40" s="261"/>
      <c r="AA40" s="261"/>
      <c r="AB40" s="261"/>
      <c r="AC40" s="261"/>
      <c r="AD40" s="1"/>
      <c r="AE40" s="1"/>
      <c r="AF40" s="1"/>
      <c r="AG40" s="1"/>
      <c r="AH40" s="1"/>
      <c r="AI40" s="1"/>
      <c r="AJ40" s="1"/>
      <c r="AK40" s="1"/>
      <c r="AL40" s="1"/>
      <c r="AM40" s="1"/>
      <c r="AN40" s="1"/>
    </row>
    <row r="41" ht="15.75" customHeight="1">
      <c r="A41" s="1"/>
      <c r="B41" s="146">
        <f t="shared" si="15"/>
        <v>45895</v>
      </c>
      <c r="C41" s="135">
        <f t="shared" si="10"/>
        <v>3225806.452</v>
      </c>
      <c r="D41" s="135">
        <f t="shared" si="11"/>
        <v>4.962779156</v>
      </c>
      <c r="E41" s="137">
        <f>'DS Shoppe (đã xác nhận)'!B67</f>
        <v>294649</v>
      </c>
      <c r="F41" s="138">
        <f>'DS Shoppe (đã xác nhận)'!C67</f>
        <v>1</v>
      </c>
      <c r="G41" s="139"/>
      <c r="H41" s="140">
        <f t="shared" ref="H41:I41" si="64">E41/C41</f>
        <v>0.09134119</v>
      </c>
      <c r="I41" s="140">
        <f t="shared" si="64"/>
        <v>0.2015</v>
      </c>
      <c r="J41" s="141">
        <f t="shared" ref="J41:K41" si="65">E41-C41</f>
        <v>-2931157.452</v>
      </c>
      <c r="K41" s="141">
        <f t="shared" si="65"/>
        <v>-3.962779156</v>
      </c>
      <c r="L41" s="142">
        <f>'DS Shoppe (đã xác nhận)'!H67</f>
        <v>0</v>
      </c>
      <c r="M41" s="312">
        <f>'DS Shoppe (đã xác nhận)'!I67</f>
        <v>0</v>
      </c>
      <c r="N41" s="308">
        <f>'DS Shoppe (đã xác nhận)'!J67</f>
        <v>0</v>
      </c>
      <c r="O41" s="309">
        <f>'DS Shoppe (đã xác nhận)'!K67</f>
        <v>0</v>
      </c>
      <c r="P41" s="147"/>
      <c r="Q41" s="1"/>
      <c r="R41" s="1"/>
      <c r="S41" s="310">
        <f t="shared" si="14"/>
        <v>27</v>
      </c>
      <c r="T41" s="311" t="str">
        <f>'Bảng tổng hợp 1'!A21</f>
        <v/>
      </c>
      <c r="U41" s="311" t="str">
        <f>'Bảng tổng hợp 1'!B21</f>
        <v>60 Viên</v>
      </c>
      <c r="V41" s="308">
        <f>'Bảng tổng hợp 1'!C21</f>
        <v>6</v>
      </c>
      <c r="W41" s="137">
        <f>'Bảng tổng hợp 1'!D21</f>
        <v>4253021</v>
      </c>
      <c r="X41" s="309"/>
      <c r="Y41" s="1"/>
      <c r="Z41" s="1"/>
      <c r="AA41" s="1"/>
      <c r="AB41" s="1"/>
      <c r="AC41" s="1"/>
      <c r="AD41" s="1"/>
      <c r="AE41" s="1"/>
      <c r="AF41" s="1"/>
      <c r="AG41" s="1"/>
      <c r="AH41" s="1"/>
      <c r="AI41" s="1"/>
      <c r="AJ41" s="1"/>
      <c r="AK41" s="1"/>
      <c r="AL41" s="1"/>
      <c r="AM41" s="1"/>
      <c r="AN41" s="1"/>
    </row>
    <row r="42" ht="15.75" customHeight="1">
      <c r="A42" s="1"/>
      <c r="B42" s="146">
        <f t="shared" si="15"/>
        <v>45896</v>
      </c>
      <c r="C42" s="135">
        <f t="shared" si="10"/>
        <v>3225806.452</v>
      </c>
      <c r="D42" s="135">
        <f t="shared" si="11"/>
        <v>4.962779156</v>
      </c>
      <c r="E42" s="137">
        <f>'DS Shoppe (đã xác nhận)'!B68</f>
        <v>2260897</v>
      </c>
      <c r="F42" s="138">
        <f>'DS Shoppe (đã xác nhận)'!C68</f>
        <v>3</v>
      </c>
      <c r="G42" s="139"/>
      <c r="H42" s="140">
        <f t="shared" ref="H42:I42" si="66">E42/C42</f>
        <v>0.70087807</v>
      </c>
      <c r="I42" s="140">
        <f t="shared" si="66"/>
        <v>0.6045</v>
      </c>
      <c r="J42" s="141">
        <f t="shared" ref="J42:K42" si="67">E42-C42</f>
        <v>-964909.4516</v>
      </c>
      <c r="K42" s="141">
        <f t="shared" si="67"/>
        <v>-1.962779156</v>
      </c>
      <c r="L42" s="142">
        <f>'DS Shoppe (đã xác nhận)'!H68</f>
        <v>0</v>
      </c>
      <c r="M42" s="143">
        <f>'DS Shoppe (đã xác nhận)'!I68</f>
        <v>0</v>
      </c>
      <c r="N42" s="308">
        <f>'DS Shoppe (đã xác nhận)'!J68</f>
        <v>0</v>
      </c>
      <c r="O42" s="309">
        <f>'DS Shoppe (đã xác nhận)'!K68</f>
        <v>0</v>
      </c>
      <c r="P42" s="147"/>
      <c r="Q42" s="1"/>
      <c r="R42" s="1"/>
      <c r="S42" s="310">
        <f t="shared" si="14"/>
        <v>28</v>
      </c>
      <c r="T42" s="311" t="str">
        <f>'Bảng tổng hợp 1'!A20</f>
        <v/>
      </c>
      <c r="U42" s="311" t="str">
        <f>'Bảng tổng hợp 1'!B20</f>
        <v>30 Viên</v>
      </c>
      <c r="V42" s="308">
        <f>'Bảng tổng hợp 1'!C20</f>
        <v>3</v>
      </c>
      <c r="W42" s="137">
        <f>'Bảng tổng hợp 1'!D20</f>
        <v>1243759</v>
      </c>
      <c r="X42" s="309"/>
      <c r="Y42" s="1"/>
      <c r="Z42" s="1"/>
      <c r="AA42" s="1"/>
      <c r="AB42" s="1"/>
      <c r="AC42" s="1"/>
      <c r="AD42" s="1"/>
      <c r="AE42" s="1"/>
      <c r="AF42" s="1"/>
      <c r="AG42" s="1"/>
      <c r="AH42" s="1"/>
      <c r="AI42" s="1"/>
      <c r="AJ42" s="1"/>
      <c r="AK42" s="1"/>
      <c r="AL42" s="1"/>
      <c r="AM42" s="1"/>
      <c r="AN42" s="1"/>
    </row>
    <row r="43" ht="15.75" customHeight="1">
      <c r="A43" s="1"/>
      <c r="B43" s="146">
        <f t="shared" si="15"/>
        <v>45897</v>
      </c>
      <c r="C43" s="135">
        <f t="shared" si="10"/>
        <v>3225806.452</v>
      </c>
      <c r="D43" s="135">
        <f t="shared" si="11"/>
        <v>4.962779156</v>
      </c>
      <c r="E43" s="137">
        <f>'DS Shoppe (đã xác nhận)'!B69</f>
        <v>193800</v>
      </c>
      <c r="F43" s="138">
        <f>'DS Shoppe (đã xác nhận)'!C69</f>
        <v>1</v>
      </c>
      <c r="G43" s="139"/>
      <c r="H43" s="140">
        <f t="shared" ref="H43:I43" si="68">E43/C43</f>
        <v>0.060078</v>
      </c>
      <c r="I43" s="140">
        <f t="shared" si="68"/>
        <v>0.2015</v>
      </c>
      <c r="J43" s="141">
        <f t="shared" ref="J43:K43" si="69">E43-C43</f>
        <v>-3032006.452</v>
      </c>
      <c r="K43" s="141">
        <f t="shared" si="69"/>
        <v>-3.962779156</v>
      </c>
      <c r="L43" s="142">
        <f>'DS Shoppe (đã xác nhận)'!H69</f>
        <v>0</v>
      </c>
      <c r="M43" s="143">
        <f>'DS Shoppe (đã xác nhận)'!I69</f>
        <v>0</v>
      </c>
      <c r="N43" s="308">
        <f>'DS Shoppe (đã xác nhận)'!J69</f>
        <v>0</v>
      </c>
      <c r="O43" s="309">
        <f>'DS Shoppe (đã xác nhận)'!K69</f>
        <v>0</v>
      </c>
      <c r="P43" s="147"/>
      <c r="Q43" s="1"/>
      <c r="R43" s="1"/>
      <c r="S43" s="310">
        <f t="shared" si="14"/>
        <v>29</v>
      </c>
      <c r="T43" s="311" t="str">
        <f>'Bảng tổng hợp 1'!A11</f>
        <v/>
      </c>
      <c r="U43" s="311" t="str">
        <f>'Bảng tổng hợp 1'!B11</f>
        <v>60 viên</v>
      </c>
      <c r="V43" s="308">
        <f>'Bảng tổng hợp 1'!C11</f>
        <v>4</v>
      </c>
      <c r="W43" s="137">
        <f>'Bảng tổng hợp 1'!D11</f>
        <v>2364865</v>
      </c>
      <c r="X43" s="309"/>
      <c r="Y43" s="1"/>
      <c r="Z43" s="1"/>
      <c r="AA43" s="1"/>
      <c r="AB43" s="1"/>
      <c r="AC43" s="1"/>
      <c r="AD43" s="1"/>
      <c r="AE43" s="1"/>
      <c r="AF43" s="1"/>
      <c r="AG43" s="1"/>
      <c r="AH43" s="1"/>
      <c r="AI43" s="1"/>
      <c r="AJ43" s="1"/>
      <c r="AK43" s="1"/>
      <c r="AL43" s="1"/>
      <c r="AM43" s="1"/>
      <c r="AN43" s="1"/>
    </row>
    <row r="44" ht="15.75" customHeight="1">
      <c r="A44" s="1"/>
      <c r="B44" s="146">
        <f t="shared" si="15"/>
        <v>45898</v>
      </c>
      <c r="C44" s="135">
        <f t="shared" si="10"/>
        <v>3225806.452</v>
      </c>
      <c r="D44" s="135">
        <f t="shared" si="11"/>
        <v>4.962779156</v>
      </c>
      <c r="E44" s="137">
        <f>'DS Shoppe (đã xác nhận)'!B70</f>
        <v>1275840</v>
      </c>
      <c r="F44" s="138">
        <f>'DS Shoppe (đã xác nhận)'!C70</f>
        <v>3</v>
      </c>
      <c r="G44" s="139"/>
      <c r="H44" s="140">
        <f t="shared" ref="H44:I44" si="70">E44/C44</f>
        <v>0.3955104</v>
      </c>
      <c r="I44" s="140">
        <f t="shared" si="70"/>
        <v>0.6045</v>
      </c>
      <c r="J44" s="141">
        <f t="shared" ref="J44:K44" si="71">E44-C44</f>
        <v>-1949966.452</v>
      </c>
      <c r="K44" s="141">
        <f t="shared" si="71"/>
        <v>-1.962779156</v>
      </c>
      <c r="L44" s="142">
        <f>'DS Shoppe (đã xác nhận)'!H70</f>
        <v>0</v>
      </c>
      <c r="M44" s="143">
        <f>'DS Shoppe (đã xác nhận)'!I70</f>
        <v>0</v>
      </c>
      <c r="N44" s="308">
        <f>'DS Shoppe (đã xác nhận)'!J70</f>
        <v>0</v>
      </c>
      <c r="O44" s="309">
        <f>'DS Shoppe (đã xác nhận)'!K70</f>
        <v>0</v>
      </c>
      <c r="P44" s="147"/>
      <c r="Q44" s="1"/>
      <c r="R44" s="1"/>
      <c r="S44" s="310">
        <f t="shared" si="14"/>
        <v>30</v>
      </c>
      <c r="T44" s="319" t="str">
        <f>'Bảng tổng hợp 1'!A45</f>
        <v>Combo Ngủ Ngon Sâu Giấc HB Cordy Extract &amp; HB Ginkgo Biloba 120Mg Healthy Beauty</v>
      </c>
      <c r="U44" s="319" t="str">
        <f>'Bảng tổng hợp 1'!B45</f>
        <v>-</v>
      </c>
      <c r="V44" s="320">
        <f>'Bảng tổng hợp 1'!C45</f>
        <v>0</v>
      </c>
      <c r="W44" s="319">
        <f>'Bảng tổng hợp 1'!D45</f>
        <v>0</v>
      </c>
      <c r="X44" s="309"/>
      <c r="Y44" s="1"/>
      <c r="Z44" s="1"/>
      <c r="AA44" s="1"/>
      <c r="AB44" s="1"/>
      <c r="AC44" s="1"/>
      <c r="AD44" s="1"/>
      <c r="AE44" s="1"/>
      <c r="AF44" s="1"/>
      <c r="AG44" s="1"/>
      <c r="AH44" s="1"/>
      <c r="AI44" s="1"/>
      <c r="AJ44" s="1"/>
      <c r="AK44" s="1"/>
      <c r="AL44" s="1"/>
      <c r="AM44" s="1"/>
      <c r="AN44" s="1"/>
    </row>
    <row r="45" ht="15.75" customHeight="1">
      <c r="A45" s="1"/>
      <c r="B45" s="146">
        <f t="shared" si="15"/>
        <v>45899</v>
      </c>
      <c r="C45" s="135">
        <f t="shared" si="10"/>
        <v>3225806.452</v>
      </c>
      <c r="D45" s="135">
        <f t="shared" si="11"/>
        <v>4.962779156</v>
      </c>
      <c r="E45" s="137">
        <f>'DS Shoppe (đã xác nhận)'!B71</f>
        <v>1333911</v>
      </c>
      <c r="F45" s="138">
        <f>'DS Shoppe (đã xác nhận)'!C71</f>
        <v>2</v>
      </c>
      <c r="G45" s="139"/>
      <c r="H45" s="140">
        <f t="shared" ref="H45:I45" si="72">E45/C45</f>
        <v>0.41351241</v>
      </c>
      <c r="I45" s="140">
        <f t="shared" si="72"/>
        <v>0.403</v>
      </c>
      <c r="J45" s="141">
        <f t="shared" ref="J45:K45" si="73">E45-C45</f>
        <v>-1891895.452</v>
      </c>
      <c r="K45" s="141">
        <f t="shared" si="73"/>
        <v>-2.962779156</v>
      </c>
      <c r="L45" s="142">
        <f>'DS Shoppe (đã xác nhận)'!H71</f>
        <v>0</v>
      </c>
      <c r="M45" s="312">
        <f>'DS Shoppe (đã xác nhận)'!I71</f>
        <v>0</v>
      </c>
      <c r="N45" s="308">
        <f>'DS Shoppe (đã xác nhận)'!J71</f>
        <v>0</v>
      </c>
      <c r="O45" s="309">
        <f>'DS Shoppe (đã xác nhận)'!K71</f>
        <v>0</v>
      </c>
      <c r="P45" s="147"/>
      <c r="Q45" s="1"/>
      <c r="R45" s="1"/>
      <c r="S45" s="310">
        <f t="shared" si="14"/>
        <v>31</v>
      </c>
      <c r="T45" s="319" t="str">
        <f>'Bảng tổng hợp 1'!A46</f>
        <v>Combo Mượt khớp, chắc xương (HB CALCIDSOFT - 30V + HB SHARK CARTILARGE - 100V)</v>
      </c>
      <c r="U45" s="319" t="str">
        <f>'Bảng tổng hợp 1'!B46</f>
        <v>-</v>
      </c>
      <c r="V45" s="320">
        <f>'Bảng tổng hợp 1'!C46</f>
        <v>1</v>
      </c>
      <c r="W45" s="321">
        <f>'Bảng tổng hợp 1'!D46</f>
        <v>727600</v>
      </c>
      <c r="X45" s="309"/>
      <c r="Y45" s="1"/>
      <c r="Z45" s="1"/>
      <c r="AA45" s="1"/>
      <c r="AB45" s="1"/>
      <c r="AC45" s="1"/>
      <c r="AD45" s="1"/>
      <c r="AE45" s="1"/>
      <c r="AF45" s="1"/>
      <c r="AG45" s="1"/>
      <c r="AH45" s="1"/>
      <c r="AI45" s="1"/>
      <c r="AJ45" s="1"/>
      <c r="AK45" s="1"/>
      <c r="AL45" s="1"/>
      <c r="AM45" s="1"/>
      <c r="AN45" s="1"/>
    </row>
    <row r="46" ht="25.5" customHeight="1">
      <c r="A46" s="1"/>
      <c r="B46" s="146">
        <f t="shared" si="15"/>
        <v>45900</v>
      </c>
      <c r="C46" s="135">
        <f t="shared" si="10"/>
        <v>3225806.452</v>
      </c>
      <c r="D46" s="135">
        <f t="shared" si="11"/>
        <v>4.962779156</v>
      </c>
      <c r="E46" s="311" t="str">
        <f>'DS Shoppe (đã xác nhận)'!B72</f>
        <v/>
      </c>
      <c r="F46" s="138" t="str">
        <f>'DS Shoppe (đã xác nhận)'!C72</f>
        <v/>
      </c>
      <c r="G46" s="139"/>
      <c r="H46" s="140">
        <f t="shared" ref="H46:I46" si="74">E46/C46</f>
        <v>0</v>
      </c>
      <c r="I46" s="140">
        <f t="shared" si="74"/>
        <v>0</v>
      </c>
      <c r="J46" s="141">
        <f t="shared" ref="J46:K46" si="75">E46-C46</f>
        <v>-3225806.452</v>
      </c>
      <c r="K46" s="141">
        <f t="shared" si="75"/>
        <v>-4.962779156</v>
      </c>
      <c r="L46" s="142" t="str">
        <f>'DS Shoppe (đã xác nhận)'!H72</f>
        <v/>
      </c>
      <c r="M46" s="312" t="str">
        <f>'DS Shoppe (đã xác nhận)'!I72</f>
        <v/>
      </c>
      <c r="N46" s="308" t="str">
        <f>'DS Shoppe (đã xác nhận)'!J72</f>
        <v/>
      </c>
      <c r="O46" s="309" t="str">
        <f>'DS Shoppe (đã xác nhận)'!K72</f>
        <v/>
      </c>
      <c r="P46" s="147"/>
      <c r="Q46" s="1"/>
      <c r="R46" s="1"/>
      <c r="S46" s="310">
        <f t="shared" si="14"/>
        <v>32</v>
      </c>
      <c r="T46" s="319" t="str">
        <f>'Bảng tổng hợp 1'!A48</f>
        <v>Combo Cải Thiện Thị Lực Tăng Cường Trí Nhớ HB Ginkgo Biloba 120Mg &amp; HB Visionfort Support 30V</v>
      </c>
      <c r="U46" s="319" t="str">
        <f>'Bảng tổng hợp 1'!B48</f>
        <v>-</v>
      </c>
      <c r="V46" s="320">
        <f>'Bảng tổng hợp 1'!C48</f>
        <v>0</v>
      </c>
      <c r="W46" s="319">
        <f>'Bảng tổng hợp 1'!D48</f>
        <v>0</v>
      </c>
      <c r="X46" s="309"/>
      <c r="Y46" s="1"/>
      <c r="Z46" s="1"/>
      <c r="AA46" s="1"/>
      <c r="AB46" s="1"/>
      <c r="AC46" s="1"/>
      <c r="AD46" s="1"/>
      <c r="AE46" s="1"/>
      <c r="AF46" s="1"/>
      <c r="AG46" s="1"/>
      <c r="AH46" s="1"/>
      <c r="AI46" s="1"/>
      <c r="AJ46" s="1"/>
      <c r="AK46" s="1"/>
      <c r="AL46" s="1"/>
      <c r="AM46" s="1"/>
      <c r="AN46" s="1"/>
    </row>
    <row r="47" ht="15.75" customHeight="1">
      <c r="A47" s="1"/>
      <c r="B47" s="1"/>
      <c r="C47" s="1"/>
      <c r="D47" s="1"/>
      <c r="E47" s="1"/>
      <c r="F47" s="1"/>
      <c r="G47" s="3"/>
      <c r="H47" s="1"/>
      <c r="I47" s="1"/>
      <c r="J47" s="1"/>
      <c r="K47" s="1"/>
      <c r="L47" s="1"/>
      <c r="M47" s="1"/>
      <c r="N47" s="1"/>
      <c r="O47" s="1"/>
      <c r="P47" s="3"/>
      <c r="Q47" s="1"/>
      <c r="R47" s="1"/>
      <c r="S47" s="310">
        <f t="shared" si="14"/>
        <v>33</v>
      </c>
      <c r="T47" s="109" t="str">
        <f>'Bảng tổng hợp 1'!A44</f>
        <v/>
      </c>
      <c r="U47" s="109" t="str">
        <f>'Bảng tổng hợp 1'!B44</f>
        <v>60 viên</v>
      </c>
      <c r="V47" s="109">
        <f>'Bảng tổng hợp 1'!C44</f>
        <v>0</v>
      </c>
      <c r="W47" s="216">
        <f>'Bảng tổng hợp 1'!D44</f>
        <v>0</v>
      </c>
      <c r="X47" s="309"/>
      <c r="Y47" s="1"/>
      <c r="Z47" s="1"/>
      <c r="AA47" s="1"/>
      <c r="AB47" s="1"/>
      <c r="AC47" s="1"/>
      <c r="AD47" s="1"/>
      <c r="AE47" s="1"/>
      <c r="AF47" s="1"/>
      <c r="AG47" s="1"/>
      <c r="AH47" s="1"/>
      <c r="AI47" s="1"/>
      <c r="AJ47" s="1"/>
      <c r="AK47" s="1"/>
      <c r="AL47" s="1"/>
      <c r="AM47" s="1"/>
      <c r="AN47" s="1"/>
    </row>
    <row r="48" ht="15.75" customHeight="1">
      <c r="A48" s="1"/>
      <c r="B48" s="1"/>
      <c r="C48" s="1"/>
      <c r="D48" s="1"/>
      <c r="E48" s="1"/>
      <c r="F48" s="1"/>
      <c r="G48" s="3"/>
      <c r="H48" s="1"/>
      <c r="I48" s="1"/>
      <c r="J48" s="1"/>
      <c r="K48" s="1"/>
      <c r="L48" s="1"/>
      <c r="M48" s="1"/>
      <c r="N48" s="1"/>
      <c r="O48" s="1"/>
      <c r="P48" s="3"/>
      <c r="Q48" s="1"/>
      <c r="R48" s="1"/>
      <c r="S48" s="310">
        <f t="shared" si="14"/>
        <v>34</v>
      </c>
      <c r="T48" s="319" t="str">
        <f>'Bảng tổng hợp 1'!A49</f>
        <v/>
      </c>
      <c r="U48" s="319" t="str">
        <f>'Bảng tổng hợp 1'!B49</f>
        <v>30 Viên</v>
      </c>
      <c r="V48" s="320">
        <f>'Bảng tổng hợp 1'!C49</f>
        <v>0</v>
      </c>
      <c r="W48" s="319">
        <f>'Bảng tổng hợp 1'!D49</f>
        <v>0</v>
      </c>
      <c r="X48" s="309"/>
      <c r="Y48" s="1"/>
      <c r="Z48" s="1"/>
      <c r="AA48" s="1"/>
      <c r="AB48" s="1"/>
      <c r="AC48" s="1"/>
      <c r="AD48" s="1"/>
      <c r="AE48" s="1"/>
      <c r="AF48" s="1"/>
      <c r="AG48" s="1"/>
      <c r="AH48" s="1"/>
      <c r="AI48" s="1"/>
      <c r="AJ48" s="1"/>
      <c r="AK48" s="1"/>
      <c r="AL48" s="1"/>
      <c r="AM48" s="1"/>
      <c r="AN48" s="1"/>
    </row>
    <row r="49" ht="15.75" customHeight="1">
      <c r="A49" s="1"/>
      <c r="B49" s="1"/>
      <c r="C49" s="3"/>
      <c r="D49" s="1"/>
      <c r="E49" s="1"/>
      <c r="F49" s="1"/>
      <c r="G49" s="3"/>
      <c r="H49" s="1"/>
      <c r="I49" s="1"/>
      <c r="J49" s="1"/>
      <c r="K49" s="1"/>
      <c r="L49" s="1"/>
      <c r="M49" s="1"/>
      <c r="N49" s="1"/>
      <c r="O49" s="1"/>
      <c r="P49" s="3"/>
      <c r="Q49" s="1"/>
      <c r="R49" s="1"/>
      <c r="S49" s="310">
        <f t="shared" si="14"/>
        <v>35</v>
      </c>
      <c r="T49" s="319" t="str">
        <f>'Bảng tổng hợp 1'!A50</f>
        <v>Bộ Đôi Giảm Cân An Toàn Hiệu Quả HB SLIMDAY &amp; HB SLIMNIGHT</v>
      </c>
      <c r="U49" s="319" t="str">
        <f>'Bảng tổng hợp 1'!B50</f>
        <v>-</v>
      </c>
      <c r="V49" s="320">
        <f>'Bảng tổng hợp 1'!C50</f>
        <v>0</v>
      </c>
      <c r="W49" s="319">
        <f>'Bảng tổng hợp 1'!D50</f>
        <v>0</v>
      </c>
      <c r="X49" s="309"/>
      <c r="Y49" s="1"/>
      <c r="Z49" s="1"/>
      <c r="AA49" s="1"/>
      <c r="AB49" s="1"/>
      <c r="AC49" s="1"/>
      <c r="AD49" s="1"/>
      <c r="AE49" s="1"/>
      <c r="AF49" s="1"/>
      <c r="AG49" s="1"/>
      <c r="AH49" s="1"/>
      <c r="AI49" s="1"/>
      <c r="AJ49" s="1"/>
      <c r="AK49" s="1"/>
      <c r="AL49" s="1"/>
      <c r="AM49" s="1"/>
      <c r="AN49" s="1"/>
    </row>
    <row r="50" ht="15.75" customHeight="1">
      <c r="A50" s="1"/>
      <c r="B50" s="1"/>
      <c r="C50" s="3"/>
      <c r="D50" s="1"/>
      <c r="E50" s="1"/>
      <c r="F50" s="1"/>
      <c r="G50" s="3"/>
      <c r="H50" s="1"/>
      <c r="I50" s="1"/>
      <c r="J50" s="1"/>
      <c r="K50" s="1"/>
      <c r="L50" s="1"/>
      <c r="M50" s="1"/>
      <c r="N50" s="1"/>
      <c r="O50" s="1"/>
      <c r="P50" s="3"/>
      <c r="Q50" s="1"/>
      <c r="R50" s="1"/>
      <c r="S50" s="310">
        <f t="shared" si="14"/>
        <v>36</v>
      </c>
      <c r="T50" s="319" t="str">
        <f>'Bảng tổng hợp 1'!A51</f>
        <v>[HB Gift]_Túi vải đay linen Healthy Beauty 40x35cm, thiết kế thanh lịch, chắc chắn, dung tích rộng</v>
      </c>
      <c r="U50" s="319" t="str">
        <f>'Bảng tổng hợp 1'!B51</f>
        <v>-</v>
      </c>
      <c r="V50" s="320">
        <f>'Bảng tổng hợp 1'!C51</f>
        <v>3</v>
      </c>
      <c r="W50" s="321">
        <f>'Bảng tổng hợp 1'!D51</f>
        <v>0</v>
      </c>
      <c r="X50" s="309"/>
      <c r="Y50" s="1"/>
      <c r="Z50" s="1"/>
      <c r="AA50" s="1"/>
      <c r="AB50" s="1"/>
      <c r="AC50" s="1"/>
      <c r="AD50" s="1"/>
      <c r="AE50" s="1"/>
      <c r="AF50" s="1"/>
      <c r="AG50" s="1"/>
      <c r="AH50" s="1"/>
      <c r="AI50" s="1"/>
      <c r="AJ50" s="1"/>
      <c r="AK50" s="1"/>
      <c r="AL50" s="1"/>
      <c r="AM50" s="1"/>
      <c r="AN50" s="1"/>
    </row>
    <row r="51" ht="15.75" customHeight="1">
      <c r="A51" s="1"/>
      <c r="B51" s="1"/>
      <c r="C51" s="3"/>
      <c r="D51" s="1"/>
      <c r="E51" s="1"/>
      <c r="F51" s="1"/>
      <c r="G51" s="3"/>
      <c r="H51" s="1"/>
      <c r="I51" s="1"/>
      <c r="J51" s="1"/>
      <c r="K51" s="1"/>
      <c r="L51" s="1"/>
      <c r="M51" s="1"/>
      <c r="N51" s="1"/>
      <c r="O51" s="1"/>
      <c r="P51" s="3"/>
      <c r="Q51" s="1"/>
      <c r="R51" s="1"/>
      <c r="S51" s="322">
        <f t="shared" si="14"/>
        <v>37</v>
      </c>
      <c r="T51" s="323" t="str">
        <f>'Bảng tổng hợp 1'!A52</f>
        <v>[HB Gift] _01 cây Bút Bi Healthy Beauty</v>
      </c>
      <c r="U51" s="323" t="str">
        <f>'Bảng tổng hợp 1'!B52</f>
        <v>-</v>
      </c>
      <c r="V51" s="324">
        <f>'Bảng tổng hợp 1'!C52</f>
        <v>0</v>
      </c>
      <c r="W51" s="325">
        <f>'Bảng tổng hợp 1'!D52</f>
        <v>0</v>
      </c>
      <c r="X51" s="326"/>
      <c r="Y51" s="1"/>
      <c r="Z51" s="1"/>
      <c r="AA51" s="1"/>
      <c r="AB51" s="1"/>
      <c r="AC51" s="1"/>
      <c r="AD51" s="1"/>
      <c r="AE51" s="1"/>
      <c r="AF51" s="1"/>
      <c r="AG51" s="1"/>
      <c r="AH51" s="1"/>
      <c r="AI51" s="1"/>
      <c r="AJ51" s="1"/>
      <c r="AK51" s="1"/>
      <c r="AL51" s="1"/>
      <c r="AM51" s="1"/>
      <c r="AN51" s="1"/>
    </row>
    <row r="52" ht="15.75" customHeight="1">
      <c r="A52" s="1"/>
      <c r="B52" s="1"/>
      <c r="C52" s="3"/>
      <c r="D52" s="1"/>
      <c r="E52" s="1"/>
      <c r="F52" s="1"/>
      <c r="G52" s="3"/>
      <c r="H52" s="1"/>
      <c r="I52" s="1"/>
      <c r="J52" s="1"/>
      <c r="K52" s="1"/>
      <c r="L52" s="1"/>
      <c r="M52" s="1"/>
      <c r="N52" s="1"/>
      <c r="O52" s="1"/>
      <c r="P52" s="3"/>
      <c r="Q52" s="1"/>
      <c r="R52" s="1"/>
      <c r="S52" s="291"/>
      <c r="T52" s="327"/>
      <c r="U52" s="328"/>
      <c r="V52" s="329"/>
      <c r="W52" s="77"/>
      <c r="X52" s="1"/>
      <c r="Y52" s="1"/>
      <c r="Z52" s="1"/>
      <c r="AA52" s="1"/>
      <c r="AB52" s="1"/>
      <c r="AC52" s="1"/>
      <c r="AD52" s="1"/>
      <c r="AE52" s="1"/>
      <c r="AF52" s="1"/>
      <c r="AG52" s="1"/>
      <c r="AH52" s="1"/>
      <c r="AI52" s="1"/>
      <c r="AJ52" s="1"/>
      <c r="AK52" s="1"/>
      <c r="AL52" s="1"/>
      <c r="AM52" s="1"/>
      <c r="AN52" s="1"/>
    </row>
    <row r="53" ht="15.75" customHeight="1">
      <c r="A53" s="1"/>
      <c r="B53" s="1"/>
      <c r="C53" s="3"/>
      <c r="D53" s="1"/>
      <c r="E53" s="1"/>
      <c r="F53" s="1"/>
      <c r="G53" s="3"/>
      <c r="H53" s="1"/>
      <c r="I53" s="1"/>
      <c r="J53" s="1"/>
      <c r="K53" s="1"/>
      <c r="L53" s="1"/>
      <c r="M53" s="1"/>
      <c r="N53" s="1"/>
      <c r="O53" s="1"/>
      <c r="P53" s="3"/>
      <c r="Q53" s="1"/>
      <c r="R53" s="1"/>
      <c r="S53" s="291"/>
      <c r="T53" s="327"/>
      <c r="U53" s="328"/>
      <c r="V53" s="329"/>
      <c r="W53" s="77"/>
      <c r="X53" s="1"/>
      <c r="Y53" s="1"/>
      <c r="Z53" s="1"/>
      <c r="AA53" s="1"/>
      <c r="AB53" s="1"/>
      <c r="AC53" s="1"/>
      <c r="AD53" s="1"/>
      <c r="AE53" s="1"/>
      <c r="AF53" s="1"/>
      <c r="AG53" s="1"/>
      <c r="AH53" s="1"/>
      <c r="AI53" s="1"/>
      <c r="AJ53" s="1"/>
      <c r="AK53" s="1"/>
      <c r="AL53" s="1"/>
      <c r="AM53" s="1"/>
      <c r="AN53" s="1"/>
    </row>
    <row r="54" ht="15.75" customHeight="1">
      <c r="A54" s="1"/>
      <c r="B54" s="1"/>
      <c r="C54" s="3"/>
      <c r="D54" s="1"/>
      <c r="E54" s="1"/>
      <c r="F54" s="1"/>
      <c r="G54" s="3"/>
      <c r="H54" s="1"/>
      <c r="I54" s="1"/>
      <c r="J54" s="1"/>
      <c r="K54" s="1"/>
      <c r="L54" s="1"/>
      <c r="M54" s="1"/>
      <c r="N54" s="1"/>
      <c r="O54" s="1"/>
      <c r="P54" s="3"/>
      <c r="Q54" s="1"/>
      <c r="R54" s="1"/>
      <c r="S54" s="291"/>
      <c r="T54" s="327"/>
      <c r="U54" s="328"/>
      <c r="V54" s="329"/>
      <c r="W54" s="77"/>
      <c r="X54" s="1"/>
      <c r="Y54" s="1"/>
      <c r="Z54" s="1"/>
      <c r="AA54" s="1"/>
      <c r="AB54" s="1"/>
      <c r="AC54" s="1"/>
      <c r="AD54" s="1"/>
      <c r="AE54" s="1"/>
      <c r="AF54" s="1"/>
      <c r="AG54" s="1"/>
      <c r="AH54" s="1"/>
      <c r="AI54" s="1"/>
      <c r="AJ54" s="1"/>
      <c r="AK54" s="1"/>
      <c r="AL54" s="1"/>
      <c r="AM54" s="1"/>
      <c r="AN54" s="1"/>
    </row>
    <row r="55" ht="15.75" customHeight="1">
      <c r="A55" s="1"/>
      <c r="B55" s="1"/>
      <c r="C55" s="3"/>
      <c r="D55" s="1"/>
      <c r="E55" s="1"/>
      <c r="F55" s="1"/>
      <c r="G55" s="3"/>
      <c r="H55" s="1"/>
      <c r="I55" s="1"/>
      <c r="J55" s="1"/>
      <c r="K55" s="1"/>
      <c r="L55" s="1"/>
      <c r="M55" s="1"/>
      <c r="N55" s="1"/>
      <c r="O55" s="1"/>
      <c r="P55" s="3"/>
      <c r="Q55" s="1"/>
      <c r="R55" s="1"/>
      <c r="S55" s="291"/>
      <c r="T55" s="327"/>
      <c r="U55" s="328"/>
      <c r="V55" s="329"/>
      <c r="W55" s="77"/>
      <c r="X55" s="1"/>
      <c r="Y55" s="1"/>
      <c r="Z55" s="1"/>
      <c r="AA55" s="1"/>
      <c r="AB55" s="1"/>
      <c r="AC55" s="1"/>
      <c r="AD55" s="1"/>
      <c r="AE55" s="1"/>
      <c r="AF55" s="1"/>
      <c r="AG55" s="1"/>
      <c r="AH55" s="1"/>
      <c r="AI55" s="1"/>
      <c r="AJ55" s="1"/>
      <c r="AK55" s="1"/>
      <c r="AL55" s="1"/>
      <c r="AM55" s="1"/>
      <c r="AN55" s="1"/>
    </row>
    <row r="56" ht="15.75" customHeight="1">
      <c r="A56" s="1"/>
      <c r="B56" s="1"/>
      <c r="C56" s="3"/>
      <c r="D56" s="1"/>
      <c r="E56" s="1"/>
      <c r="F56" s="1"/>
      <c r="G56" s="3"/>
      <c r="H56" s="1"/>
      <c r="I56" s="1"/>
      <c r="J56" s="1"/>
      <c r="K56" s="1"/>
      <c r="L56" s="1"/>
      <c r="M56" s="1"/>
      <c r="N56" s="1"/>
      <c r="O56" s="1"/>
      <c r="P56" s="3"/>
      <c r="Q56" s="1"/>
      <c r="R56" s="1"/>
      <c r="S56" s="291"/>
      <c r="T56" s="327"/>
      <c r="U56" s="328"/>
      <c r="V56" s="329"/>
      <c r="W56" s="77"/>
      <c r="X56" s="1"/>
      <c r="Y56" s="1"/>
      <c r="Z56" s="1"/>
      <c r="AA56" s="1"/>
      <c r="AB56" s="1"/>
      <c r="AC56" s="1"/>
      <c r="AD56" s="1"/>
      <c r="AE56" s="1"/>
      <c r="AF56" s="1"/>
      <c r="AG56" s="1"/>
      <c r="AH56" s="1"/>
      <c r="AI56" s="1"/>
      <c r="AJ56" s="1"/>
      <c r="AK56" s="1"/>
      <c r="AL56" s="1"/>
      <c r="AM56" s="1"/>
      <c r="AN56" s="1"/>
    </row>
    <row r="57" ht="15.75" customHeight="1">
      <c r="A57" s="1"/>
      <c r="B57" s="1"/>
      <c r="C57" s="3"/>
      <c r="D57" s="1"/>
      <c r="E57" s="1"/>
      <c r="F57" s="1"/>
      <c r="G57" s="3"/>
      <c r="H57" s="1"/>
      <c r="I57" s="1"/>
      <c r="J57" s="1"/>
      <c r="K57" s="1"/>
      <c r="L57" s="1"/>
      <c r="M57" s="1"/>
      <c r="N57" s="1"/>
      <c r="O57" s="1"/>
      <c r="P57" s="3"/>
      <c r="Q57" s="1"/>
      <c r="R57" s="1"/>
      <c r="S57" s="291"/>
      <c r="T57" s="327"/>
      <c r="U57" s="328"/>
      <c r="V57" s="329"/>
      <c r="W57" s="77"/>
      <c r="X57" s="1"/>
      <c r="Y57" s="1"/>
      <c r="Z57" s="1"/>
      <c r="AA57" s="1"/>
      <c r="AB57" s="1"/>
      <c r="AC57" s="1"/>
      <c r="AD57" s="1"/>
      <c r="AE57" s="1"/>
      <c r="AF57" s="1"/>
      <c r="AG57" s="1"/>
      <c r="AH57" s="1"/>
      <c r="AI57" s="1"/>
      <c r="AJ57" s="1"/>
      <c r="AK57" s="1"/>
      <c r="AL57" s="1"/>
      <c r="AM57" s="1"/>
      <c r="AN57" s="1"/>
    </row>
    <row r="58" ht="15.75" customHeight="1">
      <c r="A58" s="1"/>
      <c r="B58" s="1"/>
      <c r="C58" s="3"/>
      <c r="D58" s="1"/>
      <c r="E58" s="1"/>
      <c r="F58" s="1"/>
      <c r="G58" s="3"/>
      <c r="H58" s="1"/>
      <c r="I58" s="1"/>
      <c r="J58" s="1"/>
      <c r="K58" s="1"/>
      <c r="L58" s="1"/>
      <c r="M58" s="1"/>
      <c r="N58" s="1"/>
      <c r="O58" s="1"/>
      <c r="P58" s="3"/>
      <c r="Q58" s="1"/>
      <c r="R58" s="1"/>
      <c r="S58" s="291"/>
      <c r="T58" s="327"/>
      <c r="U58" s="328"/>
      <c r="V58" s="329"/>
      <c r="W58" s="77"/>
      <c r="X58" s="1"/>
      <c r="Y58" s="1"/>
      <c r="Z58" s="1"/>
      <c r="AA58" s="1"/>
      <c r="AB58" s="1"/>
      <c r="AC58" s="1"/>
      <c r="AD58" s="1"/>
      <c r="AE58" s="1"/>
      <c r="AF58" s="1"/>
      <c r="AG58" s="1"/>
      <c r="AH58" s="1"/>
      <c r="AI58" s="1"/>
      <c r="AJ58" s="1"/>
      <c r="AK58" s="1"/>
      <c r="AL58" s="1"/>
      <c r="AM58" s="1"/>
      <c r="AN58" s="1"/>
    </row>
    <row r="59" ht="15.75" customHeight="1">
      <c r="A59" s="1"/>
      <c r="B59" s="1"/>
      <c r="C59" s="3"/>
      <c r="D59" s="1"/>
      <c r="E59" s="1"/>
      <c r="F59" s="1"/>
      <c r="G59" s="148"/>
      <c r="H59" s="1"/>
      <c r="I59" s="1"/>
      <c r="J59" s="1"/>
      <c r="K59" s="1"/>
      <c r="L59" s="1"/>
      <c r="M59" s="1"/>
      <c r="N59" s="1"/>
      <c r="O59" s="1"/>
      <c r="P59" s="3"/>
      <c r="Q59" s="1"/>
      <c r="R59" s="1"/>
      <c r="S59" s="291"/>
      <c r="T59" s="327"/>
      <c r="U59" s="328"/>
      <c r="V59" s="329"/>
      <c r="W59" s="77"/>
      <c r="X59" s="1"/>
      <c r="Y59" s="1"/>
      <c r="Z59" s="1"/>
      <c r="AA59" s="1"/>
      <c r="AB59" s="1"/>
      <c r="AC59" s="1"/>
      <c r="AD59" s="1"/>
      <c r="AE59" s="1"/>
      <c r="AF59" s="1"/>
      <c r="AG59" s="1"/>
      <c r="AH59" s="1"/>
      <c r="AI59" s="1"/>
      <c r="AJ59" s="1"/>
      <c r="AK59" s="1"/>
      <c r="AL59" s="1"/>
      <c r="AM59" s="1"/>
      <c r="AN59" s="1"/>
    </row>
    <row r="60" ht="15.75" customHeight="1">
      <c r="A60" s="1"/>
      <c r="B60" s="1"/>
      <c r="C60" s="3"/>
      <c r="D60" s="1"/>
      <c r="E60" s="1"/>
      <c r="F60" s="1"/>
      <c r="G60" s="148"/>
      <c r="H60" s="1"/>
      <c r="I60" s="1"/>
      <c r="J60" s="1"/>
      <c r="K60" s="1"/>
      <c r="L60" s="1"/>
      <c r="M60" s="1"/>
      <c r="N60" s="1"/>
      <c r="O60" s="1"/>
      <c r="P60" s="3"/>
      <c r="Q60" s="1"/>
      <c r="R60" s="1"/>
      <c r="S60" s="291"/>
      <c r="T60" s="327"/>
      <c r="U60" s="328"/>
      <c r="V60" s="329"/>
      <c r="W60" s="77"/>
      <c r="X60" s="1"/>
      <c r="Y60" s="1"/>
      <c r="Z60" s="1"/>
      <c r="AA60" s="1"/>
      <c r="AB60" s="1"/>
      <c r="AC60" s="1"/>
      <c r="AD60" s="1"/>
      <c r="AE60" s="1"/>
      <c r="AF60" s="1"/>
      <c r="AG60" s="1"/>
      <c r="AH60" s="1"/>
      <c r="AI60" s="1"/>
      <c r="AJ60" s="1"/>
      <c r="AK60" s="1"/>
      <c r="AL60" s="1"/>
      <c r="AM60" s="1"/>
      <c r="AN60" s="1"/>
    </row>
    <row r="61" ht="15.75" customHeight="1">
      <c r="A61" s="1"/>
      <c r="B61" s="1"/>
      <c r="C61" s="3"/>
      <c r="D61" s="1"/>
      <c r="E61" s="1"/>
      <c r="F61" s="1"/>
      <c r="G61" s="148"/>
      <c r="H61" s="1"/>
      <c r="I61" s="1"/>
      <c r="J61" s="1"/>
      <c r="K61" s="1"/>
      <c r="L61" s="1"/>
      <c r="M61" s="1"/>
      <c r="N61" s="1"/>
      <c r="O61" s="1"/>
      <c r="P61" s="3"/>
      <c r="Q61" s="1"/>
      <c r="R61" s="1"/>
      <c r="S61" s="291"/>
      <c r="T61" s="327"/>
      <c r="U61" s="328"/>
      <c r="V61" s="329"/>
      <c r="W61" s="77"/>
      <c r="X61" s="1"/>
      <c r="Y61" s="1"/>
      <c r="Z61" s="1"/>
      <c r="AA61" s="1"/>
      <c r="AB61" s="1"/>
      <c r="AC61" s="1"/>
      <c r="AD61" s="1"/>
      <c r="AE61" s="1"/>
      <c r="AF61" s="1"/>
      <c r="AG61" s="1"/>
      <c r="AH61" s="1"/>
      <c r="AI61" s="1"/>
      <c r="AJ61" s="1"/>
      <c r="AK61" s="1"/>
      <c r="AL61" s="1"/>
      <c r="AM61" s="1"/>
      <c r="AN61" s="1"/>
    </row>
    <row r="62" ht="15.75" customHeight="1">
      <c r="A62" s="1"/>
      <c r="B62" s="1"/>
      <c r="C62" s="3"/>
      <c r="D62" s="1"/>
      <c r="E62" s="1"/>
      <c r="F62" s="1"/>
      <c r="G62" s="148"/>
      <c r="H62" s="1"/>
      <c r="I62" s="1"/>
      <c r="J62" s="1"/>
      <c r="K62" s="1"/>
      <c r="L62" s="1"/>
      <c r="M62" s="1"/>
      <c r="N62" s="1"/>
      <c r="O62" s="1"/>
      <c r="P62" s="3"/>
      <c r="Q62" s="1"/>
      <c r="R62" s="1"/>
      <c r="S62" s="291"/>
      <c r="T62" s="327"/>
      <c r="U62" s="328"/>
      <c r="V62" s="329"/>
      <c r="W62" s="77"/>
      <c r="X62" s="1"/>
      <c r="Y62" s="1"/>
      <c r="Z62" s="1"/>
      <c r="AA62" s="1"/>
      <c r="AB62" s="1"/>
      <c r="AC62" s="1"/>
      <c r="AD62" s="1"/>
      <c r="AE62" s="1"/>
      <c r="AF62" s="1"/>
      <c r="AG62" s="1"/>
      <c r="AH62" s="1"/>
      <c r="AI62" s="1"/>
      <c r="AJ62" s="1"/>
      <c r="AK62" s="1"/>
      <c r="AL62" s="1"/>
      <c r="AM62" s="1"/>
      <c r="AN62" s="1"/>
    </row>
    <row r="63" ht="15.75" customHeight="1">
      <c r="A63" s="1"/>
      <c r="B63" s="1"/>
      <c r="C63" s="3"/>
      <c r="D63" s="1"/>
      <c r="E63" s="1"/>
      <c r="F63" s="1"/>
      <c r="G63" s="148"/>
      <c r="H63" s="1"/>
      <c r="I63" s="1"/>
      <c r="J63" s="1"/>
      <c r="K63" s="1"/>
      <c r="L63" s="1"/>
      <c r="M63" s="1"/>
      <c r="N63" s="1"/>
      <c r="O63" s="1"/>
      <c r="P63" s="3"/>
      <c r="Q63" s="1"/>
      <c r="R63" s="1"/>
      <c r="S63" s="291"/>
      <c r="T63" s="327"/>
      <c r="U63" s="328"/>
      <c r="V63" s="329"/>
      <c r="W63" s="77"/>
      <c r="X63" s="1"/>
      <c r="Y63" s="1"/>
      <c r="Z63" s="1"/>
      <c r="AA63" s="1"/>
      <c r="AB63" s="1"/>
      <c r="AC63" s="1"/>
      <c r="AD63" s="1"/>
      <c r="AE63" s="1"/>
      <c r="AF63" s="1"/>
      <c r="AG63" s="1"/>
      <c r="AH63" s="1"/>
      <c r="AI63" s="1"/>
      <c r="AJ63" s="1"/>
      <c r="AK63" s="1"/>
      <c r="AL63" s="1"/>
      <c r="AM63" s="1"/>
      <c r="AN63" s="1"/>
    </row>
    <row r="64" ht="15.75" customHeight="1">
      <c r="A64" s="1"/>
      <c r="B64" s="1"/>
      <c r="C64" s="3"/>
      <c r="D64" s="1"/>
      <c r="E64" s="1"/>
      <c r="F64" s="1"/>
      <c r="G64" s="148"/>
      <c r="H64" s="1"/>
      <c r="I64" s="1"/>
      <c r="J64" s="1"/>
      <c r="K64" s="1"/>
      <c r="L64" s="1"/>
      <c r="M64" s="1"/>
      <c r="N64" s="1"/>
      <c r="O64" s="1"/>
      <c r="P64" s="3"/>
      <c r="Q64" s="1"/>
      <c r="R64" s="1"/>
      <c r="S64" s="291"/>
      <c r="T64" s="327"/>
      <c r="U64" s="328"/>
      <c r="V64" s="329"/>
      <c r="W64" s="77"/>
      <c r="X64" s="1"/>
      <c r="Y64" s="1"/>
      <c r="Z64" s="1"/>
      <c r="AA64" s="1"/>
      <c r="AB64" s="1"/>
      <c r="AC64" s="1"/>
      <c r="AD64" s="1"/>
      <c r="AE64" s="1"/>
      <c r="AF64" s="1"/>
      <c r="AG64" s="1"/>
      <c r="AH64" s="1"/>
      <c r="AI64" s="1"/>
      <c r="AJ64" s="1"/>
      <c r="AK64" s="1"/>
      <c r="AL64" s="1"/>
      <c r="AM64" s="1"/>
      <c r="AN64" s="1"/>
    </row>
    <row r="65" ht="15.75" customHeight="1">
      <c r="A65" s="1"/>
      <c r="B65" s="1"/>
      <c r="C65" s="3"/>
      <c r="D65" s="1"/>
      <c r="E65" s="1"/>
      <c r="F65" s="1"/>
      <c r="G65" s="148"/>
      <c r="H65" s="1"/>
      <c r="I65" s="1"/>
      <c r="J65" s="1"/>
      <c r="K65" s="1"/>
      <c r="L65" s="1"/>
      <c r="M65" s="1"/>
      <c r="N65" s="1"/>
      <c r="O65" s="1"/>
      <c r="P65" s="3"/>
      <c r="Q65" s="1"/>
      <c r="R65" s="1"/>
      <c r="S65" s="291"/>
      <c r="T65" s="327"/>
      <c r="U65" s="328"/>
      <c r="V65" s="329"/>
      <c r="W65" s="77"/>
      <c r="X65" s="1"/>
      <c r="Y65" s="1"/>
      <c r="Z65" s="1"/>
      <c r="AA65" s="1"/>
      <c r="AB65" s="1"/>
      <c r="AC65" s="1"/>
      <c r="AD65" s="1"/>
      <c r="AE65" s="1"/>
      <c r="AF65" s="1"/>
      <c r="AG65" s="1"/>
      <c r="AH65" s="1"/>
      <c r="AI65" s="1"/>
      <c r="AJ65" s="1"/>
      <c r="AK65" s="1"/>
      <c r="AL65" s="1"/>
      <c r="AM65" s="1"/>
      <c r="AN65" s="1"/>
    </row>
    <row r="66" ht="15.75" customHeight="1">
      <c r="A66" s="1"/>
      <c r="B66" s="1"/>
      <c r="C66" s="3"/>
      <c r="D66" s="1"/>
      <c r="E66" s="1"/>
      <c r="F66" s="1"/>
      <c r="G66" s="148"/>
      <c r="H66" s="1"/>
      <c r="I66" s="1"/>
      <c r="J66" s="1"/>
      <c r="K66" s="1"/>
      <c r="L66" s="1"/>
      <c r="M66" s="1"/>
      <c r="N66" s="1"/>
      <c r="O66" s="3"/>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3"/>
      <c r="D67" s="1"/>
      <c r="E67" s="1"/>
      <c r="F67" s="1"/>
      <c r="G67" s="148"/>
      <c r="H67" s="1"/>
      <c r="I67" s="1"/>
      <c r="J67" s="1"/>
      <c r="K67" s="1"/>
      <c r="L67" s="1"/>
      <c r="M67" s="1"/>
      <c r="N67" s="1"/>
      <c r="O67" s="3"/>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3"/>
      <c r="D68" s="1"/>
      <c r="E68" s="1"/>
      <c r="F68" s="1"/>
      <c r="G68" s="148"/>
      <c r="H68" s="1"/>
      <c r="I68" s="1"/>
      <c r="J68" s="1"/>
      <c r="K68" s="1"/>
      <c r="L68" s="1"/>
      <c r="M68" s="1"/>
      <c r="N68" s="1"/>
      <c r="O68" s="3"/>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3"/>
      <c r="D69" s="1"/>
      <c r="E69" s="1"/>
      <c r="F69" s="1"/>
      <c r="G69" s="148"/>
      <c r="H69" s="1"/>
      <c r="I69" s="1"/>
      <c r="J69" s="1"/>
      <c r="K69" s="1"/>
      <c r="L69" s="1"/>
      <c r="M69" s="1"/>
      <c r="N69" s="1"/>
      <c r="O69" s="3"/>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3"/>
      <c r="D70" s="1"/>
      <c r="E70" s="1"/>
      <c r="F70" s="1"/>
      <c r="G70" s="148"/>
      <c r="H70" s="1"/>
      <c r="I70" s="1"/>
      <c r="J70" s="1"/>
      <c r="K70" s="1"/>
      <c r="L70" s="1"/>
      <c r="M70" s="1"/>
      <c r="N70" s="1"/>
      <c r="O70" s="3"/>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3"/>
      <c r="D71" s="1"/>
      <c r="E71" s="1"/>
      <c r="F71" s="1"/>
      <c r="G71" s="1"/>
      <c r="H71" s="1"/>
      <c r="I71" s="1"/>
      <c r="J71" s="1"/>
      <c r="K71" s="1"/>
      <c r="L71" s="1"/>
      <c r="M71" s="1"/>
      <c r="N71" s="1"/>
      <c r="O71" s="3"/>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3"/>
      <c r="D72" s="1"/>
      <c r="E72" s="1"/>
      <c r="F72" s="1"/>
      <c r="G72" s="1"/>
      <c r="H72" s="1"/>
      <c r="I72" s="1"/>
      <c r="J72" s="1"/>
      <c r="K72" s="1"/>
      <c r="L72" s="1"/>
      <c r="M72" s="1"/>
      <c r="N72" s="1"/>
      <c r="O72" s="3"/>
      <c r="P72" s="1"/>
      <c r="Q72" s="1"/>
      <c r="R72" s="1"/>
      <c r="S72" s="1"/>
      <c r="T72" s="1"/>
      <c r="U72" s="1"/>
      <c r="V72" s="1"/>
      <c r="W72" s="1"/>
      <c r="X72" s="1"/>
      <c r="Y72" s="1"/>
      <c r="Z72" s="1"/>
      <c r="AA72" s="1"/>
      <c r="AB72" s="1"/>
      <c r="AC72" s="1"/>
      <c r="AD72" s="1"/>
      <c r="AE72" s="1"/>
      <c r="AF72" s="1"/>
      <c r="AG72" s="1"/>
      <c r="AH72" s="1"/>
      <c r="AI72" s="1"/>
      <c r="AJ72" s="1"/>
      <c r="AK72" s="1"/>
      <c r="AL72" s="1"/>
      <c r="AM72" s="1"/>
      <c r="AN72" s="1"/>
    </row>
    <row r="73" ht="15.75" customHeight="1">
      <c r="A73" s="1"/>
      <c r="B73" s="1"/>
      <c r="C73" s="3"/>
      <c r="D73" s="1"/>
      <c r="E73" s="1"/>
      <c r="F73" s="1"/>
      <c r="G73" s="1"/>
      <c r="H73" s="1"/>
      <c r="I73" s="1"/>
      <c r="J73" s="1"/>
      <c r="K73" s="1"/>
      <c r="L73" s="1"/>
      <c r="M73" s="1"/>
      <c r="N73" s="1"/>
      <c r="O73" s="3"/>
      <c r="P73" s="1"/>
      <c r="Q73" s="1"/>
      <c r="R73" s="1"/>
      <c r="S73" s="1"/>
      <c r="T73" s="1"/>
      <c r="U73" s="1"/>
      <c r="V73" s="1"/>
      <c r="W73" s="1"/>
      <c r="X73" s="1"/>
      <c r="Y73" s="1"/>
      <c r="Z73" s="1"/>
      <c r="AA73" s="1"/>
      <c r="AB73" s="1"/>
      <c r="AC73" s="1"/>
      <c r="AD73" s="1"/>
      <c r="AE73" s="1"/>
      <c r="AF73" s="1"/>
      <c r="AG73" s="1"/>
      <c r="AH73" s="1"/>
      <c r="AI73" s="1"/>
      <c r="AJ73" s="1"/>
      <c r="AK73" s="1"/>
      <c r="AL73" s="1"/>
      <c r="AM73" s="1"/>
      <c r="AN73" s="1"/>
    </row>
    <row r="74" ht="15.75" customHeight="1">
      <c r="A74" s="1"/>
      <c r="B74" s="1"/>
      <c r="C74" s="3"/>
      <c r="D74" s="1"/>
      <c r="E74" s="1"/>
      <c r="F74" s="1"/>
      <c r="G74" s="1"/>
      <c r="H74" s="1"/>
      <c r="I74" s="1"/>
      <c r="J74" s="1"/>
      <c r="K74" s="1"/>
      <c r="L74" s="1"/>
      <c r="M74" s="1"/>
      <c r="N74" s="1"/>
      <c r="O74" s="3"/>
      <c r="P74" s="1"/>
      <c r="Q74" s="1"/>
      <c r="R74" s="1"/>
      <c r="S74" s="1"/>
      <c r="T74" s="1"/>
      <c r="U74" s="1"/>
      <c r="V74" s="1"/>
      <c r="W74" s="1"/>
      <c r="X74" s="1"/>
      <c r="Y74" s="1"/>
      <c r="Z74" s="1"/>
      <c r="AA74" s="1"/>
      <c r="AB74" s="1"/>
      <c r="AC74" s="1"/>
      <c r="AD74" s="1"/>
      <c r="AE74" s="1"/>
      <c r="AF74" s="1"/>
      <c r="AG74" s="1"/>
      <c r="AH74" s="1"/>
      <c r="AI74" s="1"/>
      <c r="AJ74" s="1"/>
      <c r="AK74" s="1"/>
      <c r="AL74" s="1"/>
      <c r="AM74" s="1"/>
      <c r="AN74" s="1"/>
    </row>
    <row r="75" ht="15.75" customHeight="1">
      <c r="A75" s="1"/>
      <c r="B75" s="1"/>
      <c r="C75" s="3"/>
      <c r="D75" s="1"/>
      <c r="E75" s="1"/>
      <c r="F75" s="1"/>
      <c r="G75" s="1"/>
      <c r="H75" s="1"/>
      <c r="I75" s="1"/>
      <c r="J75" s="1"/>
      <c r="K75" s="1"/>
      <c r="L75" s="1"/>
      <c r="M75" s="1"/>
      <c r="N75" s="1"/>
      <c r="O75" s="3"/>
      <c r="P75" s="1"/>
      <c r="Q75" s="1"/>
      <c r="R75" s="1"/>
      <c r="S75" s="1"/>
      <c r="T75" s="1"/>
      <c r="U75" s="1"/>
      <c r="V75" s="1"/>
      <c r="W75" s="1"/>
      <c r="X75" s="1"/>
      <c r="Y75" s="1"/>
      <c r="Z75" s="1"/>
      <c r="AA75" s="1"/>
      <c r="AB75" s="1"/>
      <c r="AC75" s="1"/>
      <c r="AD75" s="1"/>
      <c r="AE75" s="1"/>
      <c r="AF75" s="1"/>
      <c r="AG75" s="1"/>
      <c r="AH75" s="1"/>
      <c r="AI75" s="1"/>
      <c r="AJ75" s="1"/>
      <c r="AK75" s="1"/>
      <c r="AL75" s="1"/>
      <c r="AM75" s="1"/>
      <c r="AN75" s="1"/>
    </row>
    <row r="76" ht="15.75" customHeight="1">
      <c r="A76" s="1"/>
      <c r="B76" s="1"/>
      <c r="C76" s="3"/>
      <c r="D76" s="1"/>
      <c r="E76" s="1"/>
      <c r="F76" s="1"/>
      <c r="G76" s="1"/>
      <c r="H76" s="1"/>
      <c r="I76" s="1"/>
      <c r="J76" s="1"/>
      <c r="K76" s="1"/>
      <c r="L76" s="1"/>
      <c r="M76" s="1"/>
      <c r="N76" s="1"/>
      <c r="O76" s="3"/>
      <c r="P76" s="1"/>
      <c r="Q76" s="1"/>
      <c r="R76" s="1"/>
      <c r="S76" s="1"/>
      <c r="T76" s="1"/>
      <c r="U76" s="1"/>
      <c r="V76" s="1"/>
      <c r="W76" s="1"/>
      <c r="X76" s="1"/>
      <c r="Y76" s="1"/>
      <c r="Z76" s="1"/>
      <c r="AA76" s="1"/>
      <c r="AB76" s="1"/>
      <c r="AC76" s="1"/>
      <c r="AD76" s="1"/>
      <c r="AE76" s="1"/>
      <c r="AF76" s="1"/>
      <c r="AG76" s="1"/>
      <c r="AH76" s="1"/>
      <c r="AI76" s="1"/>
      <c r="AJ76" s="1"/>
      <c r="AK76" s="1"/>
      <c r="AL76" s="1"/>
      <c r="AM76" s="1"/>
      <c r="AN76" s="1"/>
    </row>
    <row r="77" ht="15.75" customHeight="1">
      <c r="A77" s="1"/>
      <c r="B77" s="1"/>
      <c r="C77" s="3"/>
      <c r="D77" s="1"/>
      <c r="E77" s="1"/>
      <c r="F77" s="1"/>
      <c r="G77" s="1"/>
      <c r="H77" s="1"/>
      <c r="I77" s="1"/>
      <c r="J77" s="1"/>
      <c r="K77" s="1"/>
      <c r="L77" s="1"/>
      <c r="M77" s="1"/>
      <c r="N77" s="1"/>
      <c r="O77" s="3"/>
      <c r="P77" s="1"/>
      <c r="Q77" s="1"/>
      <c r="R77" s="1"/>
      <c r="S77" s="1"/>
      <c r="T77" s="1"/>
      <c r="U77" s="1"/>
      <c r="V77" s="1"/>
      <c r="W77" s="1"/>
      <c r="X77" s="1"/>
      <c r="Y77" s="1"/>
      <c r="Z77" s="1"/>
      <c r="AA77" s="1"/>
      <c r="AB77" s="1"/>
      <c r="AC77" s="1"/>
      <c r="AD77" s="1"/>
      <c r="AE77" s="1"/>
      <c r="AF77" s="1"/>
      <c r="AG77" s="1"/>
      <c r="AH77" s="1"/>
      <c r="AI77" s="1"/>
      <c r="AJ77" s="1"/>
      <c r="AK77" s="1"/>
      <c r="AL77" s="1"/>
      <c r="AM77" s="1"/>
      <c r="AN77" s="1"/>
    </row>
    <row r="78" ht="15.75" customHeight="1">
      <c r="A78" s="1"/>
      <c r="B78" s="1"/>
      <c r="C78" s="3"/>
      <c r="D78" s="1"/>
      <c r="E78" s="1"/>
      <c r="F78" s="1"/>
      <c r="G78" s="1"/>
      <c r="H78" s="1"/>
      <c r="I78" s="1"/>
      <c r="J78" s="1"/>
      <c r="K78" s="1"/>
      <c r="L78" s="1"/>
      <c r="M78" s="1"/>
      <c r="N78" s="1"/>
      <c r="O78" s="3"/>
      <c r="P78" s="1"/>
      <c r="Q78" s="1"/>
      <c r="R78" s="1"/>
      <c r="S78" s="1"/>
      <c r="T78" s="1"/>
      <c r="U78" s="1"/>
      <c r="V78" s="1"/>
      <c r="W78" s="1"/>
      <c r="X78" s="1"/>
      <c r="Y78" s="1"/>
      <c r="Z78" s="1"/>
      <c r="AA78" s="1"/>
      <c r="AB78" s="1"/>
      <c r="AC78" s="1"/>
      <c r="AD78" s="1"/>
      <c r="AE78" s="1"/>
      <c r="AF78" s="1"/>
      <c r="AG78" s="1"/>
      <c r="AH78" s="1"/>
      <c r="AI78" s="1"/>
      <c r="AJ78" s="1"/>
      <c r="AK78" s="1"/>
      <c r="AL78" s="1"/>
      <c r="AM78" s="1"/>
      <c r="AN78" s="1"/>
    </row>
    <row r="79" ht="15.75" customHeight="1">
      <c r="A79" s="1"/>
      <c r="B79" s="1"/>
      <c r="C79" s="3"/>
      <c r="D79" s="1"/>
      <c r="E79" s="1"/>
      <c r="F79" s="1"/>
      <c r="G79" s="1"/>
      <c r="H79" s="1"/>
      <c r="I79" s="1"/>
      <c r="J79" s="1"/>
      <c r="K79" s="1"/>
      <c r="L79" s="1"/>
      <c r="M79" s="1"/>
      <c r="N79" s="1"/>
      <c r="O79" s="3"/>
      <c r="P79" s="1"/>
      <c r="Q79" s="1"/>
      <c r="R79" s="1"/>
      <c r="S79" s="1"/>
      <c r="T79" s="1"/>
      <c r="U79" s="1"/>
      <c r="V79" s="1"/>
      <c r="W79" s="1"/>
      <c r="X79" s="1"/>
      <c r="Y79" s="1"/>
      <c r="Z79" s="1"/>
      <c r="AA79" s="1"/>
      <c r="AB79" s="1"/>
      <c r="AC79" s="1"/>
      <c r="AD79" s="1"/>
      <c r="AE79" s="1"/>
      <c r="AF79" s="1"/>
      <c r="AG79" s="1"/>
      <c r="AH79" s="1"/>
      <c r="AI79" s="1"/>
      <c r="AJ79" s="1"/>
      <c r="AK79" s="1"/>
      <c r="AL79" s="1"/>
      <c r="AM79" s="1"/>
      <c r="AN79" s="1"/>
    </row>
    <row r="80" ht="15.75" customHeight="1">
      <c r="A80" s="1"/>
      <c r="B80" s="1"/>
      <c r="C80" s="3"/>
      <c r="D80" s="1"/>
      <c r="E80" s="1"/>
      <c r="F80" s="1"/>
      <c r="G80" s="1"/>
      <c r="H80" s="1"/>
      <c r="I80" s="1"/>
      <c r="J80" s="1"/>
      <c r="K80" s="1"/>
      <c r="L80" s="1"/>
      <c r="M80" s="1"/>
      <c r="N80" s="1"/>
      <c r="O80" s="3"/>
      <c r="P80" s="1"/>
      <c r="Q80" s="1"/>
      <c r="R80" s="1"/>
      <c r="S80" s="1"/>
      <c r="T80" s="1"/>
      <c r="U80" s="1"/>
      <c r="V80" s="1"/>
      <c r="W80" s="1"/>
      <c r="X80" s="1"/>
      <c r="Y80" s="1"/>
      <c r="Z80" s="1"/>
      <c r="AA80" s="1"/>
      <c r="AB80" s="1"/>
      <c r="AC80" s="1"/>
      <c r="AD80" s="1"/>
      <c r="AE80" s="1"/>
      <c r="AF80" s="1"/>
      <c r="AG80" s="1"/>
      <c r="AH80" s="1"/>
      <c r="AI80" s="1"/>
      <c r="AJ80" s="1"/>
      <c r="AK80" s="1"/>
      <c r="AL80" s="1"/>
      <c r="AM80" s="1"/>
      <c r="AN80" s="1"/>
    </row>
    <row r="81" ht="15.75" customHeight="1">
      <c r="A81" s="1"/>
      <c r="B81" s="1"/>
      <c r="C81" s="3"/>
      <c r="D81" s="1"/>
      <c r="E81" s="1"/>
      <c r="F81" s="1"/>
      <c r="G81" s="1"/>
      <c r="H81" s="1"/>
      <c r="I81" s="1"/>
      <c r="J81" s="1"/>
      <c r="K81" s="1"/>
      <c r="L81" s="1"/>
      <c r="M81" s="1"/>
      <c r="N81" s="1"/>
      <c r="O81" s="3"/>
      <c r="P81" s="1"/>
      <c r="Q81" s="1"/>
      <c r="R81" s="1"/>
      <c r="S81" s="1"/>
      <c r="T81" s="1"/>
      <c r="U81" s="1"/>
      <c r="V81" s="1"/>
      <c r="W81" s="1"/>
      <c r="X81" s="1"/>
      <c r="Y81" s="1"/>
      <c r="Z81" s="1"/>
      <c r="AA81" s="1"/>
      <c r="AB81" s="1"/>
      <c r="AC81" s="1"/>
      <c r="AD81" s="1"/>
      <c r="AE81" s="1"/>
      <c r="AF81" s="1"/>
      <c r="AG81" s="1"/>
      <c r="AH81" s="1"/>
      <c r="AI81" s="1"/>
      <c r="AJ81" s="1"/>
      <c r="AK81" s="1"/>
      <c r="AL81" s="1"/>
      <c r="AM81" s="1"/>
      <c r="AN81" s="1"/>
    </row>
    <row r="82" ht="15.75" customHeight="1">
      <c r="A82" s="1"/>
      <c r="B82" s="1"/>
      <c r="C82" s="3"/>
      <c r="D82" s="1"/>
      <c r="E82" s="1"/>
      <c r="F82" s="1"/>
      <c r="G82" s="1"/>
      <c r="H82" s="1"/>
      <c r="I82" s="1"/>
      <c r="J82" s="1"/>
      <c r="K82" s="1"/>
      <c r="L82" s="1"/>
      <c r="M82" s="1"/>
      <c r="N82" s="1"/>
      <c r="O82" s="3"/>
      <c r="P82" s="1"/>
      <c r="Q82" s="1"/>
      <c r="R82" s="1"/>
      <c r="S82" s="1"/>
      <c r="T82" s="1"/>
      <c r="U82" s="1"/>
      <c r="V82" s="1"/>
      <c r="W82" s="1"/>
      <c r="X82" s="1"/>
      <c r="Y82" s="1"/>
      <c r="Z82" s="1"/>
      <c r="AA82" s="1"/>
      <c r="AB82" s="1"/>
      <c r="AC82" s="1"/>
      <c r="AD82" s="1"/>
      <c r="AE82" s="1"/>
      <c r="AF82" s="1"/>
      <c r="AG82" s="1"/>
      <c r="AH82" s="1"/>
      <c r="AI82" s="1"/>
      <c r="AJ82" s="1"/>
      <c r="AK82" s="1"/>
      <c r="AL82" s="1"/>
      <c r="AM82" s="1"/>
      <c r="AN82" s="1"/>
    </row>
    <row r="83" ht="15.75" customHeight="1">
      <c r="A83" s="1"/>
      <c r="B83" s="1"/>
      <c r="C83" s="3"/>
      <c r="D83" s="1"/>
      <c r="E83" s="1"/>
      <c r="F83" s="1"/>
      <c r="G83" s="1"/>
      <c r="H83" s="1"/>
      <c r="I83" s="1"/>
      <c r="J83" s="1"/>
      <c r="K83" s="1"/>
      <c r="L83" s="1"/>
      <c r="M83" s="1"/>
      <c r="N83" s="1"/>
      <c r="O83" s="3"/>
      <c r="P83" s="1"/>
      <c r="Q83" s="1"/>
      <c r="R83" s="1"/>
      <c r="S83" s="1"/>
      <c r="T83" s="1"/>
      <c r="U83" s="1"/>
      <c r="V83" s="1"/>
      <c r="W83" s="1"/>
      <c r="X83" s="1"/>
      <c r="Y83" s="1"/>
      <c r="Z83" s="1"/>
      <c r="AA83" s="1"/>
      <c r="AB83" s="1"/>
      <c r="AC83" s="1"/>
      <c r="AD83" s="1"/>
      <c r="AE83" s="1"/>
      <c r="AF83" s="1"/>
      <c r="AG83" s="1"/>
      <c r="AH83" s="1"/>
      <c r="AI83" s="1"/>
      <c r="AJ83" s="1"/>
      <c r="AK83" s="1"/>
      <c r="AL83" s="1"/>
      <c r="AM83" s="1"/>
      <c r="AN83" s="1"/>
    </row>
    <row r="84" ht="15.75" customHeight="1">
      <c r="A84" s="1"/>
      <c r="B84" s="1"/>
      <c r="C84" s="3"/>
      <c r="D84" s="1"/>
      <c r="E84" s="1"/>
      <c r="F84" s="1"/>
      <c r="G84" s="1"/>
      <c r="H84" s="1"/>
      <c r="I84" s="1"/>
      <c r="J84" s="1"/>
      <c r="K84" s="1"/>
      <c r="L84" s="1"/>
      <c r="M84" s="1"/>
      <c r="N84" s="1"/>
      <c r="O84" s="3"/>
      <c r="P84" s="1"/>
      <c r="Q84" s="1"/>
      <c r="R84" s="1"/>
      <c r="S84" s="1"/>
      <c r="T84" s="1"/>
      <c r="U84" s="1"/>
      <c r="V84" s="1"/>
      <c r="W84" s="1"/>
      <c r="X84" s="1"/>
      <c r="Y84" s="1"/>
      <c r="Z84" s="1"/>
      <c r="AA84" s="1"/>
      <c r="AB84" s="1"/>
      <c r="AC84" s="1"/>
      <c r="AD84" s="1"/>
      <c r="AE84" s="1"/>
      <c r="AF84" s="1"/>
      <c r="AG84" s="1"/>
      <c r="AH84" s="1"/>
      <c r="AI84" s="1"/>
      <c r="AJ84" s="1"/>
      <c r="AK84" s="1"/>
      <c r="AL84" s="1"/>
      <c r="AM84" s="1"/>
      <c r="AN84" s="1"/>
    </row>
    <row r="85" ht="15.75" customHeight="1">
      <c r="A85" s="1"/>
      <c r="B85" s="1"/>
      <c r="C85" s="3"/>
      <c r="D85" s="1"/>
      <c r="E85" s="1"/>
      <c r="F85" s="1"/>
      <c r="G85" s="1"/>
      <c r="H85" s="1"/>
      <c r="I85" s="1"/>
      <c r="J85" s="1"/>
      <c r="K85" s="1"/>
      <c r="L85" s="1"/>
      <c r="M85" s="1"/>
      <c r="N85" s="1"/>
      <c r="O85" s="3"/>
      <c r="P85" s="1"/>
      <c r="Q85" s="1"/>
      <c r="R85" s="1"/>
      <c r="S85" s="1"/>
      <c r="T85" s="1"/>
      <c r="U85" s="1"/>
      <c r="V85" s="1"/>
      <c r="W85" s="1"/>
      <c r="X85" s="1"/>
      <c r="Y85" s="1"/>
      <c r="Z85" s="1"/>
      <c r="AA85" s="1"/>
      <c r="AB85" s="1"/>
      <c r="AC85" s="1"/>
      <c r="AD85" s="1"/>
      <c r="AE85" s="1"/>
      <c r="AF85" s="1"/>
      <c r="AG85" s="1"/>
      <c r="AH85" s="1"/>
      <c r="AI85" s="1"/>
      <c r="AJ85" s="1"/>
      <c r="AK85" s="1"/>
      <c r="AL85" s="1"/>
      <c r="AM85" s="1"/>
      <c r="AN85" s="1"/>
    </row>
    <row r="86" ht="15.75" customHeight="1">
      <c r="A86" s="1"/>
      <c r="B86" s="1"/>
      <c r="C86" s="3"/>
      <c r="D86" s="1"/>
      <c r="E86" s="1"/>
      <c r="F86" s="1"/>
      <c r="G86" s="1"/>
      <c r="H86" s="1"/>
      <c r="I86" s="1"/>
      <c r="J86" s="1"/>
      <c r="K86" s="1"/>
      <c r="L86" s="1"/>
      <c r="M86" s="1"/>
      <c r="N86" s="1"/>
      <c r="O86" s="3"/>
      <c r="P86" s="1"/>
      <c r="Q86" s="1"/>
      <c r="R86" s="1"/>
      <c r="S86" s="1"/>
      <c r="T86" s="1"/>
      <c r="U86" s="1"/>
      <c r="V86" s="1"/>
      <c r="W86" s="1"/>
      <c r="X86" s="1"/>
      <c r="Y86" s="1"/>
      <c r="Z86" s="1"/>
      <c r="AA86" s="1"/>
      <c r="AB86" s="1"/>
      <c r="AC86" s="1"/>
      <c r="AD86" s="1"/>
      <c r="AE86" s="1"/>
      <c r="AF86" s="1"/>
      <c r="AG86" s="1"/>
      <c r="AH86" s="1"/>
      <c r="AI86" s="1"/>
      <c r="AJ86" s="1"/>
      <c r="AK86" s="1"/>
      <c r="AL86" s="1"/>
      <c r="AM86" s="1"/>
      <c r="AN86" s="1"/>
    </row>
    <row r="87" ht="15.75" customHeight="1">
      <c r="A87" s="1"/>
      <c r="B87" s="1"/>
      <c r="C87" s="3"/>
      <c r="D87" s="1"/>
      <c r="E87" s="1"/>
      <c r="F87" s="1"/>
      <c r="G87" s="1"/>
      <c r="H87" s="1"/>
      <c r="I87" s="1"/>
      <c r="J87" s="1"/>
      <c r="K87" s="1"/>
      <c r="L87" s="1"/>
      <c r="M87" s="1"/>
      <c r="N87" s="1"/>
      <c r="O87" s="3"/>
      <c r="P87" s="1"/>
      <c r="Q87" s="1"/>
      <c r="R87" s="1"/>
      <c r="S87" s="1"/>
      <c r="T87" s="1"/>
      <c r="U87" s="1"/>
      <c r="V87" s="1"/>
      <c r="W87" s="1"/>
      <c r="X87" s="1"/>
      <c r="Y87" s="1"/>
      <c r="Z87" s="1"/>
      <c r="AA87" s="1"/>
      <c r="AB87" s="1"/>
      <c r="AC87" s="1"/>
      <c r="AD87" s="1"/>
      <c r="AE87" s="1"/>
      <c r="AF87" s="1"/>
      <c r="AG87" s="1"/>
      <c r="AH87" s="1"/>
      <c r="AI87" s="1"/>
      <c r="AJ87" s="1"/>
      <c r="AK87" s="1"/>
      <c r="AL87" s="1"/>
      <c r="AM87" s="1"/>
      <c r="AN87" s="1"/>
    </row>
    <row r="88" ht="15.75" customHeight="1">
      <c r="A88" s="1"/>
      <c r="B88" s="1"/>
      <c r="C88" s="3"/>
      <c r="D88" s="1"/>
      <c r="E88" s="1"/>
      <c r="F88" s="1"/>
      <c r="G88" s="1"/>
      <c r="H88" s="1"/>
      <c r="I88" s="1"/>
      <c r="J88" s="1"/>
      <c r="K88" s="1"/>
      <c r="L88" s="1"/>
      <c r="M88" s="1"/>
      <c r="N88" s="1"/>
      <c r="O88" s="3"/>
      <c r="P88" s="1"/>
      <c r="Q88" s="1"/>
      <c r="R88" s="1"/>
      <c r="S88" s="1"/>
      <c r="T88" s="1"/>
      <c r="U88" s="1"/>
      <c r="V88" s="1"/>
      <c r="W88" s="1"/>
      <c r="X88" s="1"/>
      <c r="Y88" s="1"/>
      <c r="Z88" s="1"/>
      <c r="AA88" s="1"/>
      <c r="AB88" s="1"/>
      <c r="AC88" s="1"/>
      <c r="AD88" s="1"/>
      <c r="AE88" s="1"/>
      <c r="AF88" s="1"/>
      <c r="AG88" s="1"/>
      <c r="AH88" s="1"/>
      <c r="AI88" s="1"/>
      <c r="AJ88" s="1"/>
      <c r="AK88" s="1"/>
      <c r="AL88" s="1"/>
      <c r="AM88" s="1"/>
      <c r="AN88" s="1"/>
    </row>
    <row r="89" ht="15.75" customHeight="1">
      <c r="A89" s="1"/>
      <c r="B89" s="1"/>
      <c r="C89" s="3"/>
      <c r="D89" s="1"/>
      <c r="E89" s="1"/>
      <c r="F89" s="1"/>
      <c r="G89" s="1"/>
      <c r="H89" s="1"/>
      <c r="I89" s="1"/>
      <c r="J89" s="1"/>
      <c r="K89" s="1"/>
      <c r="L89" s="1"/>
      <c r="M89" s="1"/>
      <c r="N89" s="1"/>
      <c r="O89" s="3"/>
      <c r="P89" s="1"/>
      <c r="Q89" s="1"/>
      <c r="R89" s="1"/>
      <c r="S89" s="1"/>
      <c r="T89" s="1"/>
      <c r="U89" s="1"/>
      <c r="V89" s="1"/>
      <c r="W89" s="1"/>
      <c r="X89" s="1"/>
      <c r="Y89" s="1"/>
      <c r="Z89" s="1"/>
      <c r="AA89" s="1"/>
      <c r="AB89" s="1"/>
      <c r="AC89" s="1"/>
      <c r="AD89" s="1"/>
      <c r="AE89" s="1"/>
      <c r="AF89" s="1"/>
      <c r="AG89" s="1"/>
      <c r="AH89" s="1"/>
      <c r="AI89" s="1"/>
      <c r="AJ89" s="1"/>
      <c r="AK89" s="1"/>
      <c r="AL89" s="1"/>
      <c r="AM89" s="1"/>
      <c r="AN89" s="1"/>
    </row>
    <row r="90" ht="15.75" customHeight="1">
      <c r="A90" s="1"/>
      <c r="B90" s="1"/>
      <c r="C90" s="3"/>
      <c r="D90" s="1"/>
      <c r="E90" s="1"/>
      <c r="F90" s="1"/>
      <c r="G90" s="1"/>
      <c r="H90" s="1"/>
      <c r="I90" s="1"/>
      <c r="J90" s="1"/>
      <c r="K90" s="1"/>
      <c r="L90" s="1"/>
      <c r="M90" s="1"/>
      <c r="N90" s="1"/>
      <c r="O90" s="3"/>
      <c r="P90" s="1"/>
      <c r="Q90" s="1"/>
      <c r="R90" s="1"/>
      <c r="S90" s="1"/>
      <c r="T90" s="1"/>
      <c r="U90" s="1"/>
      <c r="V90" s="1"/>
      <c r="W90" s="1"/>
      <c r="X90" s="1"/>
      <c r="Y90" s="1"/>
      <c r="Z90" s="1"/>
      <c r="AA90" s="1"/>
      <c r="AB90" s="1"/>
      <c r="AC90" s="1"/>
      <c r="AD90" s="1"/>
      <c r="AE90" s="1"/>
      <c r="AF90" s="1"/>
      <c r="AG90" s="1"/>
      <c r="AH90" s="1"/>
      <c r="AI90" s="1"/>
      <c r="AJ90" s="1"/>
      <c r="AK90" s="1"/>
      <c r="AL90" s="1"/>
      <c r="AM90" s="1"/>
      <c r="AN90" s="1"/>
    </row>
    <row r="91" ht="15.75" customHeight="1">
      <c r="A91" s="1"/>
      <c r="B91" s="1"/>
      <c r="C91" s="3"/>
      <c r="D91" s="1"/>
      <c r="E91" s="1"/>
      <c r="F91" s="1"/>
      <c r="G91" s="1"/>
      <c r="H91" s="1"/>
      <c r="I91" s="1"/>
      <c r="J91" s="1"/>
      <c r="K91" s="1"/>
      <c r="L91" s="1"/>
      <c r="M91" s="1"/>
      <c r="N91" s="1"/>
      <c r="O91" s="3"/>
      <c r="P91" s="1"/>
      <c r="Q91" s="1"/>
      <c r="R91" s="1"/>
      <c r="S91" s="1"/>
      <c r="T91" s="1"/>
      <c r="U91" s="1"/>
      <c r="V91" s="1"/>
      <c r="W91" s="1"/>
      <c r="X91" s="1"/>
      <c r="Y91" s="1"/>
      <c r="Z91" s="1"/>
      <c r="AA91" s="1"/>
      <c r="AB91" s="1"/>
      <c r="AC91" s="1"/>
      <c r="AD91" s="1"/>
      <c r="AE91" s="1"/>
      <c r="AF91" s="1"/>
      <c r="AG91" s="1"/>
      <c r="AH91" s="1"/>
      <c r="AI91" s="1"/>
      <c r="AJ91" s="1"/>
      <c r="AK91" s="1"/>
      <c r="AL91" s="1"/>
      <c r="AM91" s="1"/>
      <c r="AN91" s="1"/>
    </row>
    <row r="92" ht="15.75" customHeight="1">
      <c r="A92" s="1"/>
      <c r="B92" s="1"/>
      <c r="C92" s="3"/>
      <c r="D92" s="1"/>
      <c r="E92" s="1"/>
      <c r="F92" s="1"/>
      <c r="G92" s="1"/>
      <c r="H92" s="1"/>
      <c r="I92" s="1"/>
      <c r="J92" s="1"/>
      <c r="K92" s="1"/>
      <c r="L92" s="1"/>
      <c r="M92" s="1"/>
      <c r="N92" s="1"/>
      <c r="O92" s="3"/>
      <c r="P92" s="1"/>
      <c r="Q92" s="1"/>
      <c r="R92" s="1"/>
      <c r="S92" s="1"/>
      <c r="T92" s="1"/>
      <c r="U92" s="1"/>
      <c r="V92" s="1"/>
      <c r="W92" s="1"/>
      <c r="X92" s="1"/>
      <c r="Y92" s="1"/>
      <c r="Z92" s="1"/>
      <c r="AA92" s="1"/>
      <c r="AB92" s="1"/>
      <c r="AC92" s="1"/>
      <c r="AD92" s="1"/>
      <c r="AE92" s="1"/>
      <c r="AF92" s="1"/>
      <c r="AG92" s="1"/>
      <c r="AH92" s="1"/>
      <c r="AI92" s="1"/>
      <c r="AJ92" s="1"/>
      <c r="AK92" s="1"/>
      <c r="AL92" s="1"/>
      <c r="AM92" s="1"/>
      <c r="AN92" s="1"/>
    </row>
    <row r="93" ht="15.75" customHeight="1">
      <c r="A93" s="1"/>
      <c r="B93" s="1"/>
      <c r="C93" s="3"/>
      <c r="D93" s="1"/>
      <c r="E93" s="1"/>
      <c r="F93" s="1"/>
      <c r="G93" s="1"/>
      <c r="H93" s="1"/>
      <c r="I93" s="1"/>
      <c r="J93" s="1"/>
      <c r="K93" s="1"/>
      <c r="L93" s="1"/>
      <c r="M93" s="1"/>
      <c r="N93" s="1"/>
      <c r="O93" s="3"/>
      <c r="P93" s="1"/>
      <c r="Q93" s="1"/>
      <c r="R93" s="1"/>
      <c r="S93" s="1"/>
      <c r="T93" s="1"/>
      <c r="U93" s="1"/>
      <c r="V93" s="1"/>
      <c r="W93" s="1"/>
      <c r="X93" s="1"/>
      <c r="Y93" s="1"/>
      <c r="Z93" s="1"/>
      <c r="AA93" s="1"/>
      <c r="AB93" s="1"/>
      <c r="AC93" s="1"/>
      <c r="AD93" s="1"/>
      <c r="AE93" s="1"/>
      <c r="AF93" s="1"/>
      <c r="AG93" s="1"/>
      <c r="AH93" s="1"/>
      <c r="AI93" s="1"/>
      <c r="AJ93" s="1"/>
      <c r="AK93" s="1"/>
      <c r="AL93" s="1"/>
      <c r="AM93" s="1"/>
      <c r="AN93" s="1"/>
    </row>
    <row r="94" ht="15.75" customHeight="1">
      <c r="A94" s="1"/>
      <c r="B94" s="1"/>
      <c r="C94" s="3"/>
      <c r="D94" s="1"/>
      <c r="E94" s="1"/>
      <c r="F94" s="1"/>
      <c r="G94" s="1"/>
      <c r="H94" s="1"/>
      <c r="I94" s="1"/>
      <c r="J94" s="1"/>
      <c r="K94" s="1"/>
      <c r="L94" s="1"/>
      <c r="M94" s="1"/>
      <c r="N94" s="1"/>
      <c r="O94" s="3"/>
      <c r="P94" s="1"/>
      <c r="Q94" s="1"/>
      <c r="R94" s="1"/>
      <c r="S94" s="1"/>
      <c r="T94" s="1"/>
      <c r="U94" s="1"/>
      <c r="V94" s="1"/>
      <c r="W94" s="1"/>
      <c r="X94" s="1"/>
      <c r="Y94" s="1"/>
      <c r="Z94" s="1"/>
      <c r="AA94" s="1"/>
      <c r="AB94" s="1"/>
      <c r="AC94" s="1"/>
      <c r="AD94" s="1"/>
      <c r="AE94" s="1"/>
      <c r="AF94" s="1"/>
      <c r="AG94" s="1"/>
      <c r="AH94" s="1"/>
      <c r="AI94" s="1"/>
      <c r="AJ94" s="1"/>
      <c r="AK94" s="1"/>
      <c r="AL94" s="1"/>
      <c r="AM94" s="1"/>
      <c r="AN94" s="1"/>
    </row>
    <row r="95" ht="15.75" customHeight="1">
      <c r="A95" s="1"/>
      <c r="B95" s="1"/>
      <c r="C95" s="3"/>
      <c r="D95" s="1"/>
      <c r="E95" s="1"/>
      <c r="F95" s="1"/>
      <c r="G95" s="1"/>
      <c r="H95" s="1"/>
      <c r="I95" s="1"/>
      <c r="J95" s="1"/>
      <c r="K95" s="1"/>
      <c r="L95" s="1"/>
      <c r="M95" s="1"/>
      <c r="N95" s="1"/>
      <c r="O95" s="3"/>
      <c r="P95" s="1"/>
      <c r="Q95" s="1"/>
      <c r="R95" s="1"/>
      <c r="S95" s="1"/>
      <c r="T95" s="1"/>
      <c r="U95" s="1"/>
      <c r="V95" s="1"/>
      <c r="W95" s="1"/>
      <c r="X95" s="1"/>
      <c r="Y95" s="1"/>
      <c r="Z95" s="1"/>
      <c r="AA95" s="1"/>
      <c r="AB95" s="1"/>
      <c r="AC95" s="1"/>
      <c r="AD95" s="1"/>
      <c r="AE95" s="1"/>
      <c r="AF95" s="1"/>
      <c r="AG95" s="1"/>
      <c r="AH95" s="1"/>
      <c r="AI95" s="1"/>
      <c r="AJ95" s="1"/>
      <c r="AK95" s="1"/>
      <c r="AL95" s="1"/>
      <c r="AM95" s="1"/>
      <c r="AN95" s="1"/>
    </row>
    <row r="96" ht="15.75" customHeight="1">
      <c r="A96" s="1"/>
      <c r="B96" s="1"/>
      <c r="C96" s="3"/>
      <c r="D96" s="1"/>
      <c r="E96" s="1"/>
      <c r="F96" s="1"/>
      <c r="G96" s="1"/>
      <c r="H96" s="1"/>
      <c r="I96" s="1"/>
      <c r="J96" s="1"/>
      <c r="K96" s="1"/>
      <c r="L96" s="1"/>
      <c r="M96" s="1"/>
      <c r="N96" s="1"/>
      <c r="O96" s="3"/>
      <c r="P96" s="1"/>
      <c r="Q96" s="1"/>
      <c r="R96" s="1"/>
      <c r="S96" s="1"/>
      <c r="T96" s="1"/>
      <c r="U96" s="1"/>
      <c r="V96" s="1"/>
      <c r="W96" s="1"/>
      <c r="X96" s="1"/>
      <c r="Y96" s="1"/>
      <c r="Z96" s="1"/>
      <c r="AA96" s="1"/>
      <c r="AB96" s="1"/>
      <c r="AC96" s="1"/>
      <c r="AD96" s="1"/>
      <c r="AE96" s="1"/>
      <c r="AF96" s="1"/>
      <c r="AG96" s="1"/>
      <c r="AH96" s="1"/>
      <c r="AI96" s="1"/>
      <c r="AJ96" s="1"/>
      <c r="AK96" s="1"/>
      <c r="AL96" s="1"/>
      <c r="AM96" s="1"/>
      <c r="AN96" s="1"/>
    </row>
    <row r="97" ht="15.75" customHeight="1">
      <c r="A97" s="1"/>
      <c r="B97" s="1"/>
      <c r="C97" s="3"/>
      <c r="D97" s="1"/>
      <c r="E97" s="1"/>
      <c r="F97" s="1"/>
      <c r="G97" s="1"/>
      <c r="H97" s="1"/>
      <c r="I97" s="1"/>
      <c r="J97" s="1"/>
      <c r="K97" s="1"/>
      <c r="L97" s="1"/>
      <c r="M97" s="1"/>
      <c r="N97" s="1"/>
      <c r="O97" s="3"/>
      <c r="P97" s="1"/>
      <c r="Q97" s="1"/>
      <c r="R97" s="1"/>
      <c r="S97" s="1"/>
      <c r="T97" s="1"/>
      <c r="U97" s="1"/>
      <c r="V97" s="1"/>
      <c r="W97" s="1"/>
      <c r="X97" s="1"/>
      <c r="Y97" s="1"/>
      <c r="Z97" s="1"/>
      <c r="AA97" s="1"/>
      <c r="AB97" s="1"/>
      <c r="AC97" s="1"/>
      <c r="AD97" s="1"/>
      <c r="AE97" s="1"/>
      <c r="AF97" s="1"/>
      <c r="AG97" s="1"/>
      <c r="AH97" s="1"/>
      <c r="AI97" s="1"/>
      <c r="AJ97" s="1"/>
      <c r="AK97" s="1"/>
      <c r="AL97" s="1"/>
      <c r="AM97" s="1"/>
      <c r="AN97" s="1"/>
    </row>
    <row r="98" ht="15.75" customHeight="1">
      <c r="A98" s="1"/>
      <c r="B98" s="1"/>
      <c r="C98" s="3"/>
      <c r="D98" s="1"/>
      <c r="E98" s="1"/>
      <c r="F98" s="1"/>
      <c r="G98" s="1"/>
      <c r="H98" s="1"/>
      <c r="I98" s="1"/>
      <c r="J98" s="1"/>
      <c r="K98" s="1"/>
      <c r="L98" s="1"/>
      <c r="M98" s="1"/>
      <c r="N98" s="1"/>
      <c r="O98" s="3"/>
      <c r="P98" s="1"/>
      <c r="Q98" s="1"/>
      <c r="R98" s="1"/>
      <c r="S98" s="1"/>
      <c r="T98" s="1"/>
      <c r="U98" s="1"/>
      <c r="V98" s="1"/>
      <c r="W98" s="1"/>
      <c r="X98" s="1"/>
      <c r="Y98" s="1"/>
      <c r="Z98" s="1"/>
      <c r="AA98" s="1"/>
      <c r="AB98" s="1"/>
      <c r="AC98" s="1"/>
      <c r="AD98" s="1"/>
      <c r="AE98" s="1"/>
      <c r="AF98" s="1"/>
      <c r="AG98" s="1"/>
      <c r="AH98" s="1"/>
      <c r="AI98" s="1"/>
      <c r="AJ98" s="1"/>
      <c r="AK98" s="1"/>
      <c r="AL98" s="1"/>
      <c r="AM98" s="1"/>
      <c r="AN98" s="1"/>
    </row>
    <row r="99" ht="15.75" customHeight="1">
      <c r="A99" s="1"/>
      <c r="B99" s="1"/>
      <c r="C99" s="3"/>
      <c r="D99" s="1"/>
      <c r="E99" s="1"/>
      <c r="F99" s="1"/>
      <c r="G99" s="1"/>
      <c r="H99" s="1"/>
      <c r="I99" s="1"/>
      <c r="J99" s="1"/>
      <c r="K99" s="1"/>
      <c r="L99" s="1"/>
      <c r="M99" s="1"/>
      <c r="N99" s="1"/>
      <c r="O99" s="3"/>
      <c r="P99" s="1"/>
      <c r="Q99" s="1"/>
      <c r="R99" s="1"/>
      <c r="S99" s="1"/>
      <c r="T99" s="1"/>
      <c r="U99" s="1"/>
      <c r="V99" s="1"/>
      <c r="W99" s="1"/>
      <c r="X99" s="1"/>
      <c r="Y99" s="1"/>
      <c r="Z99" s="1"/>
      <c r="AA99" s="1"/>
      <c r="AB99" s="1"/>
      <c r="AC99" s="1"/>
      <c r="AD99" s="1"/>
      <c r="AE99" s="1"/>
      <c r="AF99" s="1"/>
      <c r="AG99" s="1"/>
      <c r="AH99" s="1"/>
      <c r="AI99" s="1"/>
      <c r="AJ99" s="1"/>
      <c r="AK99" s="1"/>
      <c r="AL99" s="1"/>
      <c r="AM99" s="1"/>
      <c r="AN99" s="1"/>
    </row>
    <row r="100" ht="15.75" customHeight="1">
      <c r="A100" s="1"/>
      <c r="B100" s="1"/>
      <c r="C100" s="3"/>
      <c r="D100" s="1"/>
      <c r="E100" s="1"/>
      <c r="F100" s="1"/>
      <c r="G100" s="1"/>
      <c r="H100" s="1"/>
      <c r="I100" s="1"/>
      <c r="J100" s="1"/>
      <c r="K100" s="1"/>
      <c r="L100" s="1"/>
      <c r="M100" s="1"/>
      <c r="N100" s="1"/>
      <c r="O100" s="3"/>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ht="15.75" customHeight="1">
      <c r="A101" s="1"/>
      <c r="B101" s="1"/>
      <c r="C101" s="3"/>
      <c r="D101" s="1"/>
      <c r="E101" s="1"/>
      <c r="F101" s="1"/>
      <c r="G101" s="1"/>
      <c r="H101" s="1"/>
      <c r="I101" s="1"/>
      <c r="J101" s="1"/>
      <c r="K101" s="1"/>
      <c r="L101" s="1"/>
      <c r="M101" s="1"/>
      <c r="N101" s="1"/>
      <c r="O101" s="3"/>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ht="15.75" customHeight="1">
      <c r="A102" s="1"/>
      <c r="B102" s="1"/>
      <c r="C102" s="3"/>
      <c r="D102" s="1"/>
      <c r="E102" s="1"/>
      <c r="F102" s="1"/>
      <c r="G102" s="1"/>
      <c r="H102" s="1"/>
      <c r="I102" s="1"/>
      <c r="J102" s="1"/>
      <c r="K102" s="1"/>
      <c r="L102" s="1"/>
      <c r="M102" s="1"/>
      <c r="N102" s="1"/>
      <c r="O102" s="3"/>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ht="15.75" customHeight="1">
      <c r="A103" s="1"/>
      <c r="B103" s="1"/>
      <c r="C103" s="3"/>
      <c r="D103" s="1"/>
      <c r="E103" s="1"/>
      <c r="F103" s="1"/>
      <c r="G103" s="1"/>
      <c r="H103" s="1"/>
      <c r="I103" s="1"/>
      <c r="J103" s="1"/>
      <c r="K103" s="1"/>
      <c r="L103" s="1"/>
      <c r="M103" s="1"/>
      <c r="N103" s="1"/>
      <c r="O103" s="3"/>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ht="15.75" customHeight="1">
      <c r="A104" s="1"/>
      <c r="B104" s="1"/>
      <c r="C104" s="3"/>
      <c r="D104" s="1"/>
      <c r="E104" s="1"/>
      <c r="F104" s="1"/>
      <c r="G104" s="1"/>
      <c r="H104" s="1"/>
      <c r="I104" s="1"/>
      <c r="J104" s="1"/>
      <c r="K104" s="1"/>
      <c r="L104" s="1"/>
      <c r="M104" s="1"/>
      <c r="N104" s="1"/>
      <c r="O104" s="3"/>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ht="15.75" customHeight="1">
      <c r="A105" s="1"/>
      <c r="B105" s="1"/>
      <c r="C105" s="3"/>
      <c r="D105" s="1"/>
      <c r="E105" s="1"/>
      <c r="F105" s="1"/>
      <c r="G105" s="1"/>
      <c r="H105" s="1"/>
      <c r="I105" s="1"/>
      <c r="J105" s="1"/>
      <c r="K105" s="1"/>
      <c r="L105" s="1"/>
      <c r="M105" s="1"/>
      <c r="N105" s="1"/>
      <c r="O105" s="3"/>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ht="15.75" customHeight="1">
      <c r="A106" s="1"/>
      <c r="B106" s="1"/>
      <c r="C106" s="3"/>
      <c r="D106" s="1"/>
      <c r="E106" s="1"/>
      <c r="F106" s="1"/>
      <c r="G106" s="1"/>
      <c r="H106" s="1"/>
      <c r="I106" s="1"/>
      <c r="J106" s="1"/>
      <c r="K106" s="1"/>
      <c r="L106" s="1"/>
      <c r="M106" s="1"/>
      <c r="N106" s="1"/>
      <c r="O106" s="3"/>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ht="15.75" customHeight="1">
      <c r="A107" s="1"/>
      <c r="B107" s="1"/>
      <c r="C107" s="3"/>
      <c r="D107" s="1"/>
      <c r="E107" s="1"/>
      <c r="F107" s="1"/>
      <c r="G107" s="1"/>
      <c r="H107" s="1"/>
      <c r="I107" s="1"/>
      <c r="J107" s="1"/>
      <c r="K107" s="1"/>
      <c r="L107" s="1"/>
      <c r="M107" s="1"/>
      <c r="N107" s="1"/>
      <c r="O107" s="3"/>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ht="15.75" customHeight="1">
      <c r="A108" s="1"/>
      <c r="B108" s="1"/>
      <c r="C108" s="3"/>
      <c r="D108" s="1"/>
      <c r="E108" s="1"/>
      <c r="F108" s="1"/>
      <c r="G108" s="1"/>
      <c r="H108" s="1"/>
      <c r="I108" s="1"/>
      <c r="J108" s="1"/>
      <c r="K108" s="1"/>
      <c r="L108" s="1"/>
      <c r="M108" s="1"/>
      <c r="N108" s="1"/>
      <c r="O108" s="3"/>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ht="15.75" customHeight="1">
      <c r="A109" s="1"/>
      <c r="B109" s="1"/>
      <c r="C109" s="3"/>
      <c r="D109" s="1"/>
      <c r="E109" s="1"/>
      <c r="F109" s="1"/>
      <c r="G109" s="1"/>
      <c r="H109" s="1"/>
      <c r="I109" s="1"/>
      <c r="J109" s="1"/>
      <c r="K109" s="1"/>
      <c r="L109" s="1"/>
      <c r="M109" s="1"/>
      <c r="N109" s="1"/>
      <c r="O109" s="3"/>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ht="15.75" customHeight="1">
      <c r="A110" s="1"/>
      <c r="B110" s="1"/>
      <c r="C110" s="3"/>
      <c r="D110" s="1"/>
      <c r="E110" s="1"/>
      <c r="F110" s="1"/>
      <c r="G110" s="1"/>
      <c r="H110" s="1"/>
      <c r="I110" s="1"/>
      <c r="J110" s="1"/>
      <c r="K110" s="1"/>
      <c r="L110" s="1"/>
      <c r="M110" s="1"/>
      <c r="N110" s="1"/>
      <c r="O110" s="3"/>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ht="15.75" customHeight="1">
      <c r="A111" s="1"/>
      <c r="B111" s="1"/>
      <c r="C111" s="3"/>
      <c r="D111" s="1"/>
      <c r="E111" s="1"/>
      <c r="F111" s="1"/>
      <c r="G111" s="1"/>
      <c r="H111" s="1"/>
      <c r="I111" s="1"/>
      <c r="J111" s="1"/>
      <c r="K111" s="1"/>
      <c r="L111" s="1"/>
      <c r="M111" s="1"/>
      <c r="N111" s="1"/>
      <c r="O111" s="3"/>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ht="15.75" customHeight="1">
      <c r="A112" s="1"/>
      <c r="B112" s="1"/>
      <c r="C112" s="3"/>
      <c r="D112" s="1"/>
      <c r="E112" s="1"/>
      <c r="F112" s="1"/>
      <c r="G112" s="1"/>
      <c r="H112" s="1"/>
      <c r="I112" s="1"/>
      <c r="J112" s="1"/>
      <c r="K112" s="1"/>
      <c r="L112" s="1"/>
      <c r="M112" s="1"/>
      <c r="N112" s="1"/>
      <c r="O112" s="3"/>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ht="15.75" customHeight="1">
      <c r="A113" s="1"/>
      <c r="B113" s="1"/>
      <c r="C113" s="3"/>
      <c r="D113" s="1"/>
      <c r="E113" s="1"/>
      <c r="F113" s="1"/>
      <c r="G113" s="1"/>
      <c r="H113" s="1"/>
      <c r="I113" s="1"/>
      <c r="J113" s="1"/>
      <c r="K113" s="1"/>
      <c r="L113" s="1"/>
      <c r="M113" s="1"/>
      <c r="N113" s="1"/>
      <c r="O113" s="3"/>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ht="15.75" customHeight="1">
      <c r="A114" s="1"/>
      <c r="B114" s="1"/>
      <c r="C114" s="3"/>
      <c r="D114" s="1"/>
      <c r="E114" s="1"/>
      <c r="F114" s="1"/>
      <c r="G114" s="1"/>
      <c r="H114" s="1"/>
      <c r="I114" s="1"/>
      <c r="J114" s="1"/>
      <c r="K114" s="1"/>
      <c r="L114" s="1"/>
      <c r="M114" s="1"/>
      <c r="N114" s="1"/>
      <c r="O114" s="3"/>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ht="15.75" customHeight="1">
      <c r="A115" s="1"/>
      <c r="B115" s="1"/>
      <c r="C115" s="3"/>
      <c r="D115" s="1"/>
      <c r="E115" s="1"/>
      <c r="F115" s="1"/>
      <c r="G115" s="1"/>
      <c r="H115" s="1"/>
      <c r="I115" s="1"/>
      <c r="J115" s="1"/>
      <c r="K115" s="1"/>
      <c r="L115" s="1"/>
      <c r="M115" s="1"/>
      <c r="N115" s="1"/>
      <c r="O115" s="3"/>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ht="15.75" customHeight="1">
      <c r="A116" s="1"/>
      <c r="B116" s="1"/>
      <c r="C116" s="3"/>
      <c r="D116" s="1"/>
      <c r="E116" s="1"/>
      <c r="F116" s="1"/>
      <c r="G116" s="1"/>
      <c r="H116" s="1"/>
      <c r="I116" s="1"/>
      <c r="J116" s="1"/>
      <c r="K116" s="1"/>
      <c r="L116" s="1"/>
      <c r="M116" s="1"/>
      <c r="N116" s="1"/>
      <c r="O116" s="3"/>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ht="15.75" customHeight="1">
      <c r="A117" s="1"/>
      <c r="B117" s="1"/>
      <c r="C117" s="3"/>
      <c r="D117" s="1"/>
      <c r="E117" s="1"/>
      <c r="F117" s="1"/>
      <c r="G117" s="1"/>
      <c r="H117" s="1"/>
      <c r="I117" s="1"/>
      <c r="J117" s="1"/>
      <c r="K117" s="1"/>
      <c r="L117" s="1"/>
      <c r="M117" s="1"/>
      <c r="N117" s="1"/>
      <c r="O117" s="3"/>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ht="15.75" customHeight="1">
      <c r="A118" s="1"/>
      <c r="B118" s="1"/>
      <c r="C118" s="3"/>
      <c r="D118" s="1"/>
      <c r="E118" s="1"/>
      <c r="F118" s="1"/>
      <c r="G118" s="1"/>
      <c r="H118" s="1"/>
      <c r="I118" s="1"/>
      <c r="J118" s="1"/>
      <c r="K118" s="1"/>
      <c r="L118" s="1"/>
      <c r="M118" s="1"/>
      <c r="N118" s="1"/>
      <c r="O118" s="3"/>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ht="15.75" customHeight="1">
      <c r="A119" s="1"/>
      <c r="B119" s="1"/>
      <c r="C119" s="3"/>
      <c r="D119" s="1"/>
      <c r="E119" s="1"/>
      <c r="F119" s="1"/>
      <c r="G119" s="1"/>
      <c r="H119" s="1"/>
      <c r="I119" s="1"/>
      <c r="J119" s="1"/>
      <c r="K119" s="1"/>
      <c r="L119" s="1"/>
      <c r="M119" s="1"/>
      <c r="N119" s="1"/>
      <c r="O119" s="3"/>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ht="15.75" customHeight="1">
      <c r="A120" s="1"/>
      <c r="B120" s="1"/>
      <c r="C120" s="3"/>
      <c r="D120" s="1"/>
      <c r="E120" s="1"/>
      <c r="F120" s="1"/>
      <c r="G120" s="1"/>
      <c r="H120" s="1"/>
      <c r="I120" s="1"/>
      <c r="J120" s="1"/>
      <c r="K120" s="1"/>
      <c r="L120" s="1"/>
      <c r="M120" s="1"/>
      <c r="N120" s="1"/>
      <c r="O120" s="3"/>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ht="15.75" customHeight="1">
      <c r="A121" s="1"/>
      <c r="B121" s="1"/>
      <c r="C121" s="3"/>
      <c r="D121" s="1"/>
      <c r="E121" s="1"/>
      <c r="F121" s="1"/>
      <c r="G121" s="1"/>
      <c r="H121" s="1"/>
      <c r="I121" s="1"/>
      <c r="J121" s="1"/>
      <c r="K121" s="1"/>
      <c r="L121" s="1"/>
      <c r="M121" s="1"/>
      <c r="N121" s="1"/>
      <c r="O121" s="3"/>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ht="15.75" customHeight="1">
      <c r="A122" s="1"/>
      <c r="B122" s="1"/>
      <c r="C122" s="3"/>
      <c r="D122" s="1"/>
      <c r="E122" s="1"/>
      <c r="F122" s="1"/>
      <c r="G122" s="1"/>
      <c r="H122" s="1"/>
      <c r="I122" s="1"/>
      <c r="J122" s="1"/>
      <c r="K122" s="1"/>
      <c r="L122" s="1"/>
      <c r="M122" s="1"/>
      <c r="N122" s="1"/>
      <c r="O122" s="3"/>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ht="15.75" customHeight="1">
      <c r="A123" s="1"/>
      <c r="B123" s="1"/>
      <c r="C123" s="3"/>
      <c r="D123" s="1"/>
      <c r="E123" s="1"/>
      <c r="F123" s="1"/>
      <c r="G123" s="1"/>
      <c r="H123" s="1"/>
      <c r="I123" s="1"/>
      <c r="J123" s="1"/>
      <c r="K123" s="1"/>
      <c r="L123" s="1"/>
      <c r="M123" s="1"/>
      <c r="N123" s="1"/>
      <c r="O123" s="3"/>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ht="15.75" customHeight="1">
      <c r="A124" s="1"/>
      <c r="B124" s="1"/>
      <c r="C124" s="3"/>
      <c r="D124" s="1"/>
      <c r="E124" s="1"/>
      <c r="F124" s="1"/>
      <c r="G124" s="1"/>
      <c r="H124" s="1"/>
      <c r="I124" s="1"/>
      <c r="J124" s="1"/>
      <c r="K124" s="1"/>
      <c r="L124" s="1"/>
      <c r="M124" s="1"/>
      <c r="N124" s="1"/>
      <c r="O124" s="3"/>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ht="15.75" customHeight="1">
      <c r="A125" s="1"/>
      <c r="B125" s="1"/>
      <c r="C125" s="3"/>
      <c r="D125" s="1"/>
      <c r="E125" s="1"/>
      <c r="F125" s="1"/>
      <c r="G125" s="1"/>
      <c r="H125" s="1"/>
      <c r="I125" s="1"/>
      <c r="J125" s="1"/>
      <c r="K125" s="1"/>
      <c r="L125" s="1"/>
      <c r="M125" s="1"/>
      <c r="N125" s="1"/>
      <c r="O125" s="3"/>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ht="15.75" customHeight="1">
      <c r="A126" s="1"/>
      <c r="B126" s="1"/>
      <c r="C126" s="3"/>
      <c r="D126" s="1"/>
      <c r="E126" s="1"/>
      <c r="F126" s="1"/>
      <c r="G126" s="1"/>
      <c r="H126" s="1"/>
      <c r="I126" s="1"/>
      <c r="J126" s="1"/>
      <c r="K126" s="1"/>
      <c r="L126" s="1"/>
      <c r="M126" s="1"/>
      <c r="N126" s="1"/>
      <c r="O126" s="3"/>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ht="15.75" customHeight="1">
      <c r="A127" s="1"/>
      <c r="B127" s="1"/>
      <c r="C127" s="3"/>
      <c r="D127" s="1"/>
      <c r="E127" s="1"/>
      <c r="F127" s="1"/>
      <c r="G127" s="1"/>
      <c r="H127" s="1"/>
      <c r="I127" s="1"/>
      <c r="J127" s="1"/>
      <c r="K127" s="1"/>
      <c r="L127" s="1"/>
      <c r="M127" s="1"/>
      <c r="N127" s="1"/>
      <c r="O127" s="3"/>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ht="15.75" customHeight="1">
      <c r="A128" s="1"/>
      <c r="B128" s="1"/>
      <c r="C128" s="3"/>
      <c r="D128" s="1"/>
      <c r="E128" s="1"/>
      <c r="F128" s="1"/>
      <c r="G128" s="1"/>
      <c r="H128" s="1"/>
      <c r="I128" s="1"/>
      <c r="J128" s="1"/>
      <c r="K128" s="1"/>
      <c r="L128" s="1"/>
      <c r="M128" s="1"/>
      <c r="N128" s="1"/>
      <c r="O128" s="3"/>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ht="15.75" customHeight="1">
      <c r="A129" s="1"/>
      <c r="B129" s="1"/>
      <c r="C129" s="3"/>
      <c r="D129" s="1"/>
      <c r="E129" s="1"/>
      <c r="F129" s="1"/>
      <c r="G129" s="1"/>
      <c r="H129" s="1"/>
      <c r="I129" s="1"/>
      <c r="J129" s="1"/>
      <c r="K129" s="1"/>
      <c r="L129" s="1"/>
      <c r="M129" s="1"/>
      <c r="N129" s="1"/>
      <c r="O129" s="3"/>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ht="15.75" customHeight="1">
      <c r="A130" s="1"/>
      <c r="B130" s="1"/>
      <c r="C130" s="3"/>
      <c r="D130" s="1"/>
      <c r="E130" s="1"/>
      <c r="F130" s="1"/>
      <c r="G130" s="1"/>
      <c r="H130" s="1"/>
      <c r="I130" s="1"/>
      <c r="J130" s="1"/>
      <c r="K130" s="1"/>
      <c r="L130" s="1"/>
      <c r="M130" s="1"/>
      <c r="N130" s="1"/>
      <c r="O130" s="3"/>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ht="15.75" customHeight="1">
      <c r="A131" s="1"/>
      <c r="B131" s="1"/>
      <c r="C131" s="3"/>
      <c r="D131" s="1"/>
      <c r="E131" s="1"/>
      <c r="F131" s="1"/>
      <c r="G131" s="1"/>
      <c r="H131" s="1"/>
      <c r="I131" s="1"/>
      <c r="J131" s="1"/>
      <c r="K131" s="1"/>
      <c r="L131" s="1"/>
      <c r="M131" s="1"/>
      <c r="N131" s="1"/>
      <c r="O131" s="3"/>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ht="15.75" customHeight="1">
      <c r="A132" s="1"/>
      <c r="B132" s="1"/>
      <c r="C132" s="3"/>
      <c r="D132" s="1"/>
      <c r="E132" s="1"/>
      <c r="F132" s="1"/>
      <c r="G132" s="1"/>
      <c r="H132" s="1"/>
      <c r="I132" s="1"/>
      <c r="J132" s="1"/>
      <c r="K132" s="1"/>
      <c r="L132" s="1"/>
      <c r="M132" s="1"/>
      <c r="N132" s="1"/>
      <c r="O132" s="3"/>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ht="15.75" customHeight="1">
      <c r="A133" s="1"/>
      <c r="B133" s="1"/>
      <c r="C133" s="3"/>
      <c r="D133" s="1"/>
      <c r="E133" s="1"/>
      <c r="F133" s="1"/>
      <c r="G133" s="1"/>
      <c r="H133" s="1"/>
      <c r="I133" s="1"/>
      <c r="J133" s="1"/>
      <c r="K133" s="1"/>
      <c r="L133" s="1"/>
      <c r="M133" s="1"/>
      <c r="N133" s="1"/>
      <c r="O133" s="3"/>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ht="15.75" customHeight="1">
      <c r="A134" s="1"/>
      <c r="B134" s="1"/>
      <c r="C134" s="3"/>
      <c r="D134" s="1"/>
      <c r="E134" s="1"/>
      <c r="F134" s="1"/>
      <c r="G134" s="1"/>
      <c r="H134" s="1"/>
      <c r="I134" s="1"/>
      <c r="J134" s="1"/>
      <c r="K134" s="1"/>
      <c r="L134" s="1"/>
      <c r="M134" s="1"/>
      <c r="N134" s="1"/>
      <c r="O134" s="3"/>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ht="15.75" customHeight="1">
      <c r="A135" s="1"/>
      <c r="B135" s="1"/>
      <c r="C135" s="3"/>
      <c r="D135" s="1"/>
      <c r="E135" s="1"/>
      <c r="F135" s="1"/>
      <c r="G135" s="1"/>
      <c r="H135" s="1"/>
      <c r="I135" s="1"/>
      <c r="J135" s="1"/>
      <c r="K135" s="1"/>
      <c r="L135" s="1"/>
      <c r="M135" s="1"/>
      <c r="N135" s="1"/>
      <c r="O135" s="3"/>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ht="15.75" customHeight="1">
      <c r="A136" s="1"/>
      <c r="B136" s="1"/>
      <c r="C136" s="3"/>
      <c r="D136" s="1"/>
      <c r="E136" s="1"/>
      <c r="F136" s="1"/>
      <c r="G136" s="1"/>
      <c r="H136" s="1"/>
      <c r="I136" s="1"/>
      <c r="J136" s="1"/>
      <c r="K136" s="1"/>
      <c r="L136" s="1"/>
      <c r="M136" s="1"/>
      <c r="N136" s="1"/>
      <c r="O136" s="3"/>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ht="15.75" customHeight="1">
      <c r="A137" s="1"/>
      <c r="B137" s="1"/>
      <c r="C137" s="3"/>
      <c r="D137" s="1"/>
      <c r="E137" s="1"/>
      <c r="F137" s="1"/>
      <c r="G137" s="1"/>
      <c r="H137" s="1"/>
      <c r="I137" s="1"/>
      <c r="J137" s="1"/>
      <c r="K137" s="1"/>
      <c r="L137" s="1"/>
      <c r="M137" s="1"/>
      <c r="N137" s="1"/>
      <c r="O137" s="3"/>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ht="15.75" customHeight="1">
      <c r="A138" s="1"/>
      <c r="B138" s="1"/>
      <c r="C138" s="3"/>
      <c r="D138" s="1"/>
      <c r="E138" s="1"/>
      <c r="F138" s="1"/>
      <c r="G138" s="1"/>
      <c r="H138" s="1"/>
      <c r="I138" s="1"/>
      <c r="J138" s="1"/>
      <c r="K138" s="1"/>
      <c r="L138" s="1"/>
      <c r="M138" s="1"/>
      <c r="N138" s="1"/>
      <c r="O138" s="3"/>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ht="15.75" customHeight="1">
      <c r="A139" s="1"/>
      <c r="B139" s="1"/>
      <c r="C139" s="3"/>
      <c r="D139" s="1"/>
      <c r="E139" s="1"/>
      <c r="F139" s="1"/>
      <c r="G139" s="1"/>
      <c r="H139" s="1"/>
      <c r="I139" s="1"/>
      <c r="J139" s="1"/>
      <c r="K139" s="1"/>
      <c r="L139" s="1"/>
      <c r="M139" s="1"/>
      <c r="N139" s="1"/>
      <c r="O139" s="3"/>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ht="15.75" customHeight="1">
      <c r="A140" s="1"/>
      <c r="B140" s="1"/>
      <c r="C140" s="3"/>
      <c r="D140" s="1"/>
      <c r="E140" s="1"/>
      <c r="F140" s="1"/>
      <c r="G140" s="1"/>
      <c r="H140" s="1"/>
      <c r="I140" s="1"/>
      <c r="J140" s="1"/>
      <c r="K140" s="1"/>
      <c r="L140" s="1"/>
      <c r="M140" s="1"/>
      <c r="N140" s="1"/>
      <c r="O140" s="3"/>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ht="15.75" customHeight="1">
      <c r="A141" s="1"/>
      <c r="B141" s="1"/>
      <c r="C141" s="3"/>
      <c r="D141" s="1"/>
      <c r="E141" s="1"/>
      <c r="F141" s="1"/>
      <c r="G141" s="1"/>
      <c r="H141" s="1"/>
      <c r="I141" s="1"/>
      <c r="J141" s="1"/>
      <c r="K141" s="1"/>
      <c r="L141" s="1"/>
      <c r="M141" s="1"/>
      <c r="N141" s="1"/>
      <c r="O141" s="3"/>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ht="15.75" customHeight="1">
      <c r="A142" s="1"/>
      <c r="B142" s="1"/>
      <c r="C142" s="3"/>
      <c r="D142" s="1"/>
      <c r="E142" s="1"/>
      <c r="F142" s="1"/>
      <c r="G142" s="1"/>
      <c r="H142" s="1"/>
      <c r="I142" s="1"/>
      <c r="J142" s="1"/>
      <c r="K142" s="1"/>
      <c r="L142" s="1"/>
      <c r="M142" s="1"/>
      <c r="N142" s="1"/>
      <c r="O142" s="3"/>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ht="15.75" customHeight="1">
      <c r="A143" s="1"/>
      <c r="B143" s="1"/>
      <c r="C143" s="3"/>
      <c r="D143" s="1"/>
      <c r="E143" s="1"/>
      <c r="F143" s="1"/>
      <c r="G143" s="1"/>
      <c r="H143" s="1"/>
      <c r="I143" s="1"/>
      <c r="J143" s="1"/>
      <c r="K143" s="1"/>
      <c r="L143" s="1"/>
      <c r="M143" s="1"/>
      <c r="N143" s="1"/>
      <c r="O143" s="3"/>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ht="15.75" customHeight="1">
      <c r="A144" s="1"/>
      <c r="B144" s="1"/>
      <c r="C144" s="3"/>
      <c r="D144" s="1"/>
      <c r="E144" s="1"/>
      <c r="F144" s="1"/>
      <c r="G144" s="1"/>
      <c r="H144" s="1"/>
      <c r="I144" s="1"/>
      <c r="J144" s="1"/>
      <c r="K144" s="1"/>
      <c r="L144" s="1"/>
      <c r="M144" s="1"/>
      <c r="N144" s="1"/>
      <c r="O144" s="3"/>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ht="15.75" customHeight="1">
      <c r="A145" s="1"/>
      <c r="B145" s="1"/>
      <c r="C145" s="3"/>
      <c r="D145" s="1"/>
      <c r="E145" s="1"/>
      <c r="F145" s="1"/>
      <c r="G145" s="1"/>
      <c r="H145" s="1"/>
      <c r="I145" s="1"/>
      <c r="J145" s="1"/>
      <c r="K145" s="1"/>
      <c r="L145" s="1"/>
      <c r="M145" s="1"/>
      <c r="N145" s="1"/>
      <c r="O145" s="3"/>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ht="15.75" customHeight="1">
      <c r="A146" s="1"/>
      <c r="B146" s="1"/>
      <c r="C146" s="3"/>
      <c r="D146" s="1"/>
      <c r="E146" s="1"/>
      <c r="F146" s="1"/>
      <c r="G146" s="1"/>
      <c r="H146" s="1"/>
      <c r="I146" s="1"/>
      <c r="J146" s="1"/>
      <c r="K146" s="1"/>
      <c r="L146" s="1"/>
      <c r="M146" s="1"/>
      <c r="N146" s="1"/>
      <c r="O146" s="3"/>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ht="15.75" customHeight="1">
      <c r="A147" s="1"/>
      <c r="B147" s="1"/>
      <c r="C147" s="3"/>
      <c r="D147" s="1"/>
      <c r="E147" s="1"/>
      <c r="F147" s="1"/>
      <c r="G147" s="1"/>
      <c r="H147" s="1"/>
      <c r="I147" s="1"/>
      <c r="J147" s="1"/>
      <c r="K147" s="1"/>
      <c r="L147" s="1"/>
      <c r="M147" s="1"/>
      <c r="N147" s="1"/>
      <c r="O147" s="3"/>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ht="15.75" customHeight="1">
      <c r="A148" s="1"/>
      <c r="B148" s="1"/>
      <c r="C148" s="3"/>
      <c r="D148" s="1"/>
      <c r="E148" s="1"/>
      <c r="F148" s="1"/>
      <c r="G148" s="1"/>
      <c r="H148" s="1"/>
      <c r="I148" s="1"/>
      <c r="J148" s="1"/>
      <c r="K148" s="1"/>
      <c r="L148" s="1"/>
      <c r="M148" s="1"/>
      <c r="N148" s="1"/>
      <c r="O148" s="3"/>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ht="15.75" customHeight="1">
      <c r="A149" s="1"/>
      <c r="B149" s="1"/>
      <c r="C149" s="3"/>
      <c r="D149" s="1"/>
      <c r="E149" s="1"/>
      <c r="F149" s="1"/>
      <c r="G149" s="1"/>
      <c r="H149" s="1"/>
      <c r="I149" s="1"/>
      <c r="J149" s="1"/>
      <c r="K149" s="1"/>
      <c r="L149" s="1"/>
      <c r="M149" s="1"/>
      <c r="N149" s="1"/>
      <c r="O149" s="3"/>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ht="15.75" customHeight="1">
      <c r="A150" s="1"/>
      <c r="B150" s="1"/>
      <c r="C150" s="3"/>
      <c r="D150" s="1"/>
      <c r="E150" s="1"/>
      <c r="F150" s="1"/>
      <c r="G150" s="1"/>
      <c r="H150" s="1"/>
      <c r="I150" s="1"/>
      <c r="J150" s="1"/>
      <c r="K150" s="1"/>
      <c r="L150" s="1"/>
      <c r="M150" s="1"/>
      <c r="N150" s="1"/>
      <c r="O150" s="3"/>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ht="15.75" customHeight="1">
      <c r="A151" s="1"/>
      <c r="B151" s="1"/>
      <c r="C151" s="3"/>
      <c r="D151" s="1"/>
      <c r="E151" s="1"/>
      <c r="F151" s="1"/>
      <c r="G151" s="1"/>
      <c r="H151" s="1"/>
      <c r="I151" s="1"/>
      <c r="J151" s="1"/>
      <c r="K151" s="1"/>
      <c r="L151" s="1"/>
      <c r="M151" s="1"/>
      <c r="N151" s="1"/>
      <c r="O151" s="3"/>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ht="15.75" customHeight="1">
      <c r="A152" s="1"/>
      <c r="B152" s="1"/>
      <c r="C152" s="3"/>
      <c r="D152" s="1"/>
      <c r="E152" s="1"/>
      <c r="F152" s="1"/>
      <c r="G152" s="1"/>
      <c r="H152" s="1"/>
      <c r="I152" s="1"/>
      <c r="J152" s="1"/>
      <c r="K152" s="1"/>
      <c r="L152" s="1"/>
      <c r="M152" s="1"/>
      <c r="N152" s="1"/>
      <c r="O152" s="3"/>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ht="15.75" customHeight="1">
      <c r="A153" s="1"/>
      <c r="B153" s="1"/>
      <c r="C153" s="3"/>
      <c r="D153" s="1"/>
      <c r="E153" s="1"/>
      <c r="F153" s="1"/>
      <c r="G153" s="1"/>
      <c r="H153" s="1"/>
      <c r="I153" s="1"/>
      <c r="J153" s="1"/>
      <c r="K153" s="1"/>
      <c r="L153" s="1"/>
      <c r="M153" s="1"/>
      <c r="N153" s="1"/>
      <c r="O153" s="3"/>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ht="15.75" customHeight="1">
      <c r="A154" s="1"/>
      <c r="B154" s="1"/>
      <c r="C154" s="3"/>
      <c r="D154" s="1"/>
      <c r="E154" s="1"/>
      <c r="F154" s="1"/>
      <c r="G154" s="1"/>
      <c r="H154" s="1"/>
      <c r="I154" s="1"/>
      <c r="J154" s="1"/>
      <c r="K154" s="1"/>
      <c r="L154" s="1"/>
      <c r="M154" s="1"/>
      <c r="N154" s="1"/>
      <c r="O154" s="3"/>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ht="15.75" customHeight="1">
      <c r="A155" s="1"/>
      <c r="B155" s="1"/>
      <c r="C155" s="3"/>
      <c r="D155" s="1"/>
      <c r="E155" s="1"/>
      <c r="F155" s="1"/>
      <c r="G155" s="1"/>
      <c r="H155" s="1"/>
      <c r="I155" s="1"/>
      <c r="J155" s="1"/>
      <c r="K155" s="1"/>
      <c r="L155" s="1"/>
      <c r="M155" s="1"/>
      <c r="N155" s="1"/>
      <c r="O155" s="3"/>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ht="15.75" customHeight="1">
      <c r="A156" s="1"/>
      <c r="B156" s="1"/>
      <c r="C156" s="3"/>
      <c r="D156" s="1"/>
      <c r="E156" s="1"/>
      <c r="F156" s="1"/>
      <c r="G156" s="1"/>
      <c r="H156" s="1"/>
      <c r="I156" s="1"/>
      <c r="J156" s="1"/>
      <c r="K156" s="1"/>
      <c r="L156" s="1"/>
      <c r="M156" s="1"/>
      <c r="N156" s="1"/>
      <c r="O156" s="3"/>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ht="15.75" customHeight="1">
      <c r="A157" s="1"/>
      <c r="B157" s="1"/>
      <c r="C157" s="3"/>
      <c r="D157" s="1"/>
      <c r="E157" s="1"/>
      <c r="F157" s="1"/>
      <c r="G157" s="1"/>
      <c r="H157" s="1"/>
      <c r="I157" s="1"/>
      <c r="J157" s="1"/>
      <c r="K157" s="1"/>
      <c r="L157" s="1"/>
      <c r="M157" s="1"/>
      <c r="N157" s="1"/>
      <c r="O157" s="3"/>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ht="15.75" customHeight="1">
      <c r="A158" s="1"/>
      <c r="B158" s="1"/>
      <c r="C158" s="3"/>
      <c r="D158" s="1"/>
      <c r="E158" s="1"/>
      <c r="F158" s="1"/>
      <c r="G158" s="1"/>
      <c r="H158" s="1"/>
      <c r="I158" s="1"/>
      <c r="J158" s="1"/>
      <c r="K158" s="1"/>
      <c r="L158" s="1"/>
      <c r="M158" s="1"/>
      <c r="N158" s="1"/>
      <c r="O158" s="3"/>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ht="15.75" customHeight="1">
      <c r="A159" s="1"/>
      <c r="B159" s="1"/>
      <c r="C159" s="3"/>
      <c r="D159" s="1"/>
      <c r="E159" s="1"/>
      <c r="F159" s="1"/>
      <c r="G159" s="1"/>
      <c r="H159" s="1"/>
      <c r="I159" s="1"/>
      <c r="J159" s="1"/>
      <c r="K159" s="1"/>
      <c r="L159" s="1"/>
      <c r="M159" s="1"/>
      <c r="N159" s="1"/>
      <c r="O159" s="3"/>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ht="15.75" customHeight="1">
      <c r="A160" s="1"/>
      <c r="B160" s="1"/>
      <c r="C160" s="3"/>
      <c r="D160" s="1"/>
      <c r="E160" s="1"/>
      <c r="F160" s="1"/>
      <c r="G160" s="1"/>
      <c r="H160" s="1"/>
      <c r="I160" s="1"/>
      <c r="J160" s="1"/>
      <c r="K160" s="1"/>
      <c r="L160" s="1"/>
      <c r="M160" s="1"/>
      <c r="N160" s="1"/>
      <c r="O160" s="3"/>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ht="15.75" customHeight="1">
      <c r="A161" s="1"/>
      <c r="B161" s="1"/>
      <c r="C161" s="3"/>
      <c r="D161" s="1"/>
      <c r="E161" s="1"/>
      <c r="F161" s="1"/>
      <c r="G161" s="1"/>
      <c r="H161" s="1"/>
      <c r="I161" s="1"/>
      <c r="J161" s="1"/>
      <c r="K161" s="1"/>
      <c r="L161" s="1"/>
      <c r="M161" s="1"/>
      <c r="N161" s="1"/>
      <c r="O161" s="3"/>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ht="15.75" customHeight="1">
      <c r="A162" s="1"/>
      <c r="B162" s="1"/>
      <c r="C162" s="3"/>
      <c r="D162" s="1"/>
      <c r="E162" s="1"/>
      <c r="F162" s="1"/>
      <c r="G162" s="1"/>
      <c r="H162" s="1"/>
      <c r="I162" s="1"/>
      <c r="J162" s="1"/>
      <c r="K162" s="1"/>
      <c r="L162" s="1"/>
      <c r="M162" s="1"/>
      <c r="N162" s="1"/>
      <c r="O162" s="3"/>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ht="15.75" customHeight="1">
      <c r="A163" s="1"/>
      <c r="B163" s="1"/>
      <c r="C163" s="3"/>
      <c r="D163" s="1"/>
      <c r="E163" s="1"/>
      <c r="F163" s="1"/>
      <c r="G163" s="1"/>
      <c r="H163" s="1"/>
      <c r="I163" s="1"/>
      <c r="J163" s="1"/>
      <c r="K163" s="1"/>
      <c r="L163" s="1"/>
      <c r="M163" s="1"/>
      <c r="N163" s="1"/>
      <c r="O163" s="3"/>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ht="15.75" customHeight="1">
      <c r="A164" s="1"/>
      <c r="B164" s="1"/>
      <c r="C164" s="3"/>
      <c r="D164" s="1"/>
      <c r="E164" s="1"/>
      <c r="F164" s="1"/>
      <c r="G164" s="1"/>
      <c r="H164" s="1"/>
      <c r="I164" s="1"/>
      <c r="J164" s="1"/>
      <c r="K164" s="1"/>
      <c r="L164" s="1"/>
      <c r="M164" s="1"/>
      <c r="N164" s="1"/>
      <c r="O164" s="3"/>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ht="15.75" customHeight="1">
      <c r="A165" s="1"/>
      <c r="B165" s="1"/>
      <c r="C165" s="3"/>
      <c r="D165" s="1"/>
      <c r="E165" s="1"/>
      <c r="F165" s="1"/>
      <c r="G165" s="1"/>
      <c r="H165" s="1"/>
      <c r="I165" s="1"/>
      <c r="J165" s="1"/>
      <c r="K165" s="1"/>
      <c r="L165" s="1"/>
      <c r="M165" s="1"/>
      <c r="N165" s="1"/>
      <c r="O165" s="3"/>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ht="15.75" customHeight="1">
      <c r="A166" s="1"/>
      <c r="B166" s="1"/>
      <c r="C166" s="3"/>
      <c r="D166" s="1"/>
      <c r="E166" s="1"/>
      <c r="F166" s="1"/>
      <c r="G166" s="1"/>
      <c r="H166" s="1"/>
      <c r="I166" s="1"/>
      <c r="J166" s="1"/>
      <c r="K166" s="1"/>
      <c r="L166" s="1"/>
      <c r="M166" s="1"/>
      <c r="N166" s="1"/>
      <c r="O166" s="3"/>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ht="15.75" customHeight="1">
      <c r="A167" s="1"/>
      <c r="B167" s="1"/>
      <c r="C167" s="3"/>
      <c r="D167" s="1"/>
      <c r="E167" s="1"/>
      <c r="F167" s="1"/>
      <c r="G167" s="1"/>
      <c r="H167" s="1"/>
      <c r="I167" s="1"/>
      <c r="J167" s="1"/>
      <c r="K167" s="1"/>
      <c r="L167" s="1"/>
      <c r="M167" s="1"/>
      <c r="N167" s="1"/>
      <c r="O167" s="3"/>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ht="15.75" customHeight="1">
      <c r="A168" s="1"/>
      <c r="B168" s="1"/>
      <c r="C168" s="3"/>
      <c r="D168" s="1"/>
      <c r="E168" s="1"/>
      <c r="F168" s="1"/>
      <c r="G168" s="1"/>
      <c r="H168" s="1"/>
      <c r="I168" s="1"/>
      <c r="J168" s="1"/>
      <c r="K168" s="1"/>
      <c r="L168" s="1"/>
      <c r="M168" s="1"/>
      <c r="N168" s="1"/>
      <c r="O168" s="3"/>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ht="15.75" customHeight="1">
      <c r="A169" s="1"/>
      <c r="B169" s="1"/>
      <c r="C169" s="3"/>
      <c r="D169" s="1"/>
      <c r="E169" s="1"/>
      <c r="F169" s="1"/>
      <c r="G169" s="1"/>
      <c r="H169" s="1"/>
      <c r="I169" s="1"/>
      <c r="J169" s="1"/>
      <c r="K169" s="1"/>
      <c r="L169" s="1"/>
      <c r="M169" s="1"/>
      <c r="N169" s="1"/>
      <c r="O169" s="3"/>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ht="15.75" customHeight="1">
      <c r="A170" s="1"/>
      <c r="B170" s="1"/>
      <c r="C170" s="3"/>
      <c r="D170" s="1"/>
      <c r="E170" s="1"/>
      <c r="F170" s="1"/>
      <c r="G170" s="1"/>
      <c r="H170" s="1"/>
      <c r="I170" s="1"/>
      <c r="J170" s="1"/>
      <c r="K170" s="1"/>
      <c r="L170" s="1"/>
      <c r="M170" s="1"/>
      <c r="N170" s="1"/>
      <c r="O170" s="3"/>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ht="15.75" customHeight="1">
      <c r="A171" s="1"/>
      <c r="B171" s="1"/>
      <c r="C171" s="3"/>
      <c r="D171" s="1"/>
      <c r="E171" s="1"/>
      <c r="F171" s="1"/>
      <c r="G171" s="1"/>
      <c r="H171" s="1"/>
      <c r="I171" s="1"/>
      <c r="J171" s="1"/>
      <c r="K171" s="1"/>
      <c r="L171" s="1"/>
      <c r="M171" s="1"/>
      <c r="N171" s="1"/>
      <c r="O171" s="3"/>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ht="15.75" customHeight="1">
      <c r="A172" s="1"/>
      <c r="B172" s="1"/>
      <c r="C172" s="3"/>
      <c r="D172" s="1"/>
      <c r="E172" s="1"/>
      <c r="F172" s="1"/>
      <c r="G172" s="1"/>
      <c r="H172" s="1"/>
      <c r="I172" s="1"/>
      <c r="J172" s="1"/>
      <c r="K172" s="1"/>
      <c r="L172" s="1"/>
      <c r="M172" s="1"/>
      <c r="N172" s="1"/>
      <c r="O172" s="3"/>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ht="15.75" customHeight="1">
      <c r="A173" s="1"/>
      <c r="B173" s="1"/>
      <c r="C173" s="3"/>
      <c r="D173" s="1"/>
      <c r="E173" s="1"/>
      <c r="F173" s="1"/>
      <c r="G173" s="1"/>
      <c r="H173" s="1"/>
      <c r="I173" s="1"/>
      <c r="J173" s="1"/>
      <c r="K173" s="1"/>
      <c r="L173" s="1"/>
      <c r="M173" s="1"/>
      <c r="N173" s="1"/>
      <c r="O173" s="3"/>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15.75" customHeight="1">
      <c r="A174" s="1"/>
      <c r="B174" s="1"/>
      <c r="C174" s="3"/>
      <c r="D174" s="1"/>
      <c r="E174" s="1"/>
      <c r="F174" s="1"/>
      <c r="G174" s="1"/>
      <c r="H174" s="1"/>
      <c r="I174" s="1"/>
      <c r="J174" s="1"/>
      <c r="K174" s="1"/>
      <c r="L174" s="1"/>
      <c r="M174" s="1"/>
      <c r="N174" s="1"/>
      <c r="O174" s="3"/>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15.75" customHeight="1">
      <c r="A175" s="1"/>
      <c r="B175" s="1"/>
      <c r="C175" s="3"/>
      <c r="D175" s="1"/>
      <c r="E175" s="1"/>
      <c r="F175" s="1"/>
      <c r="G175" s="1"/>
      <c r="H175" s="1"/>
      <c r="I175" s="1"/>
      <c r="J175" s="1"/>
      <c r="K175" s="1"/>
      <c r="L175" s="1"/>
      <c r="M175" s="1"/>
      <c r="N175" s="1"/>
      <c r="O175" s="3"/>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15.75" customHeight="1">
      <c r="A176" s="1"/>
      <c r="B176" s="1"/>
      <c r="C176" s="3"/>
      <c r="D176" s="1"/>
      <c r="E176" s="1"/>
      <c r="F176" s="1"/>
      <c r="G176" s="1"/>
      <c r="H176" s="1"/>
      <c r="I176" s="1"/>
      <c r="J176" s="1"/>
      <c r="K176" s="1"/>
      <c r="L176" s="1"/>
      <c r="M176" s="1"/>
      <c r="N176" s="1"/>
      <c r="O176" s="3"/>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15.75" customHeight="1">
      <c r="A177" s="1"/>
      <c r="B177" s="1"/>
      <c r="C177" s="3"/>
      <c r="D177" s="1"/>
      <c r="E177" s="1"/>
      <c r="F177" s="1"/>
      <c r="G177" s="1"/>
      <c r="H177" s="1"/>
      <c r="I177" s="1"/>
      <c r="J177" s="1"/>
      <c r="K177" s="1"/>
      <c r="L177" s="1"/>
      <c r="M177" s="1"/>
      <c r="N177" s="1"/>
      <c r="O177" s="3"/>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5.75" customHeight="1">
      <c r="A178" s="1"/>
      <c r="B178" s="1"/>
      <c r="C178" s="3"/>
      <c r="D178" s="1"/>
      <c r="E178" s="1"/>
      <c r="F178" s="1"/>
      <c r="G178" s="1"/>
      <c r="H178" s="1"/>
      <c r="I178" s="1"/>
      <c r="J178" s="1"/>
      <c r="K178" s="1"/>
      <c r="L178" s="1"/>
      <c r="M178" s="1"/>
      <c r="N178" s="1"/>
      <c r="O178" s="3"/>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5.75" customHeight="1">
      <c r="A179" s="1"/>
      <c r="B179" s="1"/>
      <c r="C179" s="3"/>
      <c r="D179" s="1"/>
      <c r="E179" s="1"/>
      <c r="F179" s="1"/>
      <c r="G179" s="1"/>
      <c r="H179" s="1"/>
      <c r="I179" s="1"/>
      <c r="J179" s="1"/>
      <c r="K179" s="1"/>
      <c r="L179" s="1"/>
      <c r="M179" s="1"/>
      <c r="N179" s="1"/>
      <c r="O179" s="3"/>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5.75" customHeight="1">
      <c r="A180" s="1"/>
      <c r="B180" s="1"/>
      <c r="C180" s="3"/>
      <c r="D180" s="1"/>
      <c r="E180" s="1"/>
      <c r="F180" s="1"/>
      <c r="G180" s="1"/>
      <c r="H180" s="1"/>
      <c r="I180" s="1"/>
      <c r="J180" s="1"/>
      <c r="K180" s="1"/>
      <c r="L180" s="1"/>
      <c r="M180" s="1"/>
      <c r="N180" s="1"/>
      <c r="O180" s="3"/>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5.75" customHeight="1">
      <c r="A181" s="1"/>
      <c r="B181" s="1"/>
      <c r="C181" s="3"/>
      <c r="D181" s="1"/>
      <c r="E181" s="1"/>
      <c r="F181" s="1"/>
      <c r="G181" s="1"/>
      <c r="H181" s="1"/>
      <c r="I181" s="1"/>
      <c r="J181" s="1"/>
      <c r="K181" s="1"/>
      <c r="L181" s="1"/>
      <c r="M181" s="1"/>
      <c r="N181" s="1"/>
      <c r="O181" s="3"/>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5.75" customHeight="1">
      <c r="A182" s="1"/>
      <c r="B182" s="1"/>
      <c r="C182" s="3"/>
      <c r="D182" s="1"/>
      <c r="E182" s="1"/>
      <c r="F182" s="1"/>
      <c r="G182" s="1"/>
      <c r="H182" s="1"/>
      <c r="I182" s="1"/>
      <c r="J182" s="1"/>
      <c r="K182" s="1"/>
      <c r="L182" s="1"/>
      <c r="M182" s="1"/>
      <c r="N182" s="1"/>
      <c r="O182" s="3"/>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5.75" customHeight="1">
      <c r="A183" s="1"/>
      <c r="B183" s="1"/>
      <c r="C183" s="3"/>
      <c r="D183" s="1"/>
      <c r="E183" s="1"/>
      <c r="F183" s="1"/>
      <c r="G183" s="1"/>
      <c r="H183" s="1"/>
      <c r="I183" s="1"/>
      <c r="J183" s="1"/>
      <c r="K183" s="1"/>
      <c r="L183" s="1"/>
      <c r="M183" s="1"/>
      <c r="N183" s="1"/>
      <c r="O183" s="3"/>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15.75" customHeight="1">
      <c r="A184" s="1"/>
      <c r="B184" s="1"/>
      <c r="C184" s="3"/>
      <c r="D184" s="1"/>
      <c r="E184" s="1"/>
      <c r="F184" s="1"/>
      <c r="G184" s="1"/>
      <c r="H184" s="1"/>
      <c r="I184" s="1"/>
      <c r="J184" s="1"/>
      <c r="K184" s="1"/>
      <c r="L184" s="1"/>
      <c r="M184" s="1"/>
      <c r="N184" s="1"/>
      <c r="O184" s="3"/>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5.75" customHeight="1">
      <c r="A185" s="1"/>
      <c r="B185" s="1"/>
      <c r="C185" s="3"/>
      <c r="D185" s="1"/>
      <c r="E185" s="1"/>
      <c r="F185" s="1"/>
      <c r="G185" s="1"/>
      <c r="H185" s="1"/>
      <c r="I185" s="1"/>
      <c r="J185" s="1"/>
      <c r="K185" s="1"/>
      <c r="L185" s="1"/>
      <c r="M185" s="1"/>
      <c r="N185" s="1"/>
      <c r="O185" s="3"/>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ht="15.75" customHeight="1">
      <c r="A186" s="1"/>
      <c r="B186" s="1"/>
      <c r="C186" s="3"/>
      <c r="D186" s="1"/>
      <c r="E186" s="1"/>
      <c r="F186" s="1"/>
      <c r="G186" s="1"/>
      <c r="H186" s="1"/>
      <c r="I186" s="1"/>
      <c r="J186" s="1"/>
      <c r="K186" s="1"/>
      <c r="L186" s="1"/>
      <c r="M186" s="1"/>
      <c r="N186" s="1"/>
      <c r="O186" s="3"/>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5.75" customHeight="1">
      <c r="A187" s="1"/>
      <c r="B187" s="1"/>
      <c r="C187" s="3"/>
      <c r="D187" s="1"/>
      <c r="E187" s="1"/>
      <c r="F187" s="1"/>
      <c r="G187" s="1"/>
      <c r="H187" s="1"/>
      <c r="I187" s="1"/>
      <c r="J187" s="1"/>
      <c r="K187" s="1"/>
      <c r="L187" s="1"/>
      <c r="M187" s="1"/>
      <c r="N187" s="1"/>
      <c r="O187" s="3"/>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5.75" customHeight="1">
      <c r="A188" s="1"/>
      <c r="B188" s="1"/>
      <c r="C188" s="3"/>
      <c r="D188" s="1"/>
      <c r="E188" s="1"/>
      <c r="F188" s="1"/>
      <c r="G188" s="1"/>
      <c r="H188" s="1"/>
      <c r="I188" s="1"/>
      <c r="J188" s="1"/>
      <c r="K188" s="1"/>
      <c r="L188" s="1"/>
      <c r="M188" s="1"/>
      <c r="N188" s="1"/>
      <c r="O188" s="3"/>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5.75" customHeight="1">
      <c r="A189" s="1"/>
      <c r="B189" s="1"/>
      <c r="C189" s="3"/>
      <c r="D189" s="1"/>
      <c r="E189" s="1"/>
      <c r="F189" s="1"/>
      <c r="G189" s="1"/>
      <c r="H189" s="1"/>
      <c r="I189" s="1"/>
      <c r="J189" s="1"/>
      <c r="K189" s="1"/>
      <c r="L189" s="1"/>
      <c r="M189" s="1"/>
      <c r="N189" s="1"/>
      <c r="O189" s="3"/>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5.75" customHeight="1">
      <c r="A190" s="1"/>
      <c r="B190" s="1"/>
      <c r="C190" s="3"/>
      <c r="D190" s="1"/>
      <c r="E190" s="1"/>
      <c r="F190" s="1"/>
      <c r="G190" s="1"/>
      <c r="H190" s="1"/>
      <c r="I190" s="1"/>
      <c r="J190" s="1"/>
      <c r="K190" s="1"/>
      <c r="L190" s="1"/>
      <c r="M190" s="1"/>
      <c r="N190" s="1"/>
      <c r="O190" s="3"/>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5.75" customHeight="1">
      <c r="A191" s="1"/>
      <c r="B191" s="1"/>
      <c r="C191" s="3"/>
      <c r="D191" s="1"/>
      <c r="E191" s="1"/>
      <c r="F191" s="1"/>
      <c r="G191" s="1"/>
      <c r="H191" s="1"/>
      <c r="I191" s="1"/>
      <c r="J191" s="1"/>
      <c r="K191" s="1"/>
      <c r="L191" s="1"/>
      <c r="M191" s="1"/>
      <c r="N191" s="1"/>
      <c r="O191" s="3"/>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15.75" customHeight="1">
      <c r="A192" s="1"/>
      <c r="B192" s="1"/>
      <c r="C192" s="3"/>
      <c r="D192" s="1"/>
      <c r="E192" s="1"/>
      <c r="F192" s="1"/>
      <c r="G192" s="1"/>
      <c r="H192" s="1"/>
      <c r="I192" s="1"/>
      <c r="J192" s="1"/>
      <c r="K192" s="1"/>
      <c r="L192" s="1"/>
      <c r="M192" s="1"/>
      <c r="N192" s="1"/>
      <c r="O192" s="3"/>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5.75" customHeight="1">
      <c r="A193" s="1"/>
      <c r="B193" s="1"/>
      <c r="C193" s="3"/>
      <c r="D193" s="1"/>
      <c r="E193" s="1"/>
      <c r="F193" s="1"/>
      <c r="G193" s="1"/>
      <c r="H193" s="1"/>
      <c r="I193" s="1"/>
      <c r="J193" s="1"/>
      <c r="K193" s="1"/>
      <c r="L193" s="1"/>
      <c r="M193" s="1"/>
      <c r="N193" s="1"/>
      <c r="O193" s="3"/>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5.75" customHeight="1">
      <c r="A194" s="1"/>
      <c r="B194" s="1"/>
      <c r="C194" s="3"/>
      <c r="D194" s="1"/>
      <c r="E194" s="1"/>
      <c r="F194" s="1"/>
      <c r="G194" s="1"/>
      <c r="H194" s="1"/>
      <c r="I194" s="1"/>
      <c r="J194" s="1"/>
      <c r="K194" s="1"/>
      <c r="L194" s="1"/>
      <c r="M194" s="1"/>
      <c r="N194" s="1"/>
      <c r="O194" s="3"/>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5.75" customHeight="1">
      <c r="A195" s="1"/>
      <c r="B195" s="1"/>
      <c r="C195" s="3"/>
      <c r="D195" s="1"/>
      <c r="E195" s="1"/>
      <c r="F195" s="1"/>
      <c r="G195" s="1"/>
      <c r="H195" s="1"/>
      <c r="I195" s="1"/>
      <c r="J195" s="1"/>
      <c r="K195" s="1"/>
      <c r="L195" s="1"/>
      <c r="M195" s="1"/>
      <c r="N195" s="1"/>
      <c r="O195" s="3"/>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5.75" customHeight="1">
      <c r="A196" s="1"/>
      <c r="B196" s="1"/>
      <c r="C196" s="3"/>
      <c r="D196" s="1"/>
      <c r="E196" s="1"/>
      <c r="F196" s="1"/>
      <c r="G196" s="1"/>
      <c r="H196" s="1"/>
      <c r="I196" s="1"/>
      <c r="J196" s="1"/>
      <c r="K196" s="1"/>
      <c r="L196" s="1"/>
      <c r="M196" s="1"/>
      <c r="N196" s="1"/>
      <c r="O196" s="3"/>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15.75" customHeight="1">
      <c r="A197" s="1"/>
      <c r="B197" s="1"/>
      <c r="C197" s="3"/>
      <c r="D197" s="1"/>
      <c r="E197" s="1"/>
      <c r="F197" s="1"/>
      <c r="G197" s="1"/>
      <c r="H197" s="1"/>
      <c r="I197" s="1"/>
      <c r="J197" s="1"/>
      <c r="K197" s="1"/>
      <c r="L197" s="1"/>
      <c r="M197" s="1"/>
      <c r="N197" s="1"/>
      <c r="O197" s="3"/>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5.75" customHeight="1">
      <c r="A198" s="1"/>
      <c r="B198" s="1"/>
      <c r="C198" s="3"/>
      <c r="D198" s="1"/>
      <c r="E198" s="1"/>
      <c r="F198" s="1"/>
      <c r="G198" s="1"/>
      <c r="H198" s="1"/>
      <c r="I198" s="1"/>
      <c r="J198" s="1"/>
      <c r="K198" s="1"/>
      <c r="L198" s="1"/>
      <c r="M198" s="1"/>
      <c r="N198" s="1"/>
      <c r="O198" s="3"/>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15.75" customHeight="1">
      <c r="A199" s="1"/>
      <c r="B199" s="1"/>
      <c r="C199" s="3"/>
      <c r="D199" s="1"/>
      <c r="E199" s="1"/>
      <c r="F199" s="1"/>
      <c r="G199" s="1"/>
      <c r="H199" s="1"/>
      <c r="I199" s="1"/>
      <c r="J199" s="1"/>
      <c r="K199" s="1"/>
      <c r="L199" s="1"/>
      <c r="M199" s="1"/>
      <c r="N199" s="1"/>
      <c r="O199" s="3"/>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ht="15.75" customHeight="1">
      <c r="A200" s="1"/>
      <c r="B200" s="1"/>
      <c r="C200" s="3"/>
      <c r="D200" s="1"/>
      <c r="E200" s="1"/>
      <c r="F200" s="1"/>
      <c r="G200" s="1"/>
      <c r="H200" s="1"/>
      <c r="I200" s="1"/>
      <c r="J200" s="1"/>
      <c r="K200" s="1"/>
      <c r="L200" s="1"/>
      <c r="M200" s="1"/>
      <c r="N200" s="1"/>
      <c r="O200" s="3"/>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ht="15.75" customHeight="1">
      <c r="A201" s="1"/>
      <c r="B201" s="1"/>
      <c r="C201" s="3"/>
      <c r="D201" s="1"/>
      <c r="E201" s="1"/>
      <c r="F201" s="1"/>
      <c r="G201" s="1"/>
      <c r="H201" s="1"/>
      <c r="I201" s="1"/>
      <c r="J201" s="1"/>
      <c r="K201" s="1"/>
      <c r="L201" s="1"/>
      <c r="M201" s="1"/>
      <c r="N201" s="1"/>
      <c r="O201" s="3"/>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ht="15.75" customHeight="1">
      <c r="A202" s="1"/>
      <c r="B202" s="1"/>
      <c r="C202" s="3"/>
      <c r="D202" s="1"/>
      <c r="E202" s="1"/>
      <c r="F202" s="1"/>
      <c r="G202" s="1"/>
      <c r="H202" s="1"/>
      <c r="I202" s="1"/>
      <c r="J202" s="1"/>
      <c r="K202" s="1"/>
      <c r="L202" s="1"/>
      <c r="M202" s="1"/>
      <c r="N202" s="1"/>
      <c r="O202" s="3"/>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ht="15.75" customHeight="1">
      <c r="A203" s="1"/>
      <c r="B203" s="1"/>
      <c r="C203" s="3"/>
      <c r="D203" s="1"/>
      <c r="E203" s="1"/>
      <c r="F203" s="1"/>
      <c r="G203" s="1"/>
      <c r="H203" s="1"/>
      <c r="I203" s="1"/>
      <c r="J203" s="1"/>
      <c r="K203" s="1"/>
      <c r="L203" s="1"/>
      <c r="M203" s="1"/>
      <c r="N203" s="1"/>
      <c r="O203" s="3"/>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ht="15.75" customHeight="1">
      <c r="A204" s="1"/>
      <c r="B204" s="1"/>
      <c r="C204" s="3"/>
      <c r="D204" s="1"/>
      <c r="E204" s="1"/>
      <c r="F204" s="1"/>
      <c r="G204" s="1"/>
      <c r="H204" s="1"/>
      <c r="I204" s="1"/>
      <c r="J204" s="1"/>
      <c r="K204" s="1"/>
      <c r="L204" s="1"/>
      <c r="M204" s="1"/>
      <c r="N204" s="1"/>
      <c r="O204" s="3"/>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ht="15.75" customHeight="1">
      <c r="A205" s="1"/>
      <c r="B205" s="1"/>
      <c r="C205" s="3"/>
      <c r="D205" s="1"/>
      <c r="E205" s="1"/>
      <c r="F205" s="1"/>
      <c r="G205" s="1"/>
      <c r="H205" s="1"/>
      <c r="I205" s="1"/>
      <c r="J205" s="1"/>
      <c r="K205" s="1"/>
      <c r="L205" s="1"/>
      <c r="M205" s="1"/>
      <c r="N205" s="1"/>
      <c r="O205" s="3"/>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ht="15.75" customHeight="1">
      <c r="A206" s="1"/>
      <c r="B206" s="1"/>
      <c r="C206" s="3"/>
      <c r="D206" s="1"/>
      <c r="E206" s="1"/>
      <c r="F206" s="1"/>
      <c r="G206" s="1"/>
      <c r="H206" s="1"/>
      <c r="I206" s="1"/>
      <c r="J206" s="1"/>
      <c r="K206" s="1"/>
      <c r="L206" s="1"/>
      <c r="M206" s="1"/>
      <c r="N206" s="1"/>
      <c r="O206" s="3"/>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ht="15.75" customHeight="1">
      <c r="A207" s="1"/>
      <c r="B207" s="1"/>
      <c r="C207" s="3"/>
      <c r="D207" s="1"/>
      <c r="E207" s="1"/>
      <c r="F207" s="1"/>
      <c r="G207" s="1"/>
      <c r="H207" s="1"/>
      <c r="I207" s="1"/>
      <c r="J207" s="1"/>
      <c r="K207" s="1"/>
      <c r="L207" s="1"/>
      <c r="M207" s="1"/>
      <c r="N207" s="1"/>
      <c r="O207" s="3"/>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ht="15.75" customHeight="1">
      <c r="A208" s="1"/>
      <c r="B208" s="1"/>
      <c r="C208" s="3"/>
      <c r="D208" s="1"/>
      <c r="E208" s="1"/>
      <c r="F208" s="1"/>
      <c r="G208" s="1"/>
      <c r="H208" s="1"/>
      <c r="I208" s="1"/>
      <c r="J208" s="1"/>
      <c r="K208" s="1"/>
      <c r="L208" s="1"/>
      <c r="M208" s="1"/>
      <c r="N208" s="1"/>
      <c r="O208" s="3"/>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ht="15.75" customHeight="1">
      <c r="A209" s="1"/>
      <c r="B209" s="1"/>
      <c r="C209" s="3"/>
      <c r="D209" s="1"/>
      <c r="E209" s="1"/>
      <c r="F209" s="1"/>
      <c r="G209" s="1"/>
      <c r="H209" s="1"/>
      <c r="I209" s="1"/>
      <c r="J209" s="1"/>
      <c r="K209" s="1"/>
      <c r="L209" s="1"/>
      <c r="M209" s="1"/>
      <c r="N209" s="1"/>
      <c r="O209" s="3"/>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ht="15.75" customHeight="1">
      <c r="A210" s="1"/>
      <c r="B210" s="1"/>
      <c r="C210" s="3"/>
      <c r="D210" s="1"/>
      <c r="E210" s="1"/>
      <c r="F210" s="1"/>
      <c r="G210" s="1"/>
      <c r="H210" s="1"/>
      <c r="I210" s="1"/>
      <c r="J210" s="1"/>
      <c r="K210" s="1"/>
      <c r="L210" s="1"/>
      <c r="M210" s="1"/>
      <c r="N210" s="1"/>
      <c r="O210" s="3"/>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ht="15.75" customHeight="1">
      <c r="A211" s="1"/>
      <c r="B211" s="1"/>
      <c r="C211" s="3"/>
      <c r="D211" s="1"/>
      <c r="E211" s="1"/>
      <c r="F211" s="1"/>
      <c r="G211" s="1"/>
      <c r="H211" s="1"/>
      <c r="I211" s="1"/>
      <c r="J211" s="1"/>
      <c r="K211" s="1"/>
      <c r="L211" s="1"/>
      <c r="M211" s="1"/>
      <c r="N211" s="1"/>
      <c r="O211" s="3"/>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ht="15.75" customHeight="1">
      <c r="A212" s="1"/>
      <c r="B212" s="1"/>
      <c r="C212" s="3"/>
      <c r="D212" s="1"/>
      <c r="E212" s="1"/>
      <c r="F212" s="1"/>
      <c r="G212" s="1"/>
      <c r="H212" s="1"/>
      <c r="I212" s="1"/>
      <c r="J212" s="1"/>
      <c r="K212" s="1"/>
      <c r="L212" s="1"/>
      <c r="M212" s="1"/>
      <c r="N212" s="1"/>
      <c r="O212" s="3"/>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ht="15.75" customHeight="1">
      <c r="A213" s="1"/>
      <c r="B213" s="1"/>
      <c r="C213" s="3"/>
      <c r="D213" s="1"/>
      <c r="E213" s="1"/>
      <c r="F213" s="1"/>
      <c r="G213" s="1"/>
      <c r="H213" s="1"/>
      <c r="I213" s="1"/>
      <c r="J213" s="1"/>
      <c r="K213" s="1"/>
      <c r="L213" s="1"/>
      <c r="M213" s="1"/>
      <c r="N213" s="1"/>
      <c r="O213" s="3"/>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ht="15.75" customHeight="1">
      <c r="A214" s="1"/>
      <c r="B214" s="1"/>
      <c r="C214" s="3"/>
      <c r="D214" s="1"/>
      <c r="E214" s="1"/>
      <c r="F214" s="1"/>
      <c r="G214" s="1"/>
      <c r="H214" s="1"/>
      <c r="I214" s="1"/>
      <c r="J214" s="1"/>
      <c r="K214" s="1"/>
      <c r="L214" s="1"/>
      <c r="M214" s="1"/>
      <c r="N214" s="1"/>
      <c r="O214" s="3"/>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ht="15.75" customHeight="1">
      <c r="A215" s="1"/>
      <c r="B215" s="1"/>
      <c r="C215" s="3"/>
      <c r="D215" s="1"/>
      <c r="E215" s="1"/>
      <c r="F215" s="1"/>
      <c r="G215" s="1"/>
      <c r="H215" s="1"/>
      <c r="I215" s="1"/>
      <c r="J215" s="1"/>
      <c r="K215" s="1"/>
      <c r="L215" s="1"/>
      <c r="M215" s="1"/>
      <c r="N215" s="1"/>
      <c r="O215" s="3"/>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ht="15.75" customHeight="1">
      <c r="A216" s="1"/>
      <c r="B216" s="1"/>
      <c r="C216" s="3"/>
      <c r="D216" s="1"/>
      <c r="E216" s="1"/>
      <c r="F216" s="1"/>
      <c r="G216" s="1"/>
      <c r="H216" s="1"/>
      <c r="I216" s="1"/>
      <c r="J216" s="1"/>
      <c r="K216" s="1"/>
      <c r="L216" s="1"/>
      <c r="M216" s="1"/>
      <c r="N216" s="1"/>
      <c r="O216" s="3"/>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ht="15.75" customHeight="1">
      <c r="A217" s="1"/>
      <c r="B217" s="1"/>
      <c r="C217" s="3"/>
      <c r="D217" s="1"/>
      <c r="E217" s="1"/>
      <c r="F217" s="1"/>
      <c r="G217" s="1"/>
      <c r="H217" s="1"/>
      <c r="I217" s="1"/>
      <c r="J217" s="1"/>
      <c r="K217" s="1"/>
      <c r="L217" s="1"/>
      <c r="M217" s="1"/>
      <c r="N217" s="1"/>
      <c r="O217" s="3"/>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ht="15.75" customHeight="1">
      <c r="A218" s="1"/>
      <c r="B218" s="1"/>
      <c r="C218" s="3"/>
      <c r="D218" s="1"/>
      <c r="E218" s="1"/>
      <c r="F218" s="1"/>
      <c r="G218" s="1"/>
      <c r="H218" s="1"/>
      <c r="I218" s="1"/>
      <c r="J218" s="1"/>
      <c r="K218" s="1"/>
      <c r="L218" s="1"/>
      <c r="M218" s="1"/>
      <c r="N218" s="1"/>
      <c r="O218" s="3"/>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ht="15.75" customHeight="1">
      <c r="A219" s="1"/>
      <c r="B219" s="1"/>
      <c r="C219" s="3"/>
      <c r="D219" s="1"/>
      <c r="E219" s="1"/>
      <c r="F219" s="1"/>
      <c r="G219" s="1"/>
      <c r="H219" s="1"/>
      <c r="I219" s="1"/>
      <c r="J219" s="1"/>
      <c r="K219" s="1"/>
      <c r="L219" s="1"/>
      <c r="M219" s="1"/>
      <c r="N219" s="1"/>
      <c r="O219" s="3"/>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ht="15.75" customHeight="1">
      <c r="A220" s="1"/>
      <c r="B220" s="1"/>
      <c r="C220" s="3"/>
      <c r="D220" s="1"/>
      <c r="E220" s="1"/>
      <c r="F220" s="1"/>
      <c r="G220" s="1"/>
      <c r="H220" s="1"/>
      <c r="I220" s="1"/>
      <c r="J220" s="1"/>
      <c r="K220" s="1"/>
      <c r="L220" s="1"/>
      <c r="M220" s="1"/>
      <c r="N220" s="1"/>
      <c r="O220" s="3"/>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ht="15.75" customHeight="1">
      <c r="A221" s="1"/>
      <c r="B221" s="1"/>
      <c r="C221" s="3"/>
      <c r="D221" s="1"/>
      <c r="E221" s="1"/>
      <c r="F221" s="1"/>
      <c r="G221" s="1"/>
      <c r="H221" s="1"/>
      <c r="I221" s="1"/>
      <c r="J221" s="1"/>
      <c r="K221" s="1"/>
      <c r="L221" s="1"/>
      <c r="M221" s="1"/>
      <c r="N221" s="1"/>
      <c r="O221" s="3"/>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ht="15.75" customHeight="1">
      <c r="A222" s="1"/>
      <c r="B222" s="1"/>
      <c r="C222" s="3"/>
      <c r="D222" s="1"/>
      <c r="E222" s="1"/>
      <c r="F222" s="1"/>
      <c r="G222" s="1"/>
      <c r="H222" s="1"/>
      <c r="I222" s="1"/>
      <c r="J222" s="1"/>
      <c r="K222" s="1"/>
      <c r="L222" s="1"/>
      <c r="M222" s="1"/>
      <c r="N222" s="1"/>
      <c r="O222" s="3"/>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ht="15.75" customHeight="1">
      <c r="A223" s="1"/>
      <c r="B223" s="1"/>
      <c r="C223" s="3"/>
      <c r="D223" s="1"/>
      <c r="E223" s="1"/>
      <c r="F223" s="1"/>
      <c r="G223" s="1"/>
      <c r="H223" s="1"/>
      <c r="I223" s="1"/>
      <c r="J223" s="1"/>
      <c r="K223" s="1"/>
      <c r="L223" s="1"/>
      <c r="M223" s="1"/>
      <c r="N223" s="1"/>
      <c r="O223" s="3"/>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ht="15.75" customHeight="1">
      <c r="A224" s="1"/>
      <c r="B224" s="1"/>
      <c r="C224" s="3"/>
      <c r="D224" s="1"/>
      <c r="E224" s="1"/>
      <c r="F224" s="1"/>
      <c r="G224" s="1"/>
      <c r="H224" s="1"/>
      <c r="I224" s="1"/>
      <c r="J224" s="1"/>
      <c r="K224" s="1"/>
      <c r="L224" s="1"/>
      <c r="M224" s="1"/>
      <c r="N224" s="1"/>
      <c r="O224" s="3"/>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ht="15.75" customHeight="1">
      <c r="A225" s="1"/>
      <c r="B225" s="1"/>
      <c r="C225" s="3"/>
      <c r="D225" s="1"/>
      <c r="E225" s="1"/>
      <c r="F225" s="1"/>
      <c r="G225" s="1"/>
      <c r="H225" s="1"/>
      <c r="I225" s="1"/>
      <c r="J225" s="1"/>
      <c r="K225" s="1"/>
      <c r="L225" s="1"/>
      <c r="M225" s="1"/>
      <c r="N225" s="1"/>
      <c r="O225" s="3"/>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ht="15.75" customHeight="1">
      <c r="A226" s="1"/>
      <c r="B226" s="1"/>
      <c r="C226" s="3"/>
      <c r="D226" s="1"/>
      <c r="E226" s="1"/>
      <c r="F226" s="1"/>
      <c r="G226" s="1"/>
      <c r="H226" s="1"/>
      <c r="I226" s="1"/>
      <c r="J226" s="1"/>
      <c r="K226" s="1"/>
      <c r="L226" s="1"/>
      <c r="M226" s="1"/>
      <c r="N226" s="1"/>
      <c r="O226" s="3"/>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ht="15.75" customHeight="1">
      <c r="A227" s="1"/>
      <c r="B227" s="1"/>
      <c r="C227" s="3"/>
      <c r="D227" s="1"/>
      <c r="E227" s="1"/>
      <c r="F227" s="1"/>
      <c r="G227" s="1"/>
      <c r="H227" s="1"/>
      <c r="I227" s="1"/>
      <c r="J227" s="1"/>
      <c r="K227" s="1"/>
      <c r="L227" s="1"/>
      <c r="M227" s="1"/>
      <c r="N227" s="1"/>
      <c r="O227" s="3"/>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ht="15.75" customHeight="1">
      <c r="A228" s="1"/>
      <c r="B228" s="1"/>
      <c r="C228" s="3"/>
      <c r="D228" s="1"/>
      <c r="E228" s="1"/>
      <c r="F228" s="1"/>
      <c r="G228" s="1"/>
      <c r="H228" s="1"/>
      <c r="I228" s="1"/>
      <c r="J228" s="1"/>
      <c r="K228" s="1"/>
      <c r="L228" s="1"/>
      <c r="M228" s="1"/>
      <c r="N228" s="1"/>
      <c r="O228" s="3"/>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ht="15.75" customHeight="1">
      <c r="A229" s="1"/>
      <c r="B229" s="1"/>
      <c r="C229" s="3"/>
      <c r="D229" s="1"/>
      <c r="E229" s="1"/>
      <c r="F229" s="1"/>
      <c r="G229" s="1"/>
      <c r="H229" s="1"/>
      <c r="I229" s="1"/>
      <c r="J229" s="1"/>
      <c r="K229" s="1"/>
      <c r="L229" s="1"/>
      <c r="M229" s="1"/>
      <c r="N229" s="1"/>
      <c r="O229" s="3"/>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ht="15.75" customHeight="1">
      <c r="A230" s="1"/>
      <c r="B230" s="1"/>
      <c r="C230" s="3"/>
      <c r="D230" s="1"/>
      <c r="E230" s="1"/>
      <c r="F230" s="1"/>
      <c r="G230" s="1"/>
      <c r="H230" s="1"/>
      <c r="I230" s="1"/>
      <c r="J230" s="1"/>
      <c r="K230" s="1"/>
      <c r="L230" s="1"/>
      <c r="M230" s="1"/>
      <c r="N230" s="1"/>
      <c r="O230" s="3"/>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ht="15.75" customHeight="1">
      <c r="A231" s="1"/>
      <c r="B231" s="1"/>
      <c r="C231" s="3"/>
      <c r="D231" s="1"/>
      <c r="E231" s="1"/>
      <c r="F231" s="1"/>
      <c r="G231" s="1"/>
      <c r="H231" s="1"/>
      <c r="I231" s="1"/>
      <c r="J231" s="1"/>
      <c r="K231" s="1"/>
      <c r="L231" s="1"/>
      <c r="M231" s="1"/>
      <c r="N231" s="1"/>
      <c r="O231" s="3"/>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ht="15.75" customHeight="1">
      <c r="A232" s="1"/>
      <c r="B232" s="1"/>
      <c r="C232" s="3"/>
      <c r="D232" s="1"/>
      <c r="E232" s="1"/>
      <c r="F232" s="1"/>
      <c r="G232" s="1"/>
      <c r="H232" s="1"/>
      <c r="I232" s="1"/>
      <c r="J232" s="1"/>
      <c r="K232" s="1"/>
      <c r="L232" s="1"/>
      <c r="M232" s="1"/>
      <c r="N232" s="1"/>
      <c r="O232" s="3"/>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ht="15.75" customHeight="1">
      <c r="A233" s="1"/>
      <c r="B233" s="1"/>
      <c r="C233" s="3"/>
      <c r="D233" s="1"/>
      <c r="E233" s="1"/>
      <c r="F233" s="1"/>
      <c r="G233" s="1"/>
      <c r="H233" s="1"/>
      <c r="I233" s="1"/>
      <c r="J233" s="1"/>
      <c r="K233" s="1"/>
      <c r="L233" s="1"/>
      <c r="M233" s="1"/>
      <c r="N233" s="1"/>
      <c r="O233" s="3"/>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ht="15.75" customHeight="1">
      <c r="A234" s="1"/>
      <c r="B234" s="1"/>
      <c r="C234" s="3"/>
      <c r="D234" s="1"/>
      <c r="E234" s="1"/>
      <c r="F234" s="1"/>
      <c r="G234" s="1"/>
      <c r="H234" s="1"/>
      <c r="I234" s="1"/>
      <c r="J234" s="1"/>
      <c r="K234" s="1"/>
      <c r="L234" s="1"/>
      <c r="M234" s="1"/>
      <c r="N234" s="1"/>
      <c r="O234" s="3"/>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ht="15.75" customHeight="1">
      <c r="A235" s="1"/>
      <c r="B235" s="1"/>
      <c r="C235" s="3"/>
      <c r="D235" s="1"/>
      <c r="E235" s="1"/>
      <c r="F235" s="1"/>
      <c r="G235" s="1"/>
      <c r="H235" s="1"/>
      <c r="I235" s="1"/>
      <c r="J235" s="1"/>
      <c r="K235" s="1"/>
      <c r="L235" s="1"/>
      <c r="M235" s="1"/>
      <c r="N235" s="1"/>
      <c r="O235" s="3"/>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ht="15.75" customHeight="1">
      <c r="A236" s="1"/>
      <c r="B236" s="1"/>
      <c r="C236" s="3"/>
      <c r="D236" s="1"/>
      <c r="E236" s="1"/>
      <c r="F236" s="1"/>
      <c r="G236" s="1"/>
      <c r="H236" s="1"/>
      <c r="I236" s="1"/>
      <c r="J236" s="1"/>
      <c r="K236" s="1"/>
      <c r="L236" s="1"/>
      <c r="M236" s="1"/>
      <c r="N236" s="1"/>
      <c r="O236" s="3"/>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ht="15.75" customHeight="1">
      <c r="A237" s="1"/>
      <c r="B237" s="1"/>
      <c r="C237" s="3"/>
      <c r="D237" s="1"/>
      <c r="E237" s="1"/>
      <c r="F237" s="1"/>
      <c r="G237" s="1"/>
      <c r="H237" s="1"/>
      <c r="I237" s="1"/>
      <c r="J237" s="1"/>
      <c r="K237" s="1"/>
      <c r="L237" s="1"/>
      <c r="M237" s="1"/>
      <c r="N237" s="1"/>
      <c r="O237" s="3"/>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ht="15.75" customHeight="1">
      <c r="A238" s="1"/>
      <c r="B238" s="1"/>
      <c r="C238" s="3"/>
      <c r="D238" s="1"/>
      <c r="E238" s="1"/>
      <c r="F238" s="1"/>
      <c r="G238" s="1"/>
      <c r="H238" s="1"/>
      <c r="I238" s="1"/>
      <c r="J238" s="1"/>
      <c r="K238" s="1"/>
      <c r="L238" s="1"/>
      <c r="M238" s="1"/>
      <c r="N238" s="1"/>
      <c r="O238" s="3"/>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ht="15.75" customHeight="1">
      <c r="A239" s="1"/>
      <c r="B239" s="1"/>
      <c r="C239" s="3"/>
      <c r="D239" s="1"/>
      <c r="E239" s="1"/>
      <c r="F239" s="1"/>
      <c r="G239" s="1"/>
      <c r="H239" s="1"/>
      <c r="I239" s="1"/>
      <c r="J239" s="1"/>
      <c r="K239" s="1"/>
      <c r="L239" s="1"/>
      <c r="M239" s="1"/>
      <c r="N239" s="1"/>
      <c r="O239" s="3"/>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ht="15.75" customHeight="1">
      <c r="A240" s="1"/>
      <c r="B240" s="1"/>
      <c r="C240" s="3"/>
      <c r="D240" s="1"/>
      <c r="E240" s="1"/>
      <c r="F240" s="1"/>
      <c r="G240" s="1"/>
      <c r="H240" s="1"/>
      <c r="I240" s="1"/>
      <c r="J240" s="1"/>
      <c r="K240" s="1"/>
      <c r="L240" s="1"/>
      <c r="M240" s="1"/>
      <c r="N240" s="1"/>
      <c r="O240" s="3"/>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ht="15.75" customHeight="1">
      <c r="A241" s="1"/>
      <c r="B241" s="1"/>
      <c r="C241" s="3"/>
      <c r="D241" s="1"/>
      <c r="E241" s="1"/>
      <c r="F241" s="1"/>
      <c r="G241" s="1"/>
      <c r="H241" s="1"/>
      <c r="I241" s="1"/>
      <c r="J241" s="1"/>
      <c r="K241" s="1"/>
      <c r="L241" s="1"/>
      <c r="M241" s="1"/>
      <c r="N241" s="1"/>
      <c r="O241" s="3"/>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ht="15.75" customHeight="1">
      <c r="A242" s="1"/>
      <c r="B242" s="1"/>
      <c r="C242" s="3"/>
      <c r="D242" s="1"/>
      <c r="E242" s="1"/>
      <c r="F242" s="1"/>
      <c r="G242" s="1"/>
      <c r="H242" s="1"/>
      <c r="I242" s="1"/>
      <c r="J242" s="1"/>
      <c r="K242" s="1"/>
      <c r="L242" s="1"/>
      <c r="M242" s="1"/>
      <c r="N242" s="1"/>
      <c r="O242" s="3"/>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ht="15.75" customHeight="1">
      <c r="A243" s="1"/>
      <c r="B243" s="1"/>
      <c r="C243" s="3"/>
      <c r="D243" s="1"/>
      <c r="E243" s="1"/>
      <c r="F243" s="1"/>
      <c r="G243" s="1"/>
      <c r="H243" s="1"/>
      <c r="I243" s="1"/>
      <c r="J243" s="1"/>
      <c r="K243" s="1"/>
      <c r="L243" s="1"/>
      <c r="M243" s="1"/>
      <c r="N243" s="1"/>
      <c r="O243" s="3"/>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ht="15.75" customHeight="1">
      <c r="A244" s="1"/>
      <c r="B244" s="1"/>
      <c r="C244" s="3"/>
      <c r="D244" s="1"/>
      <c r="E244" s="1"/>
      <c r="F244" s="1"/>
      <c r="G244" s="1"/>
      <c r="H244" s="1"/>
      <c r="I244" s="1"/>
      <c r="J244" s="1"/>
      <c r="K244" s="1"/>
      <c r="L244" s="1"/>
      <c r="M244" s="1"/>
      <c r="N244" s="1"/>
      <c r="O244" s="3"/>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ht="15.75" customHeight="1">
      <c r="A245" s="1"/>
      <c r="B245" s="1"/>
      <c r="C245" s="3"/>
      <c r="D245" s="1"/>
      <c r="E245" s="1"/>
      <c r="F245" s="1"/>
      <c r="G245" s="1"/>
      <c r="H245" s="1"/>
      <c r="I245" s="1"/>
      <c r="J245" s="1"/>
      <c r="K245" s="1"/>
      <c r="L245" s="1"/>
      <c r="M245" s="1"/>
      <c r="N245" s="1"/>
      <c r="O245" s="3"/>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ht="15.75" customHeight="1">
      <c r="A246" s="1"/>
      <c r="B246" s="1"/>
      <c r="C246" s="3"/>
      <c r="D246" s="1"/>
      <c r="E246" s="1"/>
      <c r="F246" s="1"/>
      <c r="G246" s="1"/>
      <c r="H246" s="1"/>
      <c r="I246" s="1"/>
      <c r="J246" s="1"/>
      <c r="K246" s="1"/>
      <c r="L246" s="1"/>
      <c r="M246" s="1"/>
      <c r="N246" s="1"/>
      <c r="O246" s="3"/>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ht="15.75" customHeight="1">
      <c r="A247" s="1"/>
      <c r="B247" s="1"/>
      <c r="C247" s="3"/>
      <c r="D247" s="1"/>
      <c r="E247" s="1"/>
      <c r="F247" s="1"/>
      <c r="G247" s="1"/>
      <c r="H247" s="1"/>
      <c r="I247" s="1"/>
      <c r="J247" s="1"/>
      <c r="K247" s="1"/>
      <c r="L247" s="1"/>
      <c r="M247" s="1"/>
      <c r="N247" s="1"/>
      <c r="O247" s="3"/>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ht="15.75" customHeight="1">
      <c r="A248" s="1"/>
      <c r="B248" s="1"/>
      <c r="C248" s="3"/>
      <c r="D248" s="1"/>
      <c r="E248" s="1"/>
      <c r="F248" s="1"/>
      <c r="G248" s="1"/>
      <c r="H248" s="1"/>
      <c r="I248" s="1"/>
      <c r="J248" s="1"/>
      <c r="K248" s="1"/>
      <c r="L248" s="1"/>
      <c r="M248" s="1"/>
      <c r="N248" s="1"/>
      <c r="O248" s="3"/>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ht="15.75" customHeight="1">
      <c r="A249" s="1"/>
      <c r="B249" s="1"/>
      <c r="C249" s="3"/>
      <c r="D249" s="1"/>
      <c r="E249" s="1"/>
      <c r="F249" s="1"/>
      <c r="G249" s="1"/>
      <c r="H249" s="1"/>
      <c r="I249" s="1"/>
      <c r="J249" s="1"/>
      <c r="K249" s="1"/>
      <c r="L249" s="1"/>
      <c r="M249" s="1"/>
      <c r="N249" s="1"/>
      <c r="O249" s="3"/>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ht="15.75" customHeight="1">
      <c r="A250" s="1"/>
      <c r="B250" s="1"/>
      <c r="C250" s="3"/>
      <c r="D250" s="1"/>
      <c r="E250" s="1"/>
      <c r="F250" s="1"/>
      <c r="G250" s="1"/>
      <c r="H250" s="1"/>
      <c r="I250" s="1"/>
      <c r="J250" s="1"/>
      <c r="K250" s="1"/>
      <c r="L250" s="1"/>
      <c r="M250" s="1"/>
      <c r="N250" s="1"/>
      <c r="O250" s="3"/>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ht="15.75" customHeight="1">
      <c r="A251" s="1"/>
      <c r="B251" s="1"/>
      <c r="C251" s="3"/>
      <c r="D251" s="1"/>
      <c r="E251" s="1"/>
      <c r="F251" s="1"/>
      <c r="G251" s="1"/>
      <c r="H251" s="1"/>
      <c r="I251" s="1"/>
      <c r="J251" s="1"/>
      <c r="K251" s="1"/>
      <c r="L251" s="1"/>
      <c r="M251" s="1"/>
      <c r="N251" s="1"/>
      <c r="O251" s="3"/>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5:$O$46"/>
  <mergeCells count="16">
    <mergeCell ref="J1:K1"/>
    <mergeCell ref="M1:N1"/>
    <mergeCell ref="D2:E2"/>
    <mergeCell ref="B3:C3"/>
    <mergeCell ref="H3:I3"/>
    <mergeCell ref="B4:C4"/>
    <mergeCell ref="B5:C5"/>
    <mergeCell ref="N13:N14"/>
    <mergeCell ref="O13:O14"/>
    <mergeCell ref="B13:B14"/>
    <mergeCell ref="C13:D13"/>
    <mergeCell ref="E13:G13"/>
    <mergeCell ref="H13:I13"/>
    <mergeCell ref="J13:K13"/>
    <mergeCell ref="L13:L14"/>
    <mergeCell ref="M13:M1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24.0"/>
    <col customWidth="1" min="2" max="2" width="67.0"/>
    <col customWidth="1" min="3" max="3" width="19.5"/>
    <col customWidth="1" min="4" max="4" width="14.25"/>
    <col customWidth="1" min="6" max="6" width="17.75"/>
  </cols>
  <sheetData>
    <row r="1" ht="15.75" hidden="1" customHeight="1">
      <c r="A1" s="191" t="str">
        <f>IF(C1&lt;&gt;"", "Có giá trị", "")</f>
        <v>Có giá trị</v>
      </c>
      <c r="B1" s="192" t="s">
        <v>714</v>
      </c>
      <c r="C1" s="192" t="s">
        <v>724</v>
      </c>
      <c r="D1" s="192" t="s">
        <v>725</v>
      </c>
      <c r="E1" s="192" t="s">
        <v>715</v>
      </c>
      <c r="F1" s="192" t="s">
        <v>726</v>
      </c>
      <c r="G1" s="192" t="s">
        <v>727</v>
      </c>
      <c r="H1" s="192" t="s">
        <v>728</v>
      </c>
      <c r="I1" s="192" t="s">
        <v>729</v>
      </c>
      <c r="J1" s="192" t="s">
        <v>730</v>
      </c>
      <c r="K1" s="192" t="s">
        <v>731</v>
      </c>
      <c r="L1" s="192" t="s">
        <v>732</v>
      </c>
      <c r="M1" s="192" t="s">
        <v>733</v>
      </c>
      <c r="N1" s="192" t="s">
        <v>734</v>
      </c>
      <c r="O1" s="192" t="s">
        <v>735</v>
      </c>
      <c r="P1" s="192" t="s">
        <v>736</v>
      </c>
      <c r="Q1" s="192" t="s">
        <v>737</v>
      </c>
      <c r="R1" s="192" t="s">
        <v>738</v>
      </c>
      <c r="S1" s="330" t="s">
        <v>739</v>
      </c>
      <c r="T1" s="330" t="s">
        <v>740</v>
      </c>
      <c r="U1" s="192" t="s">
        <v>741</v>
      </c>
      <c r="V1" s="192" t="s">
        <v>742</v>
      </c>
      <c r="W1" s="331" t="s">
        <v>743</v>
      </c>
      <c r="X1" s="331" t="s">
        <v>744</v>
      </c>
      <c r="Y1" s="192" t="s">
        <v>745</v>
      </c>
      <c r="Z1" s="192" t="s">
        <v>746</v>
      </c>
      <c r="AA1" s="192" t="s">
        <v>747</v>
      </c>
      <c r="AB1" s="192" t="s">
        <v>748</v>
      </c>
    </row>
    <row r="2" ht="15.75" hidden="1" customHeight="1">
      <c r="A2" s="202">
        <v>5.158911395E9</v>
      </c>
      <c r="B2" s="109" t="s">
        <v>749</v>
      </c>
      <c r="C2" s="109" t="s">
        <v>750</v>
      </c>
      <c r="D2" s="109" t="s">
        <v>97</v>
      </c>
      <c r="E2" s="109" t="s">
        <v>97</v>
      </c>
      <c r="F2" s="109" t="s">
        <v>97</v>
      </c>
      <c r="G2" s="109" t="s">
        <v>97</v>
      </c>
      <c r="H2" s="109" t="s">
        <v>97</v>
      </c>
      <c r="I2" s="202">
        <v>67.0</v>
      </c>
      <c r="J2" s="202">
        <v>100.0</v>
      </c>
      <c r="K2" s="201">
        <v>26.0</v>
      </c>
      <c r="L2" s="204">
        <v>0.3881</v>
      </c>
      <c r="M2" s="202">
        <v>28.0</v>
      </c>
      <c r="N2" s="202">
        <v>4.0</v>
      </c>
      <c r="O2" s="201">
        <v>11.0</v>
      </c>
      <c r="P2" s="202">
        <v>42.0</v>
      </c>
      <c r="Q2" s="204">
        <v>0.1642</v>
      </c>
      <c r="R2" s="202">
        <v>7.0</v>
      </c>
      <c r="S2" s="202">
        <v>21.0</v>
      </c>
      <c r="T2" s="201">
        <v>1258799.0</v>
      </c>
      <c r="U2" s="204">
        <v>0.1045</v>
      </c>
      <c r="V2" s="202">
        <v>6.0</v>
      </c>
      <c r="W2" s="202">
        <v>16.0</v>
      </c>
      <c r="X2" s="201">
        <v>871299.0</v>
      </c>
      <c r="Y2" s="204">
        <v>0.0896</v>
      </c>
      <c r="Z2" s="204">
        <v>0.8571</v>
      </c>
      <c r="AA2" s="204">
        <v>0.0</v>
      </c>
      <c r="AB2" s="202">
        <v>0.0</v>
      </c>
    </row>
    <row r="3" ht="15.75" hidden="1" customHeight="1">
      <c r="A3" s="202">
        <v>5.158911395E9</v>
      </c>
      <c r="B3" s="109" t="s">
        <v>749</v>
      </c>
      <c r="C3" s="109" t="s">
        <v>750</v>
      </c>
      <c r="D3" s="202">
        <v>9.3855942766E10</v>
      </c>
      <c r="E3" s="109" t="s">
        <v>751</v>
      </c>
      <c r="F3" s="109" t="s">
        <v>750</v>
      </c>
      <c r="G3" s="109" t="s">
        <v>97</v>
      </c>
      <c r="H3" s="109"/>
      <c r="I3" s="109" t="s">
        <v>97</v>
      </c>
      <c r="J3" s="109" t="s">
        <v>97</v>
      </c>
      <c r="K3" s="216" t="s">
        <v>97</v>
      </c>
      <c r="L3" s="109" t="s">
        <v>97</v>
      </c>
      <c r="M3" s="109" t="s">
        <v>97</v>
      </c>
      <c r="N3" s="109" t="s">
        <v>97</v>
      </c>
      <c r="O3" s="201">
        <v>1.0</v>
      </c>
      <c r="P3" s="202">
        <v>1.0</v>
      </c>
      <c r="Q3" s="109" t="s">
        <v>97</v>
      </c>
      <c r="R3" s="202">
        <v>1.0</v>
      </c>
      <c r="S3" s="202">
        <v>1.0</v>
      </c>
      <c r="T3" s="201">
        <v>73600.0</v>
      </c>
      <c r="U3" s="109" t="s">
        <v>97</v>
      </c>
      <c r="V3" s="202">
        <v>1.0</v>
      </c>
      <c r="W3" s="202">
        <v>1.0</v>
      </c>
      <c r="X3" s="201">
        <v>73600.0</v>
      </c>
      <c r="Y3" s="109" t="s">
        <v>97</v>
      </c>
      <c r="Z3" s="204">
        <v>1.0</v>
      </c>
      <c r="AA3" s="204">
        <v>0.0</v>
      </c>
      <c r="AB3" s="202">
        <v>0.0</v>
      </c>
    </row>
    <row r="4" ht="15.75" hidden="1" customHeight="1">
      <c r="A4" s="202">
        <v>5.158911395E9</v>
      </c>
      <c r="B4" s="109" t="s">
        <v>749</v>
      </c>
      <c r="C4" s="109" t="s">
        <v>750</v>
      </c>
      <c r="D4" s="202">
        <v>9.3855942767E10</v>
      </c>
      <c r="E4" s="109" t="s">
        <v>752</v>
      </c>
      <c r="F4" s="109" t="s">
        <v>750</v>
      </c>
      <c r="G4" s="109" t="s">
        <v>97</v>
      </c>
      <c r="H4" s="109"/>
      <c r="I4" s="109" t="s">
        <v>97</v>
      </c>
      <c r="J4" s="109" t="s">
        <v>97</v>
      </c>
      <c r="K4" s="216" t="s">
        <v>97</v>
      </c>
      <c r="L4" s="109" t="s">
        <v>97</v>
      </c>
      <c r="M4" s="109" t="s">
        <v>97</v>
      </c>
      <c r="N4" s="109" t="s">
        <v>97</v>
      </c>
      <c r="O4" s="201">
        <v>8.0</v>
      </c>
      <c r="P4" s="202">
        <v>37.0</v>
      </c>
      <c r="Q4" s="109" t="s">
        <v>97</v>
      </c>
      <c r="R4" s="202">
        <v>4.0</v>
      </c>
      <c r="S4" s="202">
        <v>12.0</v>
      </c>
      <c r="T4" s="201">
        <v>747199.0</v>
      </c>
      <c r="U4" s="109" t="s">
        <v>97</v>
      </c>
      <c r="V4" s="202">
        <v>3.0</v>
      </c>
      <c r="W4" s="202">
        <v>7.0</v>
      </c>
      <c r="X4" s="201">
        <v>359699.0</v>
      </c>
      <c r="Y4" s="109" t="s">
        <v>97</v>
      </c>
      <c r="Z4" s="204">
        <v>0.75</v>
      </c>
      <c r="AA4" s="204">
        <v>0.0</v>
      </c>
      <c r="AB4" s="202">
        <v>0.0</v>
      </c>
    </row>
    <row r="5" ht="15.75" hidden="1" customHeight="1">
      <c r="A5" s="202">
        <v>5.158911395E9</v>
      </c>
      <c r="B5" s="109" t="s">
        <v>749</v>
      </c>
      <c r="C5" s="109" t="s">
        <v>750</v>
      </c>
      <c r="D5" s="202">
        <v>9.3855942768E10</v>
      </c>
      <c r="E5" s="109" t="s">
        <v>753</v>
      </c>
      <c r="F5" s="109" t="s">
        <v>750</v>
      </c>
      <c r="G5" s="109" t="s">
        <v>97</v>
      </c>
      <c r="H5" s="109"/>
      <c r="I5" s="109" t="s">
        <v>97</v>
      </c>
      <c r="J5" s="109" t="s">
        <v>97</v>
      </c>
      <c r="K5" s="216" t="s">
        <v>97</v>
      </c>
      <c r="L5" s="109" t="s">
        <v>97</v>
      </c>
      <c r="M5" s="109" t="s">
        <v>97</v>
      </c>
      <c r="N5" s="109" t="s">
        <v>97</v>
      </c>
      <c r="O5" s="201">
        <v>2.0</v>
      </c>
      <c r="P5" s="202">
        <v>4.0</v>
      </c>
      <c r="Q5" s="109" t="s">
        <v>97</v>
      </c>
      <c r="R5" s="202">
        <v>2.0</v>
      </c>
      <c r="S5" s="202">
        <v>8.0</v>
      </c>
      <c r="T5" s="201">
        <v>438000.0</v>
      </c>
      <c r="U5" s="109" t="s">
        <v>97</v>
      </c>
      <c r="V5" s="202">
        <v>2.0</v>
      </c>
      <c r="W5" s="202">
        <v>8.0</v>
      </c>
      <c r="X5" s="201">
        <v>438000.0</v>
      </c>
      <c r="Y5" s="109" t="s">
        <v>97</v>
      </c>
      <c r="Z5" s="204">
        <v>1.0</v>
      </c>
      <c r="AA5" s="204">
        <v>0.0</v>
      </c>
      <c r="AB5" s="202">
        <v>0.0</v>
      </c>
    </row>
    <row r="6" ht="15.75" hidden="1" customHeight="1">
      <c r="A6" s="202">
        <v>5.519393895E9</v>
      </c>
      <c r="B6" s="109" t="s">
        <v>754</v>
      </c>
      <c r="C6" s="109" t="s">
        <v>750</v>
      </c>
      <c r="D6" s="109" t="s">
        <v>97</v>
      </c>
      <c r="E6" s="109" t="s">
        <v>97</v>
      </c>
      <c r="F6" s="109" t="s">
        <v>97</v>
      </c>
      <c r="G6" s="109" t="s">
        <v>97</v>
      </c>
      <c r="H6" s="109" t="s">
        <v>97</v>
      </c>
      <c r="I6" s="202">
        <v>135.0</v>
      </c>
      <c r="J6" s="202">
        <v>382.0</v>
      </c>
      <c r="K6" s="201">
        <v>23.0</v>
      </c>
      <c r="L6" s="204">
        <v>0.1704</v>
      </c>
      <c r="M6" s="202">
        <v>53.0</v>
      </c>
      <c r="N6" s="202">
        <v>20.0</v>
      </c>
      <c r="O6" s="201">
        <v>35.0</v>
      </c>
      <c r="P6" s="202">
        <v>78.0</v>
      </c>
      <c r="Q6" s="204">
        <v>0.2593</v>
      </c>
      <c r="R6" s="202">
        <v>14.0</v>
      </c>
      <c r="S6" s="202">
        <v>18.0</v>
      </c>
      <c r="T6" s="201">
        <v>1.0068387E7</v>
      </c>
      <c r="U6" s="204">
        <v>0.1037</v>
      </c>
      <c r="V6" s="202">
        <v>13.0</v>
      </c>
      <c r="W6" s="202">
        <v>16.0</v>
      </c>
      <c r="X6" s="201">
        <v>8563267.0</v>
      </c>
      <c r="Y6" s="204">
        <v>0.0963</v>
      </c>
      <c r="Z6" s="204">
        <v>0.9286</v>
      </c>
      <c r="AA6" s="204">
        <v>0.1333</v>
      </c>
      <c r="AB6" s="332">
        <v>45785.0</v>
      </c>
    </row>
    <row r="7" ht="15.75" hidden="1" customHeight="1">
      <c r="A7" s="202">
        <v>5.519393895E9</v>
      </c>
      <c r="B7" s="109" t="s">
        <v>754</v>
      </c>
      <c r="C7" s="109" t="s">
        <v>750</v>
      </c>
      <c r="D7" s="202">
        <v>7.6595553673E10</v>
      </c>
      <c r="E7" s="109" t="s">
        <v>755</v>
      </c>
      <c r="F7" s="109" t="s">
        <v>750</v>
      </c>
      <c r="G7" s="109" t="s">
        <v>756</v>
      </c>
      <c r="H7" s="109"/>
      <c r="I7" s="109" t="s">
        <v>97</v>
      </c>
      <c r="J7" s="109" t="s">
        <v>97</v>
      </c>
      <c r="K7" s="216" t="s">
        <v>97</v>
      </c>
      <c r="L7" s="109" t="s">
        <v>97</v>
      </c>
      <c r="M7" s="109" t="s">
        <v>97</v>
      </c>
      <c r="N7" s="109" t="s">
        <v>97</v>
      </c>
      <c r="O7" s="201">
        <v>20.0</v>
      </c>
      <c r="P7" s="202">
        <v>42.0</v>
      </c>
      <c r="Q7" s="109" t="s">
        <v>97</v>
      </c>
      <c r="R7" s="202">
        <v>9.0</v>
      </c>
      <c r="S7" s="202">
        <v>11.0</v>
      </c>
      <c r="T7" s="201">
        <v>4900987.0</v>
      </c>
      <c r="U7" s="109" t="s">
        <v>97</v>
      </c>
      <c r="V7" s="202">
        <v>9.0</v>
      </c>
      <c r="W7" s="202">
        <v>11.0</v>
      </c>
      <c r="X7" s="201">
        <v>4900987.0</v>
      </c>
      <c r="Y7" s="109" t="s">
        <v>97</v>
      </c>
      <c r="Z7" s="204">
        <v>1.0</v>
      </c>
      <c r="AA7" s="204">
        <v>0.1</v>
      </c>
      <c r="AB7" s="202">
        <v>17.0</v>
      </c>
    </row>
    <row r="8" ht="15.75" hidden="1" customHeight="1">
      <c r="A8" s="202">
        <v>5.519393895E9</v>
      </c>
      <c r="B8" s="109" t="s">
        <v>754</v>
      </c>
      <c r="C8" s="109" t="s">
        <v>750</v>
      </c>
      <c r="D8" s="202">
        <v>7.6595553674E10</v>
      </c>
      <c r="E8" s="109" t="s">
        <v>757</v>
      </c>
      <c r="F8" s="109" t="s">
        <v>750</v>
      </c>
      <c r="G8" s="109" t="s">
        <v>758</v>
      </c>
      <c r="H8" s="109"/>
      <c r="I8" s="109" t="s">
        <v>97</v>
      </c>
      <c r="J8" s="109" t="s">
        <v>97</v>
      </c>
      <c r="K8" s="216" t="s">
        <v>97</v>
      </c>
      <c r="L8" s="109" t="s">
        <v>97</v>
      </c>
      <c r="M8" s="109" t="s">
        <v>97</v>
      </c>
      <c r="N8" s="109" t="s">
        <v>97</v>
      </c>
      <c r="O8" s="201">
        <v>20.0</v>
      </c>
      <c r="P8" s="202">
        <v>36.0</v>
      </c>
      <c r="Q8" s="109" t="s">
        <v>97</v>
      </c>
      <c r="R8" s="202">
        <v>5.0</v>
      </c>
      <c r="S8" s="202">
        <v>7.0</v>
      </c>
      <c r="T8" s="201">
        <v>5167400.0</v>
      </c>
      <c r="U8" s="109" t="s">
        <v>97</v>
      </c>
      <c r="V8" s="202">
        <v>4.0</v>
      </c>
      <c r="W8" s="202">
        <v>5.0</v>
      </c>
      <c r="X8" s="201">
        <v>3662280.0</v>
      </c>
      <c r="Y8" s="109" t="s">
        <v>97</v>
      </c>
      <c r="Z8" s="204">
        <v>0.8</v>
      </c>
      <c r="AA8" s="204">
        <v>0.2</v>
      </c>
      <c r="AB8" s="202">
        <v>0.0</v>
      </c>
    </row>
    <row r="9" ht="15.75" hidden="1" customHeight="1">
      <c r="A9" s="202">
        <v>2.5666719442E10</v>
      </c>
      <c r="B9" s="109" t="s">
        <v>759</v>
      </c>
      <c r="C9" s="109" t="s">
        <v>750</v>
      </c>
      <c r="D9" s="109" t="s">
        <v>97</v>
      </c>
      <c r="E9" s="109" t="s">
        <v>97</v>
      </c>
      <c r="F9" s="109" t="s">
        <v>97</v>
      </c>
      <c r="G9" s="109" t="s">
        <v>97</v>
      </c>
      <c r="H9" s="109" t="s">
        <v>97</v>
      </c>
      <c r="I9" s="202">
        <v>176.0</v>
      </c>
      <c r="J9" s="202">
        <v>436.0</v>
      </c>
      <c r="K9" s="201">
        <v>35.0</v>
      </c>
      <c r="L9" s="204">
        <v>0.1989</v>
      </c>
      <c r="M9" s="202">
        <v>38.0</v>
      </c>
      <c r="N9" s="202">
        <v>4.0</v>
      </c>
      <c r="O9" s="201">
        <v>44.0</v>
      </c>
      <c r="P9" s="202">
        <v>88.0</v>
      </c>
      <c r="Q9" s="204">
        <v>0.25</v>
      </c>
      <c r="R9" s="202">
        <v>13.0</v>
      </c>
      <c r="S9" s="202">
        <v>18.0</v>
      </c>
      <c r="T9" s="201">
        <v>1.2377576E7</v>
      </c>
      <c r="U9" s="204">
        <v>0.0739</v>
      </c>
      <c r="V9" s="202">
        <v>12.0</v>
      </c>
      <c r="W9" s="202">
        <v>17.0</v>
      </c>
      <c r="X9" s="201">
        <v>1.1798576E7</v>
      </c>
      <c r="Y9" s="204">
        <v>0.0682</v>
      </c>
      <c r="Z9" s="204">
        <v>0.9231</v>
      </c>
      <c r="AA9" s="204">
        <v>0.1429</v>
      </c>
      <c r="AB9" s="109" t="s">
        <v>760</v>
      </c>
    </row>
    <row r="10" ht="15.75" hidden="1" customHeight="1">
      <c r="A10" s="202">
        <v>2.5666719442E10</v>
      </c>
      <c r="B10" s="109" t="s">
        <v>759</v>
      </c>
      <c r="C10" s="109" t="s">
        <v>750</v>
      </c>
      <c r="D10" s="202">
        <v>2.55410547718E11</v>
      </c>
      <c r="E10" s="109" t="s">
        <v>761</v>
      </c>
      <c r="F10" s="109" t="s">
        <v>750</v>
      </c>
      <c r="G10" s="109" t="s">
        <v>762</v>
      </c>
      <c r="H10" s="109"/>
      <c r="I10" s="109" t="s">
        <v>97</v>
      </c>
      <c r="J10" s="109" t="s">
        <v>97</v>
      </c>
      <c r="K10" s="216" t="s">
        <v>97</v>
      </c>
      <c r="L10" s="109" t="s">
        <v>97</v>
      </c>
      <c r="M10" s="109" t="s">
        <v>97</v>
      </c>
      <c r="N10" s="109" t="s">
        <v>97</v>
      </c>
      <c r="O10" s="201">
        <v>24.0</v>
      </c>
      <c r="P10" s="202">
        <v>34.0</v>
      </c>
      <c r="Q10" s="109" t="s">
        <v>97</v>
      </c>
      <c r="R10" s="202">
        <v>6.0</v>
      </c>
      <c r="S10" s="202">
        <v>7.0</v>
      </c>
      <c r="T10" s="201">
        <v>3109526.0</v>
      </c>
      <c r="U10" s="109" t="s">
        <v>97</v>
      </c>
      <c r="V10" s="202">
        <v>5.0</v>
      </c>
      <c r="W10" s="202">
        <v>6.0</v>
      </c>
      <c r="X10" s="201">
        <v>2530526.0</v>
      </c>
      <c r="Y10" s="109" t="s">
        <v>97</v>
      </c>
      <c r="Z10" s="204">
        <v>0.83</v>
      </c>
      <c r="AA10" s="204">
        <v>0.1667</v>
      </c>
      <c r="AB10" s="202">
        <v>1.0</v>
      </c>
    </row>
    <row r="11" ht="15.75" hidden="1" customHeight="1">
      <c r="A11" s="202">
        <v>2.5666719442E10</v>
      </c>
      <c r="B11" s="109" t="s">
        <v>759</v>
      </c>
      <c r="C11" s="109" t="s">
        <v>750</v>
      </c>
      <c r="D11" s="202">
        <v>2.55410547719E11</v>
      </c>
      <c r="E11" s="109" t="s">
        <v>721</v>
      </c>
      <c r="F11" s="109" t="s">
        <v>750</v>
      </c>
      <c r="G11" s="109" t="s">
        <v>763</v>
      </c>
      <c r="H11" s="109"/>
      <c r="I11" s="109" t="s">
        <v>97</v>
      </c>
      <c r="J11" s="109" t="s">
        <v>97</v>
      </c>
      <c r="K11" s="109" t="s">
        <v>97</v>
      </c>
      <c r="L11" s="109" t="s">
        <v>97</v>
      </c>
      <c r="M11" s="109" t="s">
        <v>97</v>
      </c>
      <c r="N11" s="109" t="s">
        <v>97</v>
      </c>
      <c r="O11" s="202">
        <v>28.0</v>
      </c>
      <c r="P11" s="202">
        <v>54.0</v>
      </c>
      <c r="Q11" s="109" t="s">
        <v>97</v>
      </c>
      <c r="R11" s="202">
        <v>8.0</v>
      </c>
      <c r="S11" s="202">
        <v>11.0</v>
      </c>
      <c r="T11" s="201">
        <v>9268050.0</v>
      </c>
      <c r="U11" s="109" t="s">
        <v>97</v>
      </c>
      <c r="V11" s="202">
        <v>8.0</v>
      </c>
      <c r="W11" s="202">
        <v>11.0</v>
      </c>
      <c r="X11" s="201">
        <v>9268050.0</v>
      </c>
      <c r="Y11" s="109" t="s">
        <v>97</v>
      </c>
      <c r="Z11" s="204">
        <v>1.0</v>
      </c>
      <c r="AA11" s="204">
        <v>0.0</v>
      </c>
      <c r="AB11" s="202">
        <v>0.0</v>
      </c>
    </row>
    <row r="12" ht="15.75" hidden="1" customHeight="1">
      <c r="A12" s="202">
        <v>8.782633181E9</v>
      </c>
      <c r="B12" s="109" t="s">
        <v>764</v>
      </c>
      <c r="C12" s="109" t="s">
        <v>750</v>
      </c>
      <c r="D12" s="109" t="s">
        <v>97</v>
      </c>
      <c r="E12" s="109" t="s">
        <v>97</v>
      </c>
      <c r="F12" s="109" t="s">
        <v>97</v>
      </c>
      <c r="G12" s="109" t="s">
        <v>97</v>
      </c>
      <c r="H12" s="109" t="s">
        <v>765</v>
      </c>
      <c r="I12" s="202">
        <v>152.0</v>
      </c>
      <c r="J12" s="202">
        <v>320.0</v>
      </c>
      <c r="K12" s="201">
        <v>36.0</v>
      </c>
      <c r="L12" s="204">
        <v>0.2368</v>
      </c>
      <c r="M12" s="202">
        <v>48.0</v>
      </c>
      <c r="N12" s="202">
        <v>5.0</v>
      </c>
      <c r="O12" s="201">
        <v>18.0</v>
      </c>
      <c r="P12" s="202">
        <v>48.0</v>
      </c>
      <c r="Q12" s="204">
        <v>0.1184</v>
      </c>
      <c r="R12" s="202">
        <v>7.0</v>
      </c>
      <c r="S12" s="202">
        <v>13.0</v>
      </c>
      <c r="T12" s="201">
        <v>1.623231E7</v>
      </c>
      <c r="U12" s="204">
        <v>0.0461</v>
      </c>
      <c r="V12" s="202">
        <v>6.0</v>
      </c>
      <c r="W12" s="202">
        <v>11.0</v>
      </c>
      <c r="X12" s="201">
        <v>1.348526E7</v>
      </c>
      <c r="Y12" s="204">
        <v>0.0395</v>
      </c>
      <c r="Z12" s="204">
        <v>0.8571</v>
      </c>
      <c r="AA12" s="204">
        <v>0.3333</v>
      </c>
      <c r="AB12" s="332">
        <v>45722.0</v>
      </c>
    </row>
    <row r="13" ht="15.75" hidden="1" customHeight="1">
      <c r="A13" s="202">
        <v>2.486748184E10</v>
      </c>
      <c r="B13" s="109" t="s">
        <v>766</v>
      </c>
      <c r="C13" s="109" t="s">
        <v>750</v>
      </c>
      <c r="D13" s="109" t="s">
        <v>97</v>
      </c>
      <c r="E13" s="109" t="s">
        <v>97</v>
      </c>
      <c r="F13" s="109" t="s">
        <v>97</v>
      </c>
      <c r="G13" s="109" t="s">
        <v>97</v>
      </c>
      <c r="H13" s="109" t="s">
        <v>97</v>
      </c>
      <c r="I13" s="202">
        <v>76.0</v>
      </c>
      <c r="J13" s="202">
        <v>207.0</v>
      </c>
      <c r="K13" s="201">
        <v>14.0</v>
      </c>
      <c r="L13" s="204">
        <v>0.1842</v>
      </c>
      <c r="M13" s="202">
        <v>24.0</v>
      </c>
      <c r="N13" s="202">
        <v>9.0</v>
      </c>
      <c r="O13" s="202">
        <v>21.0</v>
      </c>
      <c r="P13" s="202">
        <v>29.0</v>
      </c>
      <c r="Q13" s="204">
        <v>0.2763</v>
      </c>
      <c r="R13" s="202">
        <v>8.0</v>
      </c>
      <c r="S13" s="202">
        <v>10.0</v>
      </c>
      <c r="T13" s="201">
        <v>3067450.0</v>
      </c>
      <c r="U13" s="204">
        <v>0.1053</v>
      </c>
      <c r="V13" s="202">
        <v>7.0</v>
      </c>
      <c r="W13" s="202">
        <v>8.0</v>
      </c>
      <c r="X13" s="201">
        <v>2422490.0</v>
      </c>
      <c r="Y13" s="204">
        <v>0.0921</v>
      </c>
      <c r="Z13" s="204">
        <v>0.875</v>
      </c>
      <c r="AA13" s="204">
        <v>0.0</v>
      </c>
      <c r="AB13" s="202">
        <v>0.0</v>
      </c>
    </row>
    <row r="14" ht="15.75" hidden="1" customHeight="1">
      <c r="A14" s="202">
        <v>2.486748184E10</v>
      </c>
      <c r="B14" s="109" t="s">
        <v>766</v>
      </c>
      <c r="C14" s="109" t="s">
        <v>750</v>
      </c>
      <c r="D14" s="202">
        <v>6.9751100999E10</v>
      </c>
      <c r="E14" s="109" t="s">
        <v>721</v>
      </c>
      <c r="F14" s="109" t="s">
        <v>750</v>
      </c>
      <c r="G14" s="109" t="s">
        <v>767</v>
      </c>
      <c r="H14" s="109"/>
      <c r="I14" s="109" t="s">
        <v>97</v>
      </c>
      <c r="J14" s="109" t="s">
        <v>97</v>
      </c>
      <c r="K14" s="216" t="s">
        <v>97</v>
      </c>
      <c r="L14" s="109" t="s">
        <v>97</v>
      </c>
      <c r="M14" s="109" t="s">
        <v>97</v>
      </c>
      <c r="N14" s="109" t="s">
        <v>97</v>
      </c>
      <c r="O14" s="201">
        <v>20.0</v>
      </c>
      <c r="P14" s="202">
        <v>29.0</v>
      </c>
      <c r="Q14" s="109" t="s">
        <v>97</v>
      </c>
      <c r="R14" s="202">
        <v>8.0</v>
      </c>
      <c r="S14" s="202">
        <v>10.0</v>
      </c>
      <c r="T14" s="201">
        <v>3067450.0</v>
      </c>
      <c r="U14" s="109" t="s">
        <v>97</v>
      </c>
      <c r="V14" s="202">
        <v>7.0</v>
      </c>
      <c r="W14" s="202">
        <v>8.0</v>
      </c>
      <c r="X14" s="201">
        <v>2422490.0</v>
      </c>
      <c r="Y14" s="109" t="s">
        <v>97</v>
      </c>
      <c r="Z14" s="204">
        <v>0.88</v>
      </c>
      <c r="AA14" s="204">
        <v>0.0</v>
      </c>
      <c r="AB14" s="202">
        <v>0.0</v>
      </c>
    </row>
    <row r="15" ht="15.75" hidden="1" customHeight="1">
      <c r="A15" s="202">
        <v>6.917016018E9</v>
      </c>
      <c r="B15" s="109" t="s">
        <v>768</v>
      </c>
      <c r="C15" s="109" t="s">
        <v>750</v>
      </c>
      <c r="D15" s="109" t="s">
        <v>97</v>
      </c>
      <c r="E15" s="109" t="s">
        <v>97</v>
      </c>
      <c r="F15" s="109" t="s">
        <v>97</v>
      </c>
      <c r="G15" s="109" t="s">
        <v>97</v>
      </c>
      <c r="H15" s="109" t="s">
        <v>97</v>
      </c>
      <c r="I15" s="202">
        <v>73.0</v>
      </c>
      <c r="J15" s="202">
        <v>165.0</v>
      </c>
      <c r="K15" s="201">
        <v>17.0</v>
      </c>
      <c r="L15" s="204">
        <v>0.2329</v>
      </c>
      <c r="M15" s="202">
        <v>28.0</v>
      </c>
      <c r="N15" s="202">
        <v>2.0</v>
      </c>
      <c r="O15" s="201">
        <v>13.0</v>
      </c>
      <c r="P15" s="202">
        <v>32.0</v>
      </c>
      <c r="Q15" s="204">
        <v>0.1781</v>
      </c>
      <c r="R15" s="202">
        <v>5.0</v>
      </c>
      <c r="S15" s="202">
        <v>7.0</v>
      </c>
      <c r="T15" s="201">
        <v>1535774.0</v>
      </c>
      <c r="U15" s="204">
        <v>0.0685</v>
      </c>
      <c r="V15" s="202">
        <v>3.0</v>
      </c>
      <c r="W15" s="202">
        <v>5.0</v>
      </c>
      <c r="X15" s="201">
        <v>1001820.0</v>
      </c>
      <c r="Y15" s="204">
        <v>0.0411</v>
      </c>
      <c r="Z15" s="204">
        <v>0.6</v>
      </c>
      <c r="AA15" s="204">
        <v>0.25</v>
      </c>
      <c r="AB15" s="202">
        <v>12.0</v>
      </c>
    </row>
    <row r="16" ht="15.75" hidden="1" customHeight="1">
      <c r="A16" s="202">
        <v>6.917016018E9</v>
      </c>
      <c r="B16" s="109" t="s">
        <v>768</v>
      </c>
      <c r="C16" s="109" t="s">
        <v>750</v>
      </c>
      <c r="D16" s="202">
        <v>1.21223345683E11</v>
      </c>
      <c r="E16" s="109" t="s">
        <v>769</v>
      </c>
      <c r="F16" s="109" t="s">
        <v>750</v>
      </c>
      <c r="G16" s="109" t="s">
        <v>770</v>
      </c>
      <c r="H16" s="109"/>
      <c r="I16" s="109" t="s">
        <v>97</v>
      </c>
      <c r="J16" s="109" t="s">
        <v>97</v>
      </c>
      <c r="K16" s="216" t="s">
        <v>97</v>
      </c>
      <c r="L16" s="109" t="s">
        <v>97</v>
      </c>
      <c r="M16" s="109" t="s">
        <v>97</v>
      </c>
      <c r="N16" s="109" t="s">
        <v>97</v>
      </c>
      <c r="O16" s="201">
        <v>11.0</v>
      </c>
      <c r="P16" s="202">
        <v>22.0</v>
      </c>
      <c r="Q16" s="109" t="s">
        <v>97</v>
      </c>
      <c r="R16" s="202">
        <v>4.0</v>
      </c>
      <c r="S16" s="202">
        <v>4.0</v>
      </c>
      <c r="T16" s="201">
        <v>605820.0</v>
      </c>
      <c r="U16" s="109" t="s">
        <v>97</v>
      </c>
      <c r="V16" s="202">
        <v>3.0</v>
      </c>
      <c r="W16" s="202">
        <v>3.0</v>
      </c>
      <c r="X16" s="201">
        <v>437820.0</v>
      </c>
      <c r="Y16" s="109" t="s">
        <v>97</v>
      </c>
      <c r="Z16" s="204">
        <v>0.75</v>
      </c>
      <c r="AA16" s="204">
        <v>0.0</v>
      </c>
      <c r="AB16" s="202">
        <v>0.0</v>
      </c>
    </row>
    <row r="17" ht="15.75" hidden="1" customHeight="1">
      <c r="A17" s="202">
        <v>6.917016018E9</v>
      </c>
      <c r="B17" s="109" t="s">
        <v>768</v>
      </c>
      <c r="C17" s="109" t="s">
        <v>750</v>
      </c>
      <c r="D17" s="202">
        <v>1.21223345684E11</v>
      </c>
      <c r="E17" s="109" t="s">
        <v>771</v>
      </c>
      <c r="F17" s="109" t="s">
        <v>750</v>
      </c>
      <c r="G17" s="109" t="s">
        <v>772</v>
      </c>
      <c r="H17" s="109"/>
      <c r="I17" s="109" t="s">
        <v>97</v>
      </c>
      <c r="J17" s="109" t="s">
        <v>97</v>
      </c>
      <c r="K17" s="216" t="s">
        <v>97</v>
      </c>
      <c r="L17" s="109" t="s">
        <v>97</v>
      </c>
      <c r="M17" s="109" t="s">
        <v>97</v>
      </c>
      <c r="N17" s="109" t="s">
        <v>97</v>
      </c>
      <c r="O17" s="201">
        <v>5.0</v>
      </c>
      <c r="P17" s="202">
        <v>10.0</v>
      </c>
      <c r="Q17" s="109" t="s">
        <v>97</v>
      </c>
      <c r="R17" s="202">
        <v>2.0</v>
      </c>
      <c r="S17" s="202">
        <v>3.0</v>
      </c>
      <c r="T17" s="201">
        <v>929954.0</v>
      </c>
      <c r="U17" s="109" t="s">
        <v>97</v>
      </c>
      <c r="V17" s="202">
        <v>1.0</v>
      </c>
      <c r="W17" s="202">
        <v>2.0</v>
      </c>
      <c r="X17" s="201">
        <v>564000.0</v>
      </c>
      <c r="Y17" s="109" t="s">
        <v>97</v>
      </c>
      <c r="Z17" s="204">
        <v>0.5</v>
      </c>
      <c r="AA17" s="204">
        <v>0.0</v>
      </c>
      <c r="AB17" s="202">
        <v>0.0</v>
      </c>
    </row>
    <row r="18" ht="15.75" hidden="1" customHeight="1">
      <c r="A18" s="202">
        <v>3.862340378E9</v>
      </c>
      <c r="B18" s="109" t="s">
        <v>269</v>
      </c>
      <c r="C18" s="109" t="s">
        <v>750</v>
      </c>
      <c r="D18" s="109" t="s">
        <v>97</v>
      </c>
      <c r="E18" s="109" t="s">
        <v>97</v>
      </c>
      <c r="F18" s="109" t="s">
        <v>97</v>
      </c>
      <c r="G18" s="109" t="s">
        <v>97</v>
      </c>
      <c r="H18" s="109" t="s">
        <v>773</v>
      </c>
      <c r="I18" s="202">
        <v>97.0</v>
      </c>
      <c r="J18" s="202">
        <v>172.0</v>
      </c>
      <c r="K18" s="201">
        <v>29.0</v>
      </c>
      <c r="L18" s="204">
        <v>0.299</v>
      </c>
      <c r="M18" s="202">
        <v>50.0</v>
      </c>
      <c r="N18" s="202">
        <v>7.0</v>
      </c>
      <c r="O18" s="201">
        <v>13.0</v>
      </c>
      <c r="P18" s="202">
        <v>14.0</v>
      </c>
      <c r="Q18" s="204">
        <v>0.134</v>
      </c>
      <c r="R18" s="202">
        <v>4.0</v>
      </c>
      <c r="S18" s="202">
        <v>5.0</v>
      </c>
      <c r="T18" s="201">
        <v>3925300.0</v>
      </c>
      <c r="U18" s="204">
        <v>0.0412</v>
      </c>
      <c r="V18" s="202">
        <v>4.0</v>
      </c>
      <c r="W18" s="202">
        <v>4.0</v>
      </c>
      <c r="X18" s="201">
        <v>3045300.0</v>
      </c>
      <c r="Y18" s="204">
        <v>0.0412</v>
      </c>
      <c r="Z18" s="204">
        <v>1.0</v>
      </c>
      <c r="AA18" s="204">
        <v>0.0</v>
      </c>
      <c r="AB18" s="202">
        <v>0.0</v>
      </c>
    </row>
    <row r="19" ht="15.75" hidden="1" customHeight="1">
      <c r="A19" s="202">
        <v>3.934257539E9</v>
      </c>
      <c r="B19" s="109" t="s">
        <v>774</v>
      </c>
      <c r="C19" s="109" t="s">
        <v>750</v>
      </c>
      <c r="D19" s="109" t="s">
        <v>97</v>
      </c>
      <c r="E19" s="109" t="s">
        <v>97</v>
      </c>
      <c r="F19" s="109" t="s">
        <v>97</v>
      </c>
      <c r="G19" s="109" t="s">
        <v>97</v>
      </c>
      <c r="H19" s="109" t="s">
        <v>775</v>
      </c>
      <c r="I19" s="202">
        <v>99.0</v>
      </c>
      <c r="J19" s="202">
        <v>185.0</v>
      </c>
      <c r="K19" s="201">
        <v>29.0</v>
      </c>
      <c r="L19" s="204">
        <v>0.2929</v>
      </c>
      <c r="M19" s="202">
        <v>56.0</v>
      </c>
      <c r="N19" s="202">
        <v>1.0</v>
      </c>
      <c r="O19" s="201">
        <v>13.0</v>
      </c>
      <c r="P19" s="202">
        <v>23.0</v>
      </c>
      <c r="Q19" s="204">
        <v>0.1313</v>
      </c>
      <c r="R19" s="202">
        <v>3.0</v>
      </c>
      <c r="S19" s="202">
        <v>3.0</v>
      </c>
      <c r="T19" s="201">
        <v>2186400.0</v>
      </c>
      <c r="U19" s="204">
        <v>0.0303</v>
      </c>
      <c r="V19" s="202">
        <v>3.0</v>
      </c>
      <c r="W19" s="202">
        <v>3.0</v>
      </c>
      <c r="X19" s="201">
        <v>2186400.0</v>
      </c>
      <c r="Y19" s="204">
        <v>0.0303</v>
      </c>
      <c r="Z19" s="204">
        <v>1.0</v>
      </c>
      <c r="AA19" s="204">
        <v>0.0</v>
      </c>
      <c r="AB19" s="202">
        <v>0.0</v>
      </c>
    </row>
    <row r="20" ht="15.75" hidden="1" customHeight="1">
      <c r="A20" s="202">
        <v>5.219966803E9</v>
      </c>
      <c r="B20" s="109" t="s">
        <v>776</v>
      </c>
      <c r="C20" s="109" t="s">
        <v>750</v>
      </c>
      <c r="D20" s="109" t="s">
        <v>97</v>
      </c>
      <c r="E20" s="109" t="s">
        <v>97</v>
      </c>
      <c r="F20" s="109" t="s">
        <v>97</v>
      </c>
      <c r="G20" s="109" t="s">
        <v>97</v>
      </c>
      <c r="H20" s="109" t="s">
        <v>777</v>
      </c>
      <c r="I20" s="202">
        <v>56.0</v>
      </c>
      <c r="J20" s="202">
        <v>114.0</v>
      </c>
      <c r="K20" s="201">
        <v>21.0</v>
      </c>
      <c r="L20" s="204">
        <v>0.375</v>
      </c>
      <c r="M20" s="202">
        <v>12.0</v>
      </c>
      <c r="N20" s="202">
        <v>0.0</v>
      </c>
      <c r="O20" s="201">
        <v>10.0</v>
      </c>
      <c r="P20" s="202">
        <v>14.0</v>
      </c>
      <c r="Q20" s="204">
        <v>0.1786</v>
      </c>
      <c r="R20" s="202">
        <v>2.0</v>
      </c>
      <c r="S20" s="202">
        <v>2.0</v>
      </c>
      <c r="T20" s="201">
        <v>1508083.0</v>
      </c>
      <c r="U20" s="204">
        <v>0.0357</v>
      </c>
      <c r="V20" s="202">
        <v>2.0</v>
      </c>
      <c r="W20" s="202">
        <v>2.0</v>
      </c>
      <c r="X20" s="201">
        <v>1508083.0</v>
      </c>
      <c r="Y20" s="204">
        <v>0.0357</v>
      </c>
      <c r="Z20" s="204">
        <v>1.0</v>
      </c>
      <c r="AA20" s="204">
        <v>0.0</v>
      </c>
      <c r="AB20" s="202">
        <v>0.0</v>
      </c>
    </row>
    <row r="21" ht="15.75" hidden="1" customHeight="1">
      <c r="A21" s="202">
        <v>2.4667488336E10</v>
      </c>
      <c r="B21" s="109" t="s">
        <v>778</v>
      </c>
      <c r="C21" s="109" t="s">
        <v>750</v>
      </c>
      <c r="D21" s="109" t="s">
        <v>97</v>
      </c>
      <c r="E21" s="109" t="s">
        <v>97</v>
      </c>
      <c r="F21" s="109" t="s">
        <v>97</v>
      </c>
      <c r="G21" s="109" t="s">
        <v>97</v>
      </c>
      <c r="H21" s="109" t="s">
        <v>779</v>
      </c>
      <c r="I21" s="202">
        <v>54.0</v>
      </c>
      <c r="J21" s="202">
        <v>84.0</v>
      </c>
      <c r="K21" s="201">
        <v>17.0</v>
      </c>
      <c r="L21" s="204">
        <v>0.3148</v>
      </c>
      <c r="M21" s="202">
        <v>14.0</v>
      </c>
      <c r="N21" s="202">
        <v>0.0</v>
      </c>
      <c r="O21" s="201">
        <v>5.0</v>
      </c>
      <c r="P21" s="202">
        <v>6.0</v>
      </c>
      <c r="Q21" s="204">
        <v>0.0926</v>
      </c>
      <c r="R21" s="202">
        <v>2.0</v>
      </c>
      <c r="S21" s="202">
        <v>2.0</v>
      </c>
      <c r="T21" s="201">
        <v>2104200.0</v>
      </c>
      <c r="U21" s="204">
        <v>0.037</v>
      </c>
      <c r="V21" s="202">
        <v>2.0</v>
      </c>
      <c r="W21" s="202">
        <v>2.0</v>
      </c>
      <c r="X21" s="201">
        <v>2104200.0</v>
      </c>
      <c r="Y21" s="204">
        <v>0.037</v>
      </c>
      <c r="Z21" s="204">
        <v>1.0</v>
      </c>
      <c r="AA21" s="204">
        <v>0.0</v>
      </c>
      <c r="AB21" s="202">
        <v>0.0</v>
      </c>
    </row>
    <row r="22" ht="15.75" hidden="1" customHeight="1">
      <c r="A22" s="202">
        <v>2.4667488336E10</v>
      </c>
      <c r="B22" s="109" t="s">
        <v>778</v>
      </c>
      <c r="C22" s="109" t="s">
        <v>750</v>
      </c>
      <c r="D22" s="202">
        <v>2.22571286446E11</v>
      </c>
      <c r="E22" s="109" t="s">
        <v>761</v>
      </c>
      <c r="F22" s="109" t="s">
        <v>750</v>
      </c>
      <c r="G22" s="109" t="s">
        <v>779</v>
      </c>
      <c r="H22" s="109" t="s">
        <v>779</v>
      </c>
      <c r="I22" s="109" t="s">
        <v>97</v>
      </c>
      <c r="J22" s="109" t="s">
        <v>97</v>
      </c>
      <c r="K22" s="216" t="s">
        <v>97</v>
      </c>
      <c r="L22" s="109" t="s">
        <v>97</v>
      </c>
      <c r="M22" s="109" t="s">
        <v>97</v>
      </c>
      <c r="N22" s="109" t="s">
        <v>97</v>
      </c>
      <c r="O22" s="201">
        <v>5.0</v>
      </c>
      <c r="P22" s="202">
        <v>6.0</v>
      </c>
      <c r="Q22" s="109" t="s">
        <v>97</v>
      </c>
      <c r="R22" s="202">
        <v>2.0</v>
      </c>
      <c r="S22" s="202">
        <v>2.0</v>
      </c>
      <c r="T22" s="201">
        <v>2104200.0</v>
      </c>
      <c r="U22" s="109" t="s">
        <v>97</v>
      </c>
      <c r="V22" s="202">
        <v>2.0</v>
      </c>
      <c r="W22" s="202">
        <v>2.0</v>
      </c>
      <c r="X22" s="201">
        <v>2104200.0</v>
      </c>
      <c r="Y22" s="109" t="s">
        <v>97</v>
      </c>
      <c r="Z22" s="204">
        <v>1.0</v>
      </c>
      <c r="AA22" s="204">
        <v>0.0</v>
      </c>
      <c r="AB22" s="202">
        <v>0.0</v>
      </c>
    </row>
    <row r="23" ht="15.75" hidden="1" customHeight="1">
      <c r="A23" s="202">
        <v>1.0014812415E10</v>
      </c>
      <c r="B23" s="109" t="s">
        <v>780</v>
      </c>
      <c r="C23" s="109" t="s">
        <v>750</v>
      </c>
      <c r="D23" s="109" t="s">
        <v>97</v>
      </c>
      <c r="E23" s="109" t="s">
        <v>97</v>
      </c>
      <c r="F23" s="109" t="s">
        <v>97</v>
      </c>
      <c r="G23" s="109" t="s">
        <v>97</v>
      </c>
      <c r="H23" s="109" t="s">
        <v>97</v>
      </c>
      <c r="I23" s="202">
        <v>40.0</v>
      </c>
      <c r="J23" s="202">
        <v>65.0</v>
      </c>
      <c r="K23" s="201">
        <v>12.0</v>
      </c>
      <c r="L23" s="204">
        <v>0.3</v>
      </c>
      <c r="M23" s="202">
        <v>8.0</v>
      </c>
      <c r="N23" s="202">
        <v>1.0</v>
      </c>
      <c r="O23" s="201">
        <v>2.0</v>
      </c>
      <c r="P23" s="202">
        <v>3.0</v>
      </c>
      <c r="Q23" s="204">
        <v>0.05</v>
      </c>
      <c r="R23" s="202">
        <v>1.0</v>
      </c>
      <c r="S23" s="202">
        <v>1.0</v>
      </c>
      <c r="T23" s="201">
        <v>726880.0</v>
      </c>
      <c r="U23" s="204">
        <v>0.025</v>
      </c>
      <c r="V23" s="202">
        <v>1.0</v>
      </c>
      <c r="W23" s="202">
        <v>1.0</v>
      </c>
      <c r="X23" s="201">
        <v>726880.0</v>
      </c>
      <c r="Y23" s="204">
        <v>0.025</v>
      </c>
      <c r="Z23" s="204">
        <v>1.0</v>
      </c>
      <c r="AA23" s="204">
        <v>0.0</v>
      </c>
      <c r="AB23" s="202">
        <v>0.0</v>
      </c>
    </row>
    <row r="24" ht="15.75" hidden="1" customHeight="1">
      <c r="A24" s="202">
        <v>1.0014812415E10</v>
      </c>
      <c r="B24" s="109" t="s">
        <v>780</v>
      </c>
      <c r="C24" s="109" t="s">
        <v>750</v>
      </c>
      <c r="D24" s="202">
        <v>5.6678491254E10</v>
      </c>
      <c r="E24" s="109" t="s">
        <v>757</v>
      </c>
      <c r="F24" s="109" t="s">
        <v>750</v>
      </c>
      <c r="G24" s="109" t="s">
        <v>781</v>
      </c>
      <c r="H24" s="109"/>
      <c r="I24" s="109" t="s">
        <v>97</v>
      </c>
      <c r="J24" s="109" t="s">
        <v>97</v>
      </c>
      <c r="K24" s="216" t="s">
        <v>97</v>
      </c>
      <c r="L24" s="109" t="s">
        <v>97</v>
      </c>
      <c r="M24" s="109" t="s">
        <v>97</v>
      </c>
      <c r="N24" s="109" t="s">
        <v>97</v>
      </c>
      <c r="O24" s="201">
        <v>2.0</v>
      </c>
      <c r="P24" s="202">
        <v>3.0</v>
      </c>
      <c r="Q24" s="109" t="s">
        <v>97</v>
      </c>
      <c r="R24" s="202">
        <v>1.0</v>
      </c>
      <c r="S24" s="202">
        <v>1.0</v>
      </c>
      <c r="T24" s="201">
        <v>726880.0</v>
      </c>
      <c r="U24" s="109" t="s">
        <v>97</v>
      </c>
      <c r="V24" s="202">
        <v>1.0</v>
      </c>
      <c r="W24" s="202">
        <v>1.0</v>
      </c>
      <c r="X24" s="201">
        <v>726880.0</v>
      </c>
      <c r="Y24" s="109" t="s">
        <v>97</v>
      </c>
      <c r="Z24" s="204">
        <v>1.0</v>
      </c>
      <c r="AA24" s="204">
        <v>0.0</v>
      </c>
      <c r="AB24" s="202">
        <v>0.0</v>
      </c>
    </row>
    <row r="25" ht="15.75" hidden="1" customHeight="1">
      <c r="A25" s="202">
        <v>3.1275154E9</v>
      </c>
      <c r="B25" s="109" t="s">
        <v>782</v>
      </c>
      <c r="C25" s="109" t="s">
        <v>750</v>
      </c>
      <c r="D25" s="109" t="s">
        <v>97</v>
      </c>
      <c r="E25" s="109" t="s">
        <v>97</v>
      </c>
      <c r="F25" s="109" t="s">
        <v>97</v>
      </c>
      <c r="G25" s="109" t="s">
        <v>97</v>
      </c>
      <c r="H25" s="109" t="s">
        <v>97</v>
      </c>
      <c r="I25" s="202">
        <v>6.0</v>
      </c>
      <c r="J25" s="202">
        <v>13.0</v>
      </c>
      <c r="K25" s="201">
        <v>1.0</v>
      </c>
      <c r="L25" s="204">
        <v>0.1667</v>
      </c>
      <c r="M25" s="202">
        <v>1.0</v>
      </c>
      <c r="N25" s="202">
        <v>0.0</v>
      </c>
      <c r="O25" s="201">
        <v>0.0</v>
      </c>
      <c r="P25" s="202">
        <v>0.0</v>
      </c>
      <c r="Q25" s="204">
        <v>0.0</v>
      </c>
      <c r="R25" s="202">
        <v>0.0</v>
      </c>
      <c r="S25" s="202">
        <v>0.0</v>
      </c>
      <c r="T25" s="201">
        <v>0.0</v>
      </c>
      <c r="U25" s="204">
        <v>0.0</v>
      </c>
      <c r="V25" s="202">
        <v>0.0</v>
      </c>
      <c r="W25" s="202">
        <v>0.0</v>
      </c>
      <c r="X25" s="201">
        <v>0.0</v>
      </c>
      <c r="Y25" s="204">
        <v>0.0</v>
      </c>
      <c r="Z25" s="204">
        <v>0.0</v>
      </c>
      <c r="AA25" s="204">
        <v>0.0</v>
      </c>
      <c r="AB25" s="202">
        <v>0.0</v>
      </c>
    </row>
    <row r="26" ht="15.75" hidden="1" customHeight="1">
      <c r="A26" s="202">
        <v>6.319391113E9</v>
      </c>
      <c r="B26" s="109" t="s">
        <v>783</v>
      </c>
      <c r="C26" s="109" t="s">
        <v>750</v>
      </c>
      <c r="D26" s="109" t="s">
        <v>97</v>
      </c>
      <c r="E26" s="109" t="s">
        <v>97</v>
      </c>
      <c r="F26" s="109" t="s">
        <v>97</v>
      </c>
      <c r="G26" s="109" t="s">
        <v>97</v>
      </c>
      <c r="H26" s="109" t="s">
        <v>784</v>
      </c>
      <c r="I26" s="202">
        <v>2.0</v>
      </c>
      <c r="J26" s="202">
        <v>2.0</v>
      </c>
      <c r="K26" s="201">
        <v>1.0</v>
      </c>
      <c r="L26" s="204">
        <v>0.5</v>
      </c>
      <c r="M26" s="202">
        <v>0.0</v>
      </c>
      <c r="N26" s="202">
        <v>0.0</v>
      </c>
      <c r="O26" s="201">
        <v>0.0</v>
      </c>
      <c r="P26" s="202">
        <v>0.0</v>
      </c>
      <c r="Q26" s="204">
        <v>0.0</v>
      </c>
      <c r="R26" s="202">
        <v>0.0</v>
      </c>
      <c r="S26" s="202">
        <v>0.0</v>
      </c>
      <c r="T26" s="201">
        <v>0.0</v>
      </c>
      <c r="U26" s="204">
        <v>0.0</v>
      </c>
      <c r="V26" s="202">
        <v>0.0</v>
      </c>
      <c r="W26" s="202">
        <v>0.0</v>
      </c>
      <c r="X26" s="201">
        <v>0.0</v>
      </c>
      <c r="Y26" s="204">
        <v>0.0</v>
      </c>
      <c r="Z26" s="204">
        <v>0.0</v>
      </c>
      <c r="AA26" s="204">
        <v>0.0</v>
      </c>
      <c r="AB26" s="202">
        <v>0.0</v>
      </c>
    </row>
    <row r="27" ht="15.75" hidden="1" customHeight="1">
      <c r="A27" s="202">
        <v>1.0669789089E10</v>
      </c>
      <c r="B27" s="109" t="s">
        <v>785</v>
      </c>
      <c r="C27" s="109" t="s">
        <v>750</v>
      </c>
      <c r="D27" s="109" t="s">
        <v>97</v>
      </c>
      <c r="E27" s="109" t="s">
        <v>97</v>
      </c>
      <c r="F27" s="109" t="s">
        <v>97</v>
      </c>
      <c r="G27" s="109" t="s">
        <v>97</v>
      </c>
      <c r="H27" s="109" t="s">
        <v>97</v>
      </c>
      <c r="I27" s="202">
        <v>1.0</v>
      </c>
      <c r="J27" s="202">
        <v>1.0</v>
      </c>
      <c r="K27" s="201">
        <v>0.0</v>
      </c>
      <c r="L27" s="204">
        <v>0.0</v>
      </c>
      <c r="M27" s="202">
        <v>0.0</v>
      </c>
      <c r="N27" s="202">
        <v>0.0</v>
      </c>
      <c r="O27" s="202">
        <v>0.0</v>
      </c>
      <c r="P27" s="202">
        <v>0.0</v>
      </c>
      <c r="Q27" s="204">
        <v>0.0</v>
      </c>
      <c r="R27" s="202">
        <v>0.0</v>
      </c>
      <c r="S27" s="202">
        <v>0.0</v>
      </c>
      <c r="T27" s="201">
        <v>0.0</v>
      </c>
      <c r="U27" s="204">
        <v>0.0</v>
      </c>
      <c r="V27" s="202">
        <v>0.0</v>
      </c>
      <c r="W27" s="202">
        <v>0.0</v>
      </c>
      <c r="X27" s="201">
        <v>0.0</v>
      </c>
      <c r="Y27" s="204">
        <v>0.0</v>
      </c>
      <c r="Z27" s="204">
        <v>0.0</v>
      </c>
      <c r="AA27" s="204">
        <v>0.0</v>
      </c>
      <c r="AB27" s="202">
        <v>0.0</v>
      </c>
    </row>
    <row r="28" ht="15.75" hidden="1" customHeight="1">
      <c r="A28" s="202">
        <v>1.0672362747E10</v>
      </c>
      <c r="B28" s="109" t="s">
        <v>786</v>
      </c>
      <c r="C28" s="109" t="s">
        <v>750</v>
      </c>
      <c r="D28" s="109" t="s">
        <v>97</v>
      </c>
      <c r="E28" s="109" t="s">
        <v>97</v>
      </c>
      <c r="F28" s="109" t="s">
        <v>97</v>
      </c>
      <c r="G28" s="109" t="s">
        <v>97</v>
      </c>
      <c r="H28" s="109" t="s">
        <v>97</v>
      </c>
      <c r="I28" s="202">
        <v>1.0</v>
      </c>
      <c r="J28" s="202">
        <v>1.0</v>
      </c>
      <c r="K28" s="201">
        <v>0.0</v>
      </c>
      <c r="L28" s="204">
        <v>0.0</v>
      </c>
      <c r="M28" s="202">
        <v>0.0</v>
      </c>
      <c r="N28" s="202">
        <v>0.0</v>
      </c>
      <c r="O28" s="201">
        <v>0.0</v>
      </c>
      <c r="P28" s="202">
        <v>0.0</v>
      </c>
      <c r="Q28" s="204">
        <v>0.0</v>
      </c>
      <c r="R28" s="202">
        <v>0.0</v>
      </c>
      <c r="S28" s="202">
        <v>0.0</v>
      </c>
      <c r="T28" s="201">
        <v>0.0</v>
      </c>
      <c r="U28" s="204">
        <v>0.0</v>
      </c>
      <c r="V28" s="202">
        <v>0.0</v>
      </c>
      <c r="W28" s="202">
        <v>0.0</v>
      </c>
      <c r="X28" s="201">
        <v>0.0</v>
      </c>
      <c r="Y28" s="204">
        <v>0.0</v>
      </c>
      <c r="Z28" s="204">
        <v>0.0</v>
      </c>
      <c r="AA28" s="204">
        <v>0.0</v>
      </c>
      <c r="AB28" s="202">
        <v>0.0</v>
      </c>
    </row>
    <row r="29" ht="15.75" hidden="1" customHeight="1">
      <c r="A29" s="202">
        <v>1.1372319169E10</v>
      </c>
      <c r="B29" s="109" t="s">
        <v>787</v>
      </c>
      <c r="C29" s="109" t="s">
        <v>750</v>
      </c>
      <c r="D29" s="109" t="s">
        <v>97</v>
      </c>
      <c r="E29" s="109" t="s">
        <v>97</v>
      </c>
      <c r="F29" s="109" t="s">
        <v>97</v>
      </c>
      <c r="G29" s="109" t="s">
        <v>97</v>
      </c>
      <c r="H29" s="109" t="s">
        <v>97</v>
      </c>
      <c r="I29" s="202">
        <v>20.0</v>
      </c>
      <c r="J29" s="202">
        <v>34.0</v>
      </c>
      <c r="K29" s="201">
        <v>3.0</v>
      </c>
      <c r="L29" s="204">
        <v>0.15</v>
      </c>
      <c r="M29" s="202">
        <v>6.0</v>
      </c>
      <c r="N29" s="202">
        <v>0.0</v>
      </c>
      <c r="O29" s="201">
        <v>0.0</v>
      </c>
      <c r="P29" s="202">
        <v>0.0</v>
      </c>
      <c r="Q29" s="204">
        <v>0.0</v>
      </c>
      <c r="R29" s="202">
        <v>0.0</v>
      </c>
      <c r="S29" s="202">
        <v>0.0</v>
      </c>
      <c r="T29" s="201">
        <v>0.0</v>
      </c>
      <c r="U29" s="204">
        <v>0.0</v>
      </c>
      <c r="V29" s="202">
        <v>0.0</v>
      </c>
      <c r="W29" s="202">
        <v>0.0</v>
      </c>
      <c r="X29" s="201">
        <v>0.0</v>
      </c>
      <c r="Y29" s="204">
        <v>0.0</v>
      </c>
      <c r="Z29" s="204">
        <v>0.0</v>
      </c>
      <c r="AA29" s="204">
        <v>0.0</v>
      </c>
      <c r="AB29" s="202">
        <v>0.0</v>
      </c>
    </row>
    <row r="30" ht="15.75" hidden="1" customHeight="1">
      <c r="A30" s="202">
        <v>1.2146844429E10</v>
      </c>
      <c r="B30" s="109" t="s">
        <v>788</v>
      </c>
      <c r="C30" s="109" t="s">
        <v>750</v>
      </c>
      <c r="D30" s="109" t="s">
        <v>97</v>
      </c>
      <c r="E30" s="109" t="s">
        <v>97</v>
      </c>
      <c r="F30" s="109" t="s">
        <v>97</v>
      </c>
      <c r="G30" s="109" t="s">
        <v>97</v>
      </c>
      <c r="H30" s="109" t="s">
        <v>97</v>
      </c>
      <c r="I30" s="202">
        <v>18.0</v>
      </c>
      <c r="J30" s="202">
        <v>25.0</v>
      </c>
      <c r="K30" s="202">
        <v>5.0</v>
      </c>
      <c r="L30" s="204">
        <v>0.2778</v>
      </c>
      <c r="M30" s="202">
        <v>3.0</v>
      </c>
      <c r="N30" s="202">
        <v>0.0</v>
      </c>
      <c r="O30" s="202">
        <v>1.0</v>
      </c>
      <c r="P30" s="202">
        <v>1.0</v>
      </c>
      <c r="Q30" s="204">
        <v>0.0556</v>
      </c>
      <c r="R30" s="202">
        <v>0.0</v>
      </c>
      <c r="S30" s="202">
        <v>0.0</v>
      </c>
      <c r="T30" s="201">
        <v>0.0</v>
      </c>
      <c r="U30" s="204">
        <v>0.0</v>
      </c>
      <c r="V30" s="202">
        <v>0.0</v>
      </c>
      <c r="W30" s="202">
        <v>0.0</v>
      </c>
      <c r="X30" s="201">
        <v>0.0</v>
      </c>
      <c r="Y30" s="204">
        <v>0.0</v>
      </c>
      <c r="Z30" s="204">
        <v>0.0</v>
      </c>
      <c r="AA30" s="204">
        <v>0.0</v>
      </c>
      <c r="AB30" s="202">
        <v>0.0</v>
      </c>
    </row>
    <row r="31" ht="15.75" hidden="1" customHeight="1">
      <c r="A31" s="202">
        <v>1.2146844429E10</v>
      </c>
      <c r="B31" s="109" t="s">
        <v>788</v>
      </c>
      <c r="C31" s="109" t="s">
        <v>750</v>
      </c>
      <c r="D31" s="202">
        <v>2.7988409751E10</v>
      </c>
      <c r="E31" s="109" t="s">
        <v>755</v>
      </c>
      <c r="F31" s="109" t="s">
        <v>750</v>
      </c>
      <c r="G31" s="109" t="s">
        <v>97</v>
      </c>
      <c r="H31" s="109"/>
      <c r="I31" s="109" t="s">
        <v>97</v>
      </c>
      <c r="J31" s="109" t="s">
        <v>97</v>
      </c>
      <c r="K31" s="216" t="s">
        <v>97</v>
      </c>
      <c r="L31" s="109" t="s">
        <v>97</v>
      </c>
      <c r="M31" s="109" t="s">
        <v>97</v>
      </c>
      <c r="N31" s="109" t="s">
        <v>97</v>
      </c>
      <c r="O31" s="201">
        <v>1.0</v>
      </c>
      <c r="P31" s="202">
        <v>1.0</v>
      </c>
      <c r="Q31" s="109" t="s">
        <v>97</v>
      </c>
      <c r="R31" s="202">
        <v>0.0</v>
      </c>
      <c r="S31" s="202">
        <v>0.0</v>
      </c>
      <c r="T31" s="201">
        <v>0.0</v>
      </c>
      <c r="U31" s="109" t="s">
        <v>97</v>
      </c>
      <c r="V31" s="202">
        <v>0.0</v>
      </c>
      <c r="W31" s="202">
        <v>0.0</v>
      </c>
      <c r="X31" s="201">
        <v>0.0</v>
      </c>
      <c r="Y31" s="109" t="s">
        <v>97</v>
      </c>
      <c r="Z31" s="204">
        <v>0.0</v>
      </c>
      <c r="AA31" s="204">
        <v>0.0</v>
      </c>
      <c r="AB31" s="202">
        <v>0.0</v>
      </c>
    </row>
    <row r="32" ht="15.75" hidden="1" customHeight="1">
      <c r="A32" s="202">
        <v>1.224475201E10</v>
      </c>
      <c r="B32" s="109" t="s">
        <v>789</v>
      </c>
      <c r="C32" s="109" t="s">
        <v>750</v>
      </c>
      <c r="D32" s="109" t="s">
        <v>97</v>
      </c>
      <c r="E32" s="109" t="s">
        <v>97</v>
      </c>
      <c r="F32" s="109" t="s">
        <v>97</v>
      </c>
      <c r="G32" s="109" t="s">
        <v>97</v>
      </c>
      <c r="H32" s="109" t="s">
        <v>97</v>
      </c>
      <c r="I32" s="202">
        <v>1.0</v>
      </c>
      <c r="J32" s="202">
        <v>1.0</v>
      </c>
      <c r="K32" s="201">
        <v>0.0</v>
      </c>
      <c r="L32" s="204">
        <v>0.0</v>
      </c>
      <c r="M32" s="202">
        <v>0.0</v>
      </c>
      <c r="N32" s="202">
        <v>0.0</v>
      </c>
      <c r="O32" s="201">
        <v>0.0</v>
      </c>
      <c r="P32" s="202">
        <v>0.0</v>
      </c>
      <c r="Q32" s="204">
        <v>0.0</v>
      </c>
      <c r="R32" s="202">
        <v>0.0</v>
      </c>
      <c r="S32" s="202">
        <v>0.0</v>
      </c>
      <c r="T32" s="201">
        <v>0.0</v>
      </c>
      <c r="U32" s="204">
        <v>0.0</v>
      </c>
      <c r="V32" s="202">
        <v>0.0</v>
      </c>
      <c r="W32" s="202">
        <v>0.0</v>
      </c>
      <c r="X32" s="201">
        <v>0.0</v>
      </c>
      <c r="Y32" s="204">
        <v>0.0</v>
      </c>
      <c r="Z32" s="204">
        <v>0.0</v>
      </c>
      <c r="AA32" s="204">
        <v>0.0</v>
      </c>
      <c r="AB32" s="202">
        <v>0.0</v>
      </c>
    </row>
    <row r="33" ht="15.75" hidden="1" customHeight="1">
      <c r="A33" s="202">
        <v>1.3953468578E10</v>
      </c>
      <c r="B33" s="109" t="s">
        <v>790</v>
      </c>
      <c r="C33" s="109" t="s">
        <v>750</v>
      </c>
      <c r="D33" s="109" t="s">
        <v>97</v>
      </c>
      <c r="E33" s="109" t="s">
        <v>97</v>
      </c>
      <c r="F33" s="109" t="s">
        <v>97</v>
      </c>
      <c r="G33" s="109" t="s">
        <v>97</v>
      </c>
      <c r="H33" s="109" t="s">
        <v>97</v>
      </c>
      <c r="I33" s="202">
        <v>5.0</v>
      </c>
      <c r="J33" s="202">
        <v>10.0</v>
      </c>
      <c r="K33" s="201">
        <v>1.0</v>
      </c>
      <c r="L33" s="204">
        <v>0.2</v>
      </c>
      <c r="M33" s="202">
        <v>0.0</v>
      </c>
      <c r="N33" s="202">
        <v>1.0</v>
      </c>
      <c r="O33" s="201">
        <v>0.0</v>
      </c>
      <c r="P33" s="202">
        <v>0.0</v>
      </c>
      <c r="Q33" s="204">
        <v>0.0</v>
      </c>
      <c r="R33" s="202">
        <v>0.0</v>
      </c>
      <c r="S33" s="202">
        <v>0.0</v>
      </c>
      <c r="T33" s="201">
        <v>0.0</v>
      </c>
      <c r="U33" s="204">
        <v>0.0</v>
      </c>
      <c r="V33" s="202">
        <v>0.0</v>
      </c>
      <c r="W33" s="202">
        <v>0.0</v>
      </c>
      <c r="X33" s="201">
        <v>0.0</v>
      </c>
      <c r="Y33" s="204">
        <v>0.0</v>
      </c>
      <c r="Z33" s="204">
        <v>0.0</v>
      </c>
      <c r="AA33" s="204">
        <v>0.0</v>
      </c>
      <c r="AB33" s="202">
        <v>0.0</v>
      </c>
    </row>
    <row r="34" ht="15.75" hidden="1" customHeight="1">
      <c r="A34" s="202">
        <v>1.4500181135E10</v>
      </c>
      <c r="B34" s="109" t="s">
        <v>791</v>
      </c>
      <c r="C34" s="109" t="s">
        <v>750</v>
      </c>
      <c r="D34" s="109" t="s">
        <v>97</v>
      </c>
      <c r="E34" s="109" t="s">
        <v>97</v>
      </c>
      <c r="F34" s="109" t="s">
        <v>97</v>
      </c>
      <c r="G34" s="109" t="s">
        <v>97</v>
      </c>
      <c r="H34" s="109" t="s">
        <v>97</v>
      </c>
      <c r="I34" s="202">
        <v>15.0</v>
      </c>
      <c r="J34" s="202">
        <v>18.0</v>
      </c>
      <c r="K34" s="201">
        <v>6.0</v>
      </c>
      <c r="L34" s="204">
        <v>0.4</v>
      </c>
      <c r="M34" s="202">
        <v>0.0</v>
      </c>
      <c r="N34" s="202">
        <v>0.0</v>
      </c>
      <c r="O34" s="201">
        <v>1.0</v>
      </c>
      <c r="P34" s="202">
        <v>1.0</v>
      </c>
      <c r="Q34" s="204">
        <v>0.0667</v>
      </c>
      <c r="R34" s="202">
        <v>0.0</v>
      </c>
      <c r="S34" s="202">
        <v>0.0</v>
      </c>
      <c r="T34" s="201">
        <v>0.0</v>
      </c>
      <c r="U34" s="204">
        <v>0.0</v>
      </c>
      <c r="V34" s="202">
        <v>0.0</v>
      </c>
      <c r="W34" s="202">
        <v>0.0</v>
      </c>
      <c r="X34" s="201">
        <v>0.0</v>
      </c>
      <c r="Y34" s="204">
        <v>0.0</v>
      </c>
      <c r="Z34" s="204">
        <v>0.0</v>
      </c>
      <c r="AA34" s="204">
        <v>0.0</v>
      </c>
      <c r="AB34" s="202">
        <v>0.0</v>
      </c>
    </row>
    <row r="35" ht="15.75" hidden="1" customHeight="1">
      <c r="A35" s="202">
        <v>1.4500181135E10</v>
      </c>
      <c r="B35" s="109" t="s">
        <v>791</v>
      </c>
      <c r="C35" s="109" t="s">
        <v>750</v>
      </c>
      <c r="D35" s="202">
        <v>1.03942786658E11</v>
      </c>
      <c r="E35" s="109" t="s">
        <v>791</v>
      </c>
      <c r="F35" s="109" t="s">
        <v>792</v>
      </c>
      <c r="G35" s="109" t="s">
        <v>97</v>
      </c>
      <c r="H35" s="109"/>
      <c r="I35" s="109" t="s">
        <v>97</v>
      </c>
      <c r="J35" s="109" t="s">
        <v>97</v>
      </c>
      <c r="K35" s="109" t="s">
        <v>97</v>
      </c>
      <c r="L35" s="109" t="s">
        <v>97</v>
      </c>
      <c r="M35" s="109" t="s">
        <v>97</v>
      </c>
      <c r="N35" s="109" t="s">
        <v>97</v>
      </c>
      <c r="O35" s="202">
        <v>1.0</v>
      </c>
      <c r="P35" s="202">
        <v>1.0</v>
      </c>
      <c r="Q35" s="109" t="s">
        <v>97</v>
      </c>
      <c r="R35" s="202">
        <v>0.0</v>
      </c>
      <c r="S35" s="202">
        <v>0.0</v>
      </c>
      <c r="T35" s="201">
        <v>0.0</v>
      </c>
      <c r="U35" s="109" t="s">
        <v>97</v>
      </c>
      <c r="V35" s="202">
        <v>0.0</v>
      </c>
      <c r="W35" s="202">
        <v>0.0</v>
      </c>
      <c r="X35" s="201">
        <v>0.0</v>
      </c>
      <c r="Y35" s="109" t="s">
        <v>97</v>
      </c>
      <c r="Z35" s="204">
        <v>0.0</v>
      </c>
      <c r="AA35" s="204">
        <v>0.0</v>
      </c>
      <c r="AB35" s="202">
        <v>0.0</v>
      </c>
    </row>
    <row r="36" ht="15.75" hidden="1" customHeight="1">
      <c r="A36" s="202">
        <v>1.5304521256E10</v>
      </c>
      <c r="B36" s="109" t="s">
        <v>793</v>
      </c>
      <c r="C36" s="109" t="s">
        <v>750</v>
      </c>
      <c r="D36" s="109" t="s">
        <v>97</v>
      </c>
      <c r="E36" s="109" t="s">
        <v>97</v>
      </c>
      <c r="F36" s="109" t="s">
        <v>97</v>
      </c>
      <c r="G36" s="109" t="s">
        <v>97</v>
      </c>
      <c r="H36" s="109" t="s">
        <v>97</v>
      </c>
      <c r="I36" s="202">
        <v>1.0</v>
      </c>
      <c r="J36" s="202">
        <v>1.0</v>
      </c>
      <c r="K36" s="201">
        <v>0.0</v>
      </c>
      <c r="L36" s="204">
        <v>0.0</v>
      </c>
      <c r="M36" s="202">
        <v>0.0</v>
      </c>
      <c r="N36" s="202">
        <v>0.0</v>
      </c>
      <c r="O36" s="201">
        <v>0.0</v>
      </c>
      <c r="P36" s="202">
        <v>0.0</v>
      </c>
      <c r="Q36" s="204">
        <v>0.0</v>
      </c>
      <c r="R36" s="202">
        <v>0.0</v>
      </c>
      <c r="S36" s="202">
        <v>0.0</v>
      </c>
      <c r="T36" s="201">
        <v>0.0</v>
      </c>
      <c r="U36" s="204">
        <v>0.0</v>
      </c>
      <c r="V36" s="202">
        <v>0.0</v>
      </c>
      <c r="W36" s="202">
        <v>0.0</v>
      </c>
      <c r="X36" s="201">
        <v>0.0</v>
      </c>
      <c r="Y36" s="204">
        <v>0.0</v>
      </c>
      <c r="Z36" s="204">
        <v>0.0</v>
      </c>
      <c r="AA36" s="204">
        <v>0.0</v>
      </c>
      <c r="AB36" s="202">
        <v>0.0</v>
      </c>
    </row>
    <row r="37" ht="15.75" hidden="1" customHeight="1">
      <c r="A37" s="202">
        <v>1.5403948801E10</v>
      </c>
      <c r="B37" s="109" t="s">
        <v>794</v>
      </c>
      <c r="C37" s="109" t="s">
        <v>750</v>
      </c>
      <c r="D37" s="109" t="s">
        <v>97</v>
      </c>
      <c r="E37" s="109" t="s">
        <v>97</v>
      </c>
      <c r="F37" s="109" t="s">
        <v>97</v>
      </c>
      <c r="G37" s="109" t="s">
        <v>97</v>
      </c>
      <c r="H37" s="109" t="s">
        <v>97</v>
      </c>
      <c r="I37" s="202">
        <v>1.0</v>
      </c>
      <c r="J37" s="202">
        <v>1.0</v>
      </c>
      <c r="K37" s="201">
        <v>0.0</v>
      </c>
      <c r="L37" s="204">
        <v>0.0</v>
      </c>
      <c r="M37" s="202">
        <v>0.0</v>
      </c>
      <c r="N37" s="202">
        <v>0.0</v>
      </c>
      <c r="O37" s="201">
        <v>0.0</v>
      </c>
      <c r="P37" s="202">
        <v>0.0</v>
      </c>
      <c r="Q37" s="204">
        <v>0.0</v>
      </c>
      <c r="R37" s="202">
        <v>0.0</v>
      </c>
      <c r="S37" s="202">
        <v>0.0</v>
      </c>
      <c r="T37" s="201">
        <v>0.0</v>
      </c>
      <c r="U37" s="204">
        <v>0.0</v>
      </c>
      <c r="V37" s="202">
        <v>0.0</v>
      </c>
      <c r="W37" s="202">
        <v>0.0</v>
      </c>
      <c r="X37" s="201">
        <v>0.0</v>
      </c>
      <c r="Y37" s="204">
        <v>0.0</v>
      </c>
      <c r="Z37" s="204">
        <v>0.0</v>
      </c>
      <c r="AA37" s="204">
        <v>0.0</v>
      </c>
      <c r="AB37" s="202">
        <v>0.0</v>
      </c>
    </row>
    <row r="38" ht="15.75" hidden="1" customHeight="1">
      <c r="A38" s="202">
        <v>2.1287412861E10</v>
      </c>
      <c r="B38" s="109" t="s">
        <v>415</v>
      </c>
      <c r="C38" s="109" t="s">
        <v>750</v>
      </c>
      <c r="D38" s="109" t="s">
        <v>97</v>
      </c>
      <c r="E38" s="109" t="s">
        <v>97</v>
      </c>
      <c r="F38" s="109" t="s">
        <v>97</v>
      </c>
      <c r="G38" s="109" t="s">
        <v>97</v>
      </c>
      <c r="H38" s="109" t="s">
        <v>97</v>
      </c>
      <c r="I38" s="202">
        <v>35.0</v>
      </c>
      <c r="J38" s="202">
        <v>42.0</v>
      </c>
      <c r="K38" s="201">
        <v>17.0</v>
      </c>
      <c r="L38" s="204">
        <v>0.4857</v>
      </c>
      <c r="M38" s="202">
        <v>2.0</v>
      </c>
      <c r="N38" s="202">
        <v>1.0</v>
      </c>
      <c r="O38" s="201">
        <v>2.0</v>
      </c>
      <c r="P38" s="202">
        <v>2.0</v>
      </c>
      <c r="Q38" s="204">
        <v>0.0571</v>
      </c>
      <c r="R38" s="202">
        <v>0.0</v>
      </c>
      <c r="S38" s="202">
        <v>0.0</v>
      </c>
      <c r="T38" s="201">
        <v>0.0</v>
      </c>
      <c r="U38" s="204">
        <v>0.0</v>
      </c>
      <c r="V38" s="202">
        <v>0.0</v>
      </c>
      <c r="W38" s="202">
        <v>0.0</v>
      </c>
      <c r="X38" s="201">
        <v>0.0</v>
      </c>
      <c r="Y38" s="204">
        <v>0.0</v>
      </c>
      <c r="Z38" s="204">
        <v>0.0</v>
      </c>
      <c r="AA38" s="204">
        <v>0.0</v>
      </c>
      <c r="AB38" s="202">
        <v>0.0</v>
      </c>
    </row>
    <row r="39" ht="15.75" hidden="1" customHeight="1">
      <c r="A39" s="202">
        <v>2.1287412861E10</v>
      </c>
      <c r="B39" s="109" t="s">
        <v>415</v>
      </c>
      <c r="C39" s="109" t="s">
        <v>750</v>
      </c>
      <c r="D39" s="202">
        <v>2.40436065372E11</v>
      </c>
      <c r="E39" s="109" t="s">
        <v>761</v>
      </c>
      <c r="F39" s="109" t="s">
        <v>750</v>
      </c>
      <c r="G39" s="109" t="s">
        <v>795</v>
      </c>
      <c r="H39" s="109"/>
      <c r="I39" s="109" t="s">
        <v>97</v>
      </c>
      <c r="J39" s="109" t="s">
        <v>97</v>
      </c>
      <c r="K39" s="109" t="s">
        <v>97</v>
      </c>
      <c r="L39" s="109" t="s">
        <v>97</v>
      </c>
      <c r="M39" s="109" t="s">
        <v>97</v>
      </c>
      <c r="N39" s="109" t="s">
        <v>97</v>
      </c>
      <c r="O39" s="202">
        <v>2.0</v>
      </c>
      <c r="P39" s="202">
        <v>2.0</v>
      </c>
      <c r="Q39" s="109" t="s">
        <v>97</v>
      </c>
      <c r="R39" s="202">
        <v>0.0</v>
      </c>
      <c r="S39" s="202">
        <v>0.0</v>
      </c>
      <c r="T39" s="201">
        <v>0.0</v>
      </c>
      <c r="U39" s="109" t="s">
        <v>97</v>
      </c>
      <c r="V39" s="202">
        <v>0.0</v>
      </c>
      <c r="W39" s="202">
        <v>0.0</v>
      </c>
      <c r="X39" s="201">
        <v>0.0</v>
      </c>
      <c r="Y39" s="109" t="s">
        <v>97</v>
      </c>
      <c r="Z39" s="204">
        <v>0.0</v>
      </c>
      <c r="AA39" s="204">
        <v>0.0</v>
      </c>
      <c r="AB39" s="202">
        <v>0.0</v>
      </c>
    </row>
    <row r="40" ht="15.75" hidden="1" customHeight="1">
      <c r="A40" s="202">
        <v>2.2657955668E10</v>
      </c>
      <c r="B40" s="109" t="s">
        <v>141</v>
      </c>
      <c r="C40" s="109" t="s">
        <v>750</v>
      </c>
      <c r="D40" s="109" t="s">
        <v>97</v>
      </c>
      <c r="E40" s="109" t="s">
        <v>97</v>
      </c>
      <c r="F40" s="109" t="s">
        <v>97</v>
      </c>
      <c r="G40" s="109" t="s">
        <v>97</v>
      </c>
      <c r="H40" s="109" t="s">
        <v>97</v>
      </c>
      <c r="I40" s="202">
        <v>24.0</v>
      </c>
      <c r="J40" s="202">
        <v>36.0</v>
      </c>
      <c r="K40" s="202">
        <v>8.0</v>
      </c>
      <c r="L40" s="204">
        <v>0.3333</v>
      </c>
      <c r="M40" s="202">
        <v>3.0</v>
      </c>
      <c r="N40" s="202">
        <v>1.0</v>
      </c>
      <c r="O40" s="202">
        <v>5.0</v>
      </c>
      <c r="P40" s="202">
        <v>5.0</v>
      </c>
      <c r="Q40" s="204">
        <v>0.2083</v>
      </c>
      <c r="R40" s="202">
        <v>0.0</v>
      </c>
      <c r="S40" s="202">
        <v>0.0</v>
      </c>
      <c r="T40" s="202">
        <v>0.0</v>
      </c>
      <c r="U40" s="204">
        <v>0.0</v>
      </c>
      <c r="V40" s="202">
        <v>0.0</v>
      </c>
      <c r="W40" s="202">
        <v>0.0</v>
      </c>
      <c r="X40" s="202">
        <v>0.0</v>
      </c>
      <c r="Y40" s="204">
        <v>0.0</v>
      </c>
      <c r="Z40" s="204">
        <v>0.0</v>
      </c>
      <c r="AA40" s="204">
        <v>0.0</v>
      </c>
      <c r="AB40" s="202">
        <v>0.0</v>
      </c>
    </row>
    <row r="41" ht="15.75" hidden="1" customHeight="1">
      <c r="A41" s="202">
        <v>2.2657955668E10</v>
      </c>
      <c r="B41" s="109" t="s">
        <v>141</v>
      </c>
      <c r="C41" s="109" t="s">
        <v>750</v>
      </c>
      <c r="D41" s="202">
        <v>2.25738648768E11</v>
      </c>
      <c r="E41" s="109" t="s">
        <v>755</v>
      </c>
      <c r="F41" s="109" t="s">
        <v>750</v>
      </c>
      <c r="G41" s="109" t="s">
        <v>796</v>
      </c>
      <c r="H41" s="109"/>
      <c r="I41" s="109" t="s">
        <v>97</v>
      </c>
      <c r="J41" s="109" t="s">
        <v>97</v>
      </c>
      <c r="K41" s="109" t="s">
        <v>97</v>
      </c>
      <c r="L41" s="109" t="s">
        <v>97</v>
      </c>
      <c r="M41" s="109" t="s">
        <v>97</v>
      </c>
      <c r="N41" s="109" t="s">
        <v>97</v>
      </c>
      <c r="O41" s="202">
        <v>5.0</v>
      </c>
      <c r="P41" s="202">
        <v>5.0</v>
      </c>
      <c r="Q41" s="109" t="s">
        <v>97</v>
      </c>
      <c r="R41" s="202">
        <v>0.0</v>
      </c>
      <c r="S41" s="202">
        <v>0.0</v>
      </c>
      <c r="T41" s="202">
        <v>0.0</v>
      </c>
      <c r="U41" s="109" t="s">
        <v>97</v>
      </c>
      <c r="V41" s="202">
        <v>0.0</v>
      </c>
      <c r="W41" s="202">
        <v>0.0</v>
      </c>
      <c r="X41" s="202">
        <v>0.0</v>
      </c>
      <c r="Y41" s="109" t="s">
        <v>97</v>
      </c>
      <c r="Z41" s="204">
        <v>0.0</v>
      </c>
      <c r="AA41" s="204">
        <v>0.0</v>
      </c>
      <c r="AB41" s="202">
        <v>0.0</v>
      </c>
    </row>
    <row r="42" ht="15.75" hidden="1" customHeight="1">
      <c r="A42" s="202">
        <v>2.2864051694E10</v>
      </c>
      <c r="B42" s="109" t="s">
        <v>720</v>
      </c>
      <c r="C42" s="109" t="s">
        <v>750</v>
      </c>
      <c r="D42" s="109" t="s">
        <v>97</v>
      </c>
      <c r="E42" s="109" t="s">
        <v>97</v>
      </c>
      <c r="F42" s="109" t="s">
        <v>97</v>
      </c>
      <c r="G42" s="109" t="s">
        <v>97</v>
      </c>
      <c r="H42" s="109" t="s">
        <v>97</v>
      </c>
      <c r="I42" s="202">
        <v>27.0</v>
      </c>
      <c r="J42" s="202">
        <v>28.0</v>
      </c>
      <c r="K42" s="202">
        <v>6.0</v>
      </c>
      <c r="L42" s="204">
        <v>0.2222</v>
      </c>
      <c r="M42" s="202">
        <v>0.0</v>
      </c>
      <c r="N42" s="202">
        <v>2.0</v>
      </c>
      <c r="O42" s="202">
        <v>1.0</v>
      </c>
      <c r="P42" s="202">
        <v>1.0</v>
      </c>
      <c r="Q42" s="204">
        <v>0.037</v>
      </c>
      <c r="R42" s="202">
        <v>0.0</v>
      </c>
      <c r="S42" s="202">
        <v>0.0</v>
      </c>
      <c r="T42" s="202">
        <v>0.0</v>
      </c>
      <c r="U42" s="204">
        <v>0.0</v>
      </c>
      <c r="V42" s="202">
        <v>0.0</v>
      </c>
      <c r="W42" s="202">
        <v>0.0</v>
      </c>
      <c r="X42" s="202">
        <v>0.0</v>
      </c>
      <c r="Y42" s="204">
        <v>0.0</v>
      </c>
      <c r="Z42" s="204">
        <v>0.0</v>
      </c>
      <c r="AA42" s="204">
        <v>0.0</v>
      </c>
      <c r="AB42" s="202">
        <v>0.0</v>
      </c>
    </row>
    <row r="43" ht="15.75" hidden="1" customHeight="1">
      <c r="A43" s="202">
        <v>2.2864051694E10</v>
      </c>
      <c r="B43" s="109" t="s">
        <v>720</v>
      </c>
      <c r="C43" s="109" t="s">
        <v>750</v>
      </c>
      <c r="D43" s="202">
        <v>2.40436168671E11</v>
      </c>
      <c r="E43" s="109" t="s">
        <v>761</v>
      </c>
      <c r="F43" s="109" t="s">
        <v>750</v>
      </c>
      <c r="G43" s="109" t="s">
        <v>797</v>
      </c>
      <c r="H43" s="109"/>
      <c r="I43" s="109" t="s">
        <v>97</v>
      </c>
      <c r="J43" s="109" t="s">
        <v>97</v>
      </c>
      <c r="K43" s="109" t="s">
        <v>97</v>
      </c>
      <c r="L43" s="109" t="s">
        <v>97</v>
      </c>
      <c r="M43" s="109" t="s">
        <v>97</v>
      </c>
      <c r="N43" s="109" t="s">
        <v>97</v>
      </c>
      <c r="O43" s="202">
        <v>1.0</v>
      </c>
      <c r="P43" s="202">
        <v>1.0</v>
      </c>
      <c r="Q43" s="109" t="s">
        <v>97</v>
      </c>
      <c r="R43" s="202">
        <v>0.0</v>
      </c>
      <c r="S43" s="202">
        <v>0.0</v>
      </c>
      <c r="T43" s="202">
        <v>0.0</v>
      </c>
      <c r="U43" s="109" t="s">
        <v>97</v>
      </c>
      <c r="V43" s="202">
        <v>0.0</v>
      </c>
      <c r="W43" s="202">
        <v>0.0</v>
      </c>
      <c r="X43" s="202">
        <v>0.0</v>
      </c>
      <c r="Y43" s="109" t="s">
        <v>97</v>
      </c>
      <c r="Z43" s="204">
        <v>0.0</v>
      </c>
      <c r="AA43" s="204">
        <v>0.0</v>
      </c>
      <c r="AB43" s="202">
        <v>0.0</v>
      </c>
    </row>
    <row r="44" ht="15.75" hidden="1" customHeight="1">
      <c r="A44" s="202">
        <v>2.2964444155E10</v>
      </c>
      <c r="B44" s="109" t="s">
        <v>798</v>
      </c>
      <c r="C44" s="109" t="s">
        <v>750</v>
      </c>
      <c r="D44" s="109" t="s">
        <v>97</v>
      </c>
      <c r="E44" s="109" t="s">
        <v>97</v>
      </c>
      <c r="F44" s="109" t="s">
        <v>97</v>
      </c>
      <c r="G44" s="109" t="s">
        <v>97</v>
      </c>
      <c r="H44" s="109" t="s">
        <v>799</v>
      </c>
      <c r="I44" s="202">
        <v>1.0</v>
      </c>
      <c r="J44" s="202">
        <v>1.0</v>
      </c>
      <c r="K44" s="202">
        <v>0.0</v>
      </c>
      <c r="L44" s="204">
        <v>0.0</v>
      </c>
      <c r="M44" s="202">
        <v>0.0</v>
      </c>
      <c r="N44" s="202">
        <v>0.0</v>
      </c>
      <c r="O44" s="202">
        <v>0.0</v>
      </c>
      <c r="P44" s="202">
        <v>0.0</v>
      </c>
      <c r="Q44" s="204">
        <v>0.0</v>
      </c>
      <c r="R44" s="202">
        <v>0.0</v>
      </c>
      <c r="S44" s="202">
        <v>0.0</v>
      </c>
      <c r="T44" s="202">
        <v>0.0</v>
      </c>
      <c r="U44" s="204">
        <v>0.0</v>
      </c>
      <c r="V44" s="202">
        <v>0.0</v>
      </c>
      <c r="W44" s="202">
        <v>0.0</v>
      </c>
      <c r="X44" s="202">
        <v>0.0</v>
      </c>
      <c r="Y44" s="204">
        <v>0.0</v>
      </c>
      <c r="Z44" s="204">
        <v>0.0</v>
      </c>
      <c r="AA44" s="204">
        <v>0.0</v>
      </c>
      <c r="AB44" s="202">
        <v>0.0</v>
      </c>
    </row>
    <row r="45" ht="15.75" hidden="1" customHeight="1">
      <c r="A45" s="202">
        <v>2.4067721716E10</v>
      </c>
      <c r="B45" s="109" t="s">
        <v>800</v>
      </c>
      <c r="C45" s="109" t="s">
        <v>750</v>
      </c>
      <c r="D45" s="109" t="s">
        <v>97</v>
      </c>
      <c r="E45" s="109" t="s">
        <v>97</v>
      </c>
      <c r="F45" s="109" t="s">
        <v>97</v>
      </c>
      <c r="G45" s="109" t="s">
        <v>97</v>
      </c>
      <c r="H45" s="109" t="s">
        <v>801</v>
      </c>
      <c r="I45" s="202">
        <v>16.0</v>
      </c>
      <c r="J45" s="202">
        <v>35.0</v>
      </c>
      <c r="K45" s="202">
        <v>1.0</v>
      </c>
      <c r="L45" s="204">
        <v>0.0625</v>
      </c>
      <c r="M45" s="202">
        <v>0.0</v>
      </c>
      <c r="N45" s="202">
        <v>4.0</v>
      </c>
      <c r="O45" s="202">
        <v>3.0</v>
      </c>
      <c r="P45" s="202">
        <v>3.0</v>
      </c>
      <c r="Q45" s="204">
        <v>0.1875</v>
      </c>
      <c r="R45" s="202">
        <v>0.0</v>
      </c>
      <c r="S45" s="202">
        <v>0.0</v>
      </c>
      <c r="T45" s="202">
        <v>0.0</v>
      </c>
      <c r="U45" s="204">
        <v>0.0</v>
      </c>
      <c r="V45" s="202">
        <v>0.0</v>
      </c>
      <c r="W45" s="202">
        <v>0.0</v>
      </c>
      <c r="X45" s="202">
        <v>0.0</v>
      </c>
      <c r="Y45" s="204">
        <v>0.0</v>
      </c>
      <c r="Z45" s="204">
        <v>0.0</v>
      </c>
      <c r="AA45" s="204">
        <v>0.0</v>
      </c>
      <c r="AB45" s="202">
        <v>0.0</v>
      </c>
    </row>
    <row r="46" ht="15.75" hidden="1" customHeight="1">
      <c r="A46" s="202">
        <v>2.4067721716E10</v>
      </c>
      <c r="B46" s="109" t="s">
        <v>800</v>
      </c>
      <c r="C46" s="109" t="s">
        <v>750</v>
      </c>
      <c r="D46" s="202">
        <v>8.8883451652E10</v>
      </c>
      <c r="E46" s="109" t="s">
        <v>802</v>
      </c>
      <c r="F46" s="109" t="s">
        <v>750</v>
      </c>
      <c r="G46" s="109" t="s">
        <v>801</v>
      </c>
      <c r="H46" s="109" t="s">
        <v>801</v>
      </c>
      <c r="I46" s="109" t="s">
        <v>97</v>
      </c>
      <c r="J46" s="109" t="s">
        <v>97</v>
      </c>
      <c r="K46" s="109" t="s">
        <v>97</v>
      </c>
      <c r="L46" s="109" t="s">
        <v>97</v>
      </c>
      <c r="M46" s="109" t="s">
        <v>97</v>
      </c>
      <c r="N46" s="109" t="s">
        <v>97</v>
      </c>
      <c r="O46" s="202">
        <v>3.0</v>
      </c>
      <c r="P46" s="202">
        <v>3.0</v>
      </c>
      <c r="Q46" s="109" t="s">
        <v>97</v>
      </c>
      <c r="R46" s="202">
        <v>0.0</v>
      </c>
      <c r="S46" s="202">
        <v>0.0</v>
      </c>
      <c r="T46" s="202">
        <v>0.0</v>
      </c>
      <c r="U46" s="109" t="s">
        <v>97</v>
      </c>
      <c r="V46" s="202">
        <v>0.0</v>
      </c>
      <c r="W46" s="202">
        <v>0.0</v>
      </c>
      <c r="X46" s="202">
        <v>0.0</v>
      </c>
      <c r="Y46" s="109" t="s">
        <v>97</v>
      </c>
      <c r="Z46" s="204">
        <v>0.0</v>
      </c>
      <c r="AA46" s="204">
        <v>0.0</v>
      </c>
      <c r="AB46" s="202">
        <v>0.0</v>
      </c>
    </row>
    <row r="47" ht="15.75" hidden="1" customHeight="1">
      <c r="A47" s="202">
        <v>2.4367745053E10</v>
      </c>
      <c r="B47" s="109" t="s">
        <v>803</v>
      </c>
      <c r="C47" s="109" t="s">
        <v>750</v>
      </c>
      <c r="D47" s="109" t="s">
        <v>97</v>
      </c>
      <c r="E47" s="109" t="s">
        <v>97</v>
      </c>
      <c r="F47" s="109" t="s">
        <v>97</v>
      </c>
      <c r="G47" s="109" t="s">
        <v>97</v>
      </c>
      <c r="H47" s="109" t="s">
        <v>97</v>
      </c>
      <c r="I47" s="202">
        <v>5.0</v>
      </c>
      <c r="J47" s="202">
        <v>5.0</v>
      </c>
      <c r="K47" s="202">
        <v>1.0</v>
      </c>
      <c r="L47" s="204">
        <v>0.2</v>
      </c>
      <c r="M47" s="202">
        <v>1.0</v>
      </c>
      <c r="N47" s="202">
        <v>0.0</v>
      </c>
      <c r="O47" s="202">
        <v>0.0</v>
      </c>
      <c r="P47" s="202">
        <v>0.0</v>
      </c>
      <c r="Q47" s="204">
        <v>0.0</v>
      </c>
      <c r="R47" s="202">
        <v>0.0</v>
      </c>
      <c r="S47" s="202">
        <v>0.0</v>
      </c>
      <c r="T47" s="202">
        <v>0.0</v>
      </c>
      <c r="U47" s="204">
        <v>0.0</v>
      </c>
      <c r="V47" s="202">
        <v>0.0</v>
      </c>
      <c r="W47" s="202">
        <v>0.0</v>
      </c>
      <c r="X47" s="202">
        <v>0.0</v>
      </c>
      <c r="Y47" s="204">
        <v>0.0</v>
      </c>
      <c r="Z47" s="204">
        <v>0.0</v>
      </c>
      <c r="AA47" s="204">
        <v>0.0</v>
      </c>
      <c r="AB47" s="202">
        <v>0.0</v>
      </c>
    </row>
    <row r="48" ht="15.75" hidden="1" customHeight="1">
      <c r="A48" s="202">
        <v>2.4576774667E10</v>
      </c>
      <c r="B48" s="109" t="s">
        <v>804</v>
      </c>
      <c r="C48" s="109" t="s">
        <v>750</v>
      </c>
      <c r="D48" s="109" t="s">
        <v>97</v>
      </c>
      <c r="E48" s="109" t="s">
        <v>97</v>
      </c>
      <c r="F48" s="109" t="s">
        <v>97</v>
      </c>
      <c r="G48" s="109" t="s">
        <v>97</v>
      </c>
      <c r="H48" s="109" t="s">
        <v>779</v>
      </c>
      <c r="I48" s="202">
        <v>19.0</v>
      </c>
      <c r="J48" s="202">
        <v>25.0</v>
      </c>
      <c r="K48" s="202">
        <v>5.0</v>
      </c>
      <c r="L48" s="204">
        <v>0.2632</v>
      </c>
      <c r="M48" s="202">
        <v>2.0</v>
      </c>
      <c r="N48" s="202">
        <v>1.0</v>
      </c>
      <c r="O48" s="202">
        <v>1.0</v>
      </c>
      <c r="P48" s="202">
        <v>1.0</v>
      </c>
      <c r="Q48" s="204">
        <v>0.0526</v>
      </c>
      <c r="R48" s="202">
        <v>0.0</v>
      </c>
      <c r="S48" s="202">
        <v>0.0</v>
      </c>
      <c r="T48" s="202">
        <v>0.0</v>
      </c>
      <c r="U48" s="204">
        <v>0.0</v>
      </c>
      <c r="V48" s="202">
        <v>0.0</v>
      </c>
      <c r="W48" s="202">
        <v>0.0</v>
      </c>
      <c r="X48" s="202">
        <v>0.0</v>
      </c>
      <c r="Y48" s="204">
        <v>0.0</v>
      </c>
      <c r="Z48" s="204">
        <v>0.0</v>
      </c>
      <c r="AA48" s="204">
        <v>0.0</v>
      </c>
      <c r="AB48" s="202">
        <v>0.0</v>
      </c>
    </row>
    <row r="49" ht="15.75" hidden="1" customHeight="1">
      <c r="A49" s="202">
        <v>2.4576774667E10</v>
      </c>
      <c r="B49" s="109" t="s">
        <v>804</v>
      </c>
      <c r="C49" s="109" t="s">
        <v>750</v>
      </c>
      <c r="D49" s="202">
        <v>2.55718722725E11</v>
      </c>
      <c r="E49" s="109" t="s">
        <v>761</v>
      </c>
      <c r="F49" s="109" t="s">
        <v>750</v>
      </c>
      <c r="G49" s="109" t="s">
        <v>779</v>
      </c>
      <c r="H49" s="109" t="s">
        <v>779</v>
      </c>
      <c r="I49" s="109" t="s">
        <v>97</v>
      </c>
      <c r="J49" s="109" t="s">
        <v>97</v>
      </c>
      <c r="K49" s="109" t="s">
        <v>97</v>
      </c>
      <c r="L49" s="109" t="s">
        <v>97</v>
      </c>
      <c r="M49" s="109" t="s">
        <v>97</v>
      </c>
      <c r="N49" s="109" t="s">
        <v>97</v>
      </c>
      <c r="O49" s="202">
        <v>1.0</v>
      </c>
      <c r="P49" s="202">
        <v>1.0</v>
      </c>
      <c r="Q49" s="109" t="s">
        <v>97</v>
      </c>
      <c r="R49" s="202">
        <v>0.0</v>
      </c>
      <c r="S49" s="202">
        <v>0.0</v>
      </c>
      <c r="T49" s="202">
        <v>0.0</v>
      </c>
      <c r="U49" s="109" t="s">
        <v>97</v>
      </c>
      <c r="V49" s="202">
        <v>0.0</v>
      </c>
      <c r="W49" s="202">
        <v>0.0</v>
      </c>
      <c r="X49" s="202">
        <v>0.0</v>
      </c>
      <c r="Y49" s="109" t="s">
        <v>97</v>
      </c>
      <c r="Z49" s="204">
        <v>0.0</v>
      </c>
      <c r="AA49" s="204">
        <v>0.0</v>
      </c>
      <c r="AB49" s="202">
        <v>0.0</v>
      </c>
    </row>
    <row r="50" ht="15.75" hidden="1" customHeight="1">
      <c r="A50" s="202">
        <v>2.4717729485E10</v>
      </c>
      <c r="B50" s="109" t="s">
        <v>805</v>
      </c>
      <c r="C50" s="109" t="s">
        <v>750</v>
      </c>
      <c r="D50" s="109" t="s">
        <v>97</v>
      </c>
      <c r="E50" s="109" t="s">
        <v>97</v>
      </c>
      <c r="F50" s="109" t="s">
        <v>97</v>
      </c>
      <c r="G50" s="109" t="s">
        <v>97</v>
      </c>
      <c r="H50" s="109" t="s">
        <v>806</v>
      </c>
      <c r="I50" s="202">
        <v>4.0</v>
      </c>
      <c r="J50" s="202">
        <v>6.0</v>
      </c>
      <c r="K50" s="202">
        <v>1.0</v>
      </c>
      <c r="L50" s="204">
        <v>0.25</v>
      </c>
      <c r="M50" s="202">
        <v>0.0</v>
      </c>
      <c r="N50" s="202">
        <v>0.0</v>
      </c>
      <c r="O50" s="202">
        <v>0.0</v>
      </c>
      <c r="P50" s="202">
        <v>0.0</v>
      </c>
      <c r="Q50" s="204">
        <v>0.0</v>
      </c>
      <c r="R50" s="202">
        <v>0.0</v>
      </c>
      <c r="S50" s="202">
        <v>0.0</v>
      </c>
      <c r="T50" s="202">
        <v>0.0</v>
      </c>
      <c r="U50" s="204">
        <v>0.0</v>
      </c>
      <c r="V50" s="202">
        <v>0.0</v>
      </c>
      <c r="W50" s="202">
        <v>0.0</v>
      </c>
      <c r="X50" s="202">
        <v>0.0</v>
      </c>
      <c r="Y50" s="204">
        <v>0.0</v>
      </c>
      <c r="Z50" s="204">
        <v>0.0</v>
      </c>
      <c r="AA50" s="204">
        <v>0.0</v>
      </c>
      <c r="AB50" s="202">
        <v>0.0</v>
      </c>
    </row>
    <row r="51" ht="15.75" hidden="1" customHeight="1">
      <c r="A51" s="202">
        <v>2.4767728121E10</v>
      </c>
      <c r="B51" s="109" t="s">
        <v>807</v>
      </c>
      <c r="C51" s="109" t="s">
        <v>750</v>
      </c>
      <c r="D51" s="109" t="s">
        <v>97</v>
      </c>
      <c r="E51" s="109" t="s">
        <v>97</v>
      </c>
      <c r="F51" s="109" t="s">
        <v>97</v>
      </c>
      <c r="G51" s="109" t="s">
        <v>97</v>
      </c>
      <c r="H51" s="109" t="s">
        <v>808</v>
      </c>
      <c r="I51" s="202">
        <v>1.0</v>
      </c>
      <c r="J51" s="202">
        <v>1.0</v>
      </c>
      <c r="K51" s="202">
        <v>0.0</v>
      </c>
      <c r="L51" s="204">
        <v>0.0</v>
      </c>
      <c r="M51" s="202">
        <v>0.0</v>
      </c>
      <c r="N51" s="202">
        <v>0.0</v>
      </c>
      <c r="O51" s="202">
        <v>0.0</v>
      </c>
      <c r="P51" s="202">
        <v>0.0</v>
      </c>
      <c r="Q51" s="204">
        <v>0.0</v>
      </c>
      <c r="R51" s="202">
        <v>0.0</v>
      </c>
      <c r="S51" s="202">
        <v>0.0</v>
      </c>
      <c r="T51" s="202">
        <v>0.0</v>
      </c>
      <c r="U51" s="204">
        <v>0.0</v>
      </c>
      <c r="V51" s="202">
        <v>0.0</v>
      </c>
      <c r="W51" s="202">
        <v>0.0</v>
      </c>
      <c r="X51" s="202">
        <v>0.0</v>
      </c>
      <c r="Y51" s="204">
        <v>0.0</v>
      </c>
      <c r="Z51" s="204">
        <v>0.0</v>
      </c>
      <c r="AA51" s="204">
        <v>0.0</v>
      </c>
      <c r="AB51" s="202">
        <v>0.0</v>
      </c>
    </row>
    <row r="52" ht="15.75" hidden="1" customHeight="1">
      <c r="A52" s="202">
        <v>2.4867724627E10</v>
      </c>
      <c r="B52" s="109" t="s">
        <v>809</v>
      </c>
      <c r="C52" s="109" t="s">
        <v>750</v>
      </c>
      <c r="D52" s="109" t="s">
        <v>97</v>
      </c>
      <c r="E52" s="109" t="s">
        <v>97</v>
      </c>
      <c r="F52" s="109" t="s">
        <v>97</v>
      </c>
      <c r="G52" s="109" t="s">
        <v>97</v>
      </c>
      <c r="H52" s="109" t="s">
        <v>810</v>
      </c>
      <c r="I52" s="202">
        <v>58.0</v>
      </c>
      <c r="J52" s="202">
        <v>112.0</v>
      </c>
      <c r="K52" s="202">
        <v>20.0</v>
      </c>
      <c r="L52" s="204">
        <v>0.3448</v>
      </c>
      <c r="M52" s="202">
        <v>6.0</v>
      </c>
      <c r="N52" s="202">
        <v>4.0</v>
      </c>
      <c r="O52" s="202">
        <v>8.0</v>
      </c>
      <c r="P52" s="202">
        <v>16.0</v>
      </c>
      <c r="Q52" s="204">
        <v>0.1379</v>
      </c>
      <c r="R52" s="202">
        <v>0.0</v>
      </c>
      <c r="S52" s="202">
        <v>0.0</v>
      </c>
      <c r="T52" s="202">
        <v>0.0</v>
      </c>
      <c r="U52" s="204">
        <v>0.0</v>
      </c>
      <c r="V52" s="202">
        <v>0.0</v>
      </c>
      <c r="W52" s="202">
        <v>0.0</v>
      </c>
      <c r="X52" s="202">
        <v>0.0</v>
      </c>
      <c r="Y52" s="204">
        <v>0.0</v>
      </c>
      <c r="Z52" s="204">
        <v>0.0</v>
      </c>
      <c r="AA52" s="204">
        <v>0.0</v>
      </c>
      <c r="AB52" s="202">
        <v>0.0</v>
      </c>
    </row>
    <row r="53" ht="15.75" hidden="1" customHeight="1">
      <c r="A53" s="202">
        <v>2.4867724627E10</v>
      </c>
      <c r="B53" s="109" t="s">
        <v>809</v>
      </c>
      <c r="C53" s="109" t="s">
        <v>750</v>
      </c>
      <c r="D53" s="202">
        <v>1.97356160607E11</v>
      </c>
      <c r="E53" s="109" t="s">
        <v>721</v>
      </c>
      <c r="F53" s="109" t="s">
        <v>750</v>
      </c>
      <c r="G53" s="109" t="s">
        <v>810</v>
      </c>
      <c r="H53" s="109" t="s">
        <v>810</v>
      </c>
      <c r="I53" s="109" t="s">
        <v>97</v>
      </c>
      <c r="J53" s="109" t="s">
        <v>97</v>
      </c>
      <c r="K53" s="109" t="s">
        <v>97</v>
      </c>
      <c r="L53" s="109" t="s">
        <v>97</v>
      </c>
      <c r="M53" s="109" t="s">
        <v>97</v>
      </c>
      <c r="N53" s="109" t="s">
        <v>97</v>
      </c>
      <c r="O53" s="202">
        <v>8.0</v>
      </c>
      <c r="P53" s="202">
        <v>16.0</v>
      </c>
      <c r="Q53" s="109" t="s">
        <v>97</v>
      </c>
      <c r="R53" s="202">
        <v>0.0</v>
      </c>
      <c r="S53" s="202">
        <v>0.0</v>
      </c>
      <c r="T53" s="202">
        <v>0.0</v>
      </c>
      <c r="U53" s="109" t="s">
        <v>97</v>
      </c>
      <c r="V53" s="202">
        <v>0.0</v>
      </c>
      <c r="W53" s="202">
        <v>0.0</v>
      </c>
      <c r="X53" s="202">
        <v>0.0</v>
      </c>
      <c r="Y53" s="109" t="s">
        <v>97</v>
      </c>
      <c r="Z53" s="204">
        <v>0.0</v>
      </c>
      <c r="AA53" s="204">
        <v>0.0</v>
      </c>
      <c r="AB53" s="202">
        <v>0.0</v>
      </c>
    </row>
    <row r="54" ht="15.75" hidden="1" customHeight="1">
      <c r="A54" s="202">
        <v>2.5267725409E10</v>
      </c>
      <c r="B54" s="109" t="s">
        <v>811</v>
      </c>
      <c r="C54" s="109" t="s">
        <v>750</v>
      </c>
      <c r="D54" s="109" t="s">
        <v>97</v>
      </c>
      <c r="E54" s="109" t="s">
        <v>97</v>
      </c>
      <c r="F54" s="109" t="s">
        <v>97</v>
      </c>
      <c r="G54" s="109" t="s">
        <v>97</v>
      </c>
      <c r="H54" s="109" t="s">
        <v>812</v>
      </c>
      <c r="I54" s="202">
        <v>1.0</v>
      </c>
      <c r="J54" s="202">
        <v>2.0</v>
      </c>
      <c r="K54" s="202">
        <v>0.0</v>
      </c>
      <c r="L54" s="204">
        <v>0.0</v>
      </c>
      <c r="M54" s="202">
        <v>0.0</v>
      </c>
      <c r="N54" s="202">
        <v>0.0</v>
      </c>
      <c r="O54" s="202">
        <v>0.0</v>
      </c>
      <c r="P54" s="202">
        <v>0.0</v>
      </c>
      <c r="Q54" s="204">
        <v>0.0</v>
      </c>
      <c r="R54" s="202">
        <v>0.0</v>
      </c>
      <c r="S54" s="202">
        <v>0.0</v>
      </c>
      <c r="T54" s="202">
        <v>0.0</v>
      </c>
      <c r="U54" s="204">
        <v>0.0</v>
      </c>
      <c r="V54" s="202">
        <v>0.0</v>
      </c>
      <c r="W54" s="202">
        <v>0.0</v>
      </c>
      <c r="X54" s="202">
        <v>0.0</v>
      </c>
      <c r="Y54" s="204">
        <v>0.0</v>
      </c>
      <c r="Z54" s="204">
        <v>0.0</v>
      </c>
      <c r="AA54" s="204">
        <v>0.0</v>
      </c>
      <c r="AB54" s="202">
        <v>0.0</v>
      </c>
    </row>
    <row r="55" ht="15.75" hidden="1" customHeight="1">
      <c r="A55" s="202">
        <v>2.5667714981E10</v>
      </c>
      <c r="B55" s="109" t="s">
        <v>813</v>
      </c>
      <c r="C55" s="109" t="s">
        <v>750</v>
      </c>
      <c r="D55" s="109" t="s">
        <v>97</v>
      </c>
      <c r="E55" s="109" t="s">
        <v>97</v>
      </c>
      <c r="F55" s="109" t="s">
        <v>97</v>
      </c>
      <c r="G55" s="109" t="s">
        <v>97</v>
      </c>
      <c r="H55" s="109" t="s">
        <v>97</v>
      </c>
      <c r="I55" s="202">
        <v>29.0</v>
      </c>
      <c r="J55" s="202">
        <v>36.0</v>
      </c>
      <c r="K55" s="202">
        <v>10.0</v>
      </c>
      <c r="L55" s="204">
        <v>0.3448</v>
      </c>
      <c r="M55" s="202">
        <v>2.0</v>
      </c>
      <c r="N55" s="202">
        <v>0.0</v>
      </c>
      <c r="O55" s="202">
        <v>1.0</v>
      </c>
      <c r="P55" s="202">
        <v>1.0</v>
      </c>
      <c r="Q55" s="204">
        <v>0.0345</v>
      </c>
      <c r="R55" s="202">
        <v>0.0</v>
      </c>
      <c r="S55" s="202">
        <v>0.0</v>
      </c>
      <c r="T55" s="202">
        <v>0.0</v>
      </c>
      <c r="U55" s="204">
        <v>0.0</v>
      </c>
      <c r="V55" s="202">
        <v>0.0</v>
      </c>
      <c r="W55" s="202">
        <v>0.0</v>
      </c>
      <c r="X55" s="202">
        <v>0.0</v>
      </c>
      <c r="Y55" s="204">
        <v>0.0</v>
      </c>
      <c r="Z55" s="204">
        <v>0.0</v>
      </c>
      <c r="AA55" s="204">
        <v>0.0</v>
      </c>
      <c r="AB55" s="202">
        <v>0.0</v>
      </c>
    </row>
    <row r="56" ht="15.75" hidden="1" customHeight="1">
      <c r="A56" s="202">
        <v>2.5667714981E10</v>
      </c>
      <c r="B56" s="109" t="s">
        <v>813</v>
      </c>
      <c r="C56" s="109" t="s">
        <v>750</v>
      </c>
      <c r="D56" s="202">
        <v>1.87356061973E11</v>
      </c>
      <c r="E56" s="109" t="s">
        <v>761</v>
      </c>
      <c r="F56" s="109" t="s">
        <v>750</v>
      </c>
      <c r="G56" s="109" t="s">
        <v>814</v>
      </c>
      <c r="H56" s="109"/>
      <c r="I56" s="109" t="s">
        <v>97</v>
      </c>
      <c r="J56" s="109" t="s">
        <v>97</v>
      </c>
      <c r="K56" s="109" t="s">
        <v>97</v>
      </c>
      <c r="L56" s="109" t="s">
        <v>97</v>
      </c>
      <c r="M56" s="109" t="s">
        <v>97</v>
      </c>
      <c r="N56" s="109" t="s">
        <v>97</v>
      </c>
      <c r="O56" s="202">
        <v>1.0</v>
      </c>
      <c r="P56" s="202">
        <v>1.0</v>
      </c>
      <c r="Q56" s="109" t="s">
        <v>97</v>
      </c>
      <c r="R56" s="202">
        <v>0.0</v>
      </c>
      <c r="S56" s="202">
        <v>0.0</v>
      </c>
      <c r="T56" s="202">
        <v>0.0</v>
      </c>
      <c r="U56" s="109" t="s">
        <v>97</v>
      </c>
      <c r="V56" s="202">
        <v>0.0</v>
      </c>
      <c r="W56" s="202">
        <v>0.0</v>
      </c>
      <c r="X56" s="202">
        <v>0.0</v>
      </c>
      <c r="Y56" s="109" t="s">
        <v>97</v>
      </c>
      <c r="Z56" s="204">
        <v>0.0</v>
      </c>
      <c r="AA56" s="204">
        <v>0.0</v>
      </c>
      <c r="AB56" s="202">
        <v>0.0</v>
      </c>
    </row>
    <row r="57" ht="15.75" hidden="1" customHeight="1">
      <c r="A57" s="202">
        <v>2.9178869548E10</v>
      </c>
      <c r="B57" s="109" t="s">
        <v>815</v>
      </c>
      <c r="C57" s="109" t="s">
        <v>792</v>
      </c>
      <c r="D57" s="109" t="s">
        <v>97</v>
      </c>
      <c r="E57" s="109" t="s">
        <v>97</v>
      </c>
      <c r="F57" s="109" t="s">
        <v>97</v>
      </c>
      <c r="G57" s="109" t="s">
        <v>97</v>
      </c>
      <c r="H57" s="109" t="s">
        <v>777</v>
      </c>
      <c r="I57" s="202">
        <v>7.0</v>
      </c>
      <c r="J57" s="202">
        <v>10.0</v>
      </c>
      <c r="K57" s="202">
        <v>3.0</v>
      </c>
      <c r="L57" s="204">
        <v>0.4286</v>
      </c>
      <c r="M57" s="202">
        <v>0.0</v>
      </c>
      <c r="N57" s="202">
        <v>0.0</v>
      </c>
      <c r="O57" s="202">
        <v>0.0</v>
      </c>
      <c r="P57" s="202">
        <v>0.0</v>
      </c>
      <c r="Q57" s="204">
        <v>0.0</v>
      </c>
      <c r="R57" s="202">
        <v>0.0</v>
      </c>
      <c r="S57" s="202">
        <v>0.0</v>
      </c>
      <c r="T57" s="202">
        <v>0.0</v>
      </c>
      <c r="U57" s="204">
        <v>0.0</v>
      </c>
      <c r="V57" s="202">
        <v>0.0</v>
      </c>
      <c r="W57" s="202">
        <v>0.0</v>
      </c>
      <c r="X57" s="202">
        <v>0.0</v>
      </c>
      <c r="Y57" s="204">
        <v>0.0</v>
      </c>
      <c r="Z57" s="204">
        <v>0.0</v>
      </c>
      <c r="AA57" s="204">
        <v>0.0</v>
      </c>
      <c r="AB57" s="202">
        <v>0.0</v>
      </c>
    </row>
    <row r="58" ht="15.75" hidden="1" customHeight="1">
      <c r="A58" s="202">
        <v>4.2463837349E10</v>
      </c>
      <c r="B58" s="109" t="s">
        <v>816</v>
      </c>
      <c r="C58" s="109" t="s">
        <v>817</v>
      </c>
      <c r="D58" s="109" t="s">
        <v>97</v>
      </c>
      <c r="E58" s="109" t="s">
        <v>97</v>
      </c>
      <c r="F58" s="109" t="s">
        <v>97</v>
      </c>
      <c r="G58" s="109" t="s">
        <v>97</v>
      </c>
      <c r="H58" s="109" t="s">
        <v>97</v>
      </c>
      <c r="I58" s="202">
        <v>1.0</v>
      </c>
      <c r="J58" s="202">
        <v>2.0</v>
      </c>
      <c r="K58" s="202">
        <v>0.0</v>
      </c>
      <c r="L58" s="204">
        <v>0.0</v>
      </c>
      <c r="M58" s="202">
        <v>0.0</v>
      </c>
      <c r="N58" s="202">
        <v>0.0</v>
      </c>
      <c r="O58" s="202">
        <v>0.0</v>
      </c>
      <c r="P58" s="202">
        <v>0.0</v>
      </c>
      <c r="Q58" s="204">
        <v>0.0</v>
      </c>
      <c r="R58" s="202">
        <v>0.0</v>
      </c>
      <c r="S58" s="202">
        <v>0.0</v>
      </c>
      <c r="T58" s="202">
        <v>0.0</v>
      </c>
      <c r="U58" s="204">
        <v>0.0</v>
      </c>
      <c r="V58" s="202">
        <v>0.0</v>
      </c>
      <c r="W58" s="202">
        <v>0.0</v>
      </c>
      <c r="X58" s="202">
        <v>0.0</v>
      </c>
      <c r="Y58" s="204">
        <v>0.0</v>
      </c>
      <c r="Z58" s="204">
        <v>0.0</v>
      </c>
      <c r="AA58" s="204">
        <v>0.0</v>
      </c>
      <c r="AB58" s="202">
        <v>0.0</v>
      </c>
    </row>
    <row r="59" ht="15.75" hidden="1" customHeight="1">
      <c r="A59" s="202">
        <v>3.817113391E9</v>
      </c>
      <c r="B59" s="109" t="s">
        <v>815</v>
      </c>
      <c r="C59" s="109" t="s">
        <v>792</v>
      </c>
      <c r="D59" s="109" t="s">
        <v>97</v>
      </c>
      <c r="E59" s="109" t="s">
        <v>97</v>
      </c>
      <c r="F59" s="109" t="s">
        <v>97</v>
      </c>
      <c r="G59" s="109" t="s">
        <v>97</v>
      </c>
      <c r="H59" s="109" t="s">
        <v>97</v>
      </c>
      <c r="I59" s="202">
        <v>0.0</v>
      </c>
      <c r="J59" s="202">
        <v>0.0</v>
      </c>
      <c r="K59" s="202">
        <v>0.0</v>
      </c>
      <c r="L59" s="204">
        <v>0.0</v>
      </c>
      <c r="M59" s="202">
        <v>0.0</v>
      </c>
      <c r="N59" s="202">
        <v>0.0</v>
      </c>
      <c r="O59" s="202">
        <v>0.0</v>
      </c>
      <c r="P59" s="202">
        <v>0.0</v>
      </c>
      <c r="Q59" s="204">
        <v>0.0</v>
      </c>
      <c r="R59" s="202">
        <v>0.0</v>
      </c>
      <c r="S59" s="202">
        <v>0.0</v>
      </c>
      <c r="T59" s="202">
        <v>0.0</v>
      </c>
      <c r="U59" s="204">
        <v>0.0</v>
      </c>
      <c r="V59" s="202">
        <v>0.0</v>
      </c>
      <c r="W59" s="202">
        <v>0.0</v>
      </c>
      <c r="X59" s="202">
        <v>0.0</v>
      </c>
      <c r="Y59" s="204">
        <v>0.0</v>
      </c>
      <c r="Z59" s="204">
        <v>0.0</v>
      </c>
      <c r="AA59" s="204">
        <v>0.0</v>
      </c>
      <c r="AB59" s="202">
        <v>0.0</v>
      </c>
    </row>
    <row r="60" ht="15.75" hidden="1" customHeight="1">
      <c r="A60" s="202">
        <v>7.117086844E9</v>
      </c>
      <c r="B60" s="109" t="s">
        <v>815</v>
      </c>
      <c r="C60" s="109" t="s">
        <v>792</v>
      </c>
      <c r="D60" s="109" t="s">
        <v>97</v>
      </c>
      <c r="E60" s="109" t="s">
        <v>97</v>
      </c>
      <c r="F60" s="109" t="s">
        <v>97</v>
      </c>
      <c r="G60" s="109" t="s">
        <v>97</v>
      </c>
      <c r="H60" s="109" t="s">
        <v>97</v>
      </c>
      <c r="I60" s="202">
        <v>0.0</v>
      </c>
      <c r="J60" s="202">
        <v>0.0</v>
      </c>
      <c r="K60" s="202">
        <v>0.0</v>
      </c>
      <c r="L60" s="204">
        <v>0.0</v>
      </c>
      <c r="M60" s="202">
        <v>0.0</v>
      </c>
      <c r="N60" s="202">
        <v>0.0</v>
      </c>
      <c r="O60" s="202">
        <v>0.0</v>
      </c>
      <c r="P60" s="202">
        <v>0.0</v>
      </c>
      <c r="Q60" s="204">
        <v>0.0</v>
      </c>
      <c r="R60" s="202">
        <v>0.0</v>
      </c>
      <c r="S60" s="202">
        <v>0.0</v>
      </c>
      <c r="T60" s="202">
        <v>0.0</v>
      </c>
      <c r="U60" s="204">
        <v>0.0</v>
      </c>
      <c r="V60" s="202">
        <v>0.0</v>
      </c>
      <c r="W60" s="202">
        <v>0.0</v>
      </c>
      <c r="X60" s="202">
        <v>0.0</v>
      </c>
      <c r="Y60" s="204">
        <v>0.0</v>
      </c>
      <c r="Z60" s="204">
        <v>0.0</v>
      </c>
      <c r="AA60" s="204">
        <v>0.0</v>
      </c>
      <c r="AB60" s="202">
        <v>0.0</v>
      </c>
    </row>
    <row r="61" ht="15.75" hidden="1" customHeight="1">
      <c r="A61" s="109">
        <v>1.5506212702E10</v>
      </c>
      <c r="B61" s="109" t="s">
        <v>818</v>
      </c>
      <c r="C61" s="109" t="s">
        <v>750</v>
      </c>
      <c r="D61" s="109" t="s">
        <v>97</v>
      </c>
      <c r="E61" s="109" t="s">
        <v>97</v>
      </c>
      <c r="F61" s="109" t="s">
        <v>97</v>
      </c>
      <c r="G61" s="109" t="s">
        <v>97</v>
      </c>
      <c r="H61" s="109" t="s">
        <v>97</v>
      </c>
      <c r="I61" s="109">
        <v>0.0</v>
      </c>
      <c r="J61" s="109">
        <v>0.0</v>
      </c>
      <c r="K61" s="109">
        <v>0.0</v>
      </c>
      <c r="L61" s="218">
        <v>0.0</v>
      </c>
      <c r="M61" s="109">
        <v>0.0</v>
      </c>
      <c r="N61" s="109">
        <v>0.0</v>
      </c>
      <c r="O61" s="109">
        <v>0.0</v>
      </c>
      <c r="P61" s="109">
        <v>0.0</v>
      </c>
      <c r="Q61" s="218">
        <v>0.0</v>
      </c>
      <c r="R61" s="109">
        <v>0.0</v>
      </c>
      <c r="S61" s="109">
        <v>0.0</v>
      </c>
      <c r="T61" s="109">
        <v>0.0</v>
      </c>
      <c r="U61" s="218">
        <v>0.0</v>
      </c>
      <c r="V61" s="109">
        <v>0.0</v>
      </c>
      <c r="W61" s="109">
        <v>0.0</v>
      </c>
      <c r="X61" s="109">
        <v>0.0</v>
      </c>
      <c r="Y61" s="218">
        <v>0.0</v>
      </c>
      <c r="Z61" s="218">
        <v>0.0</v>
      </c>
      <c r="AA61" s="218">
        <v>0.0</v>
      </c>
      <c r="AB61" s="109">
        <v>0.0</v>
      </c>
    </row>
    <row r="62" ht="15.75" hidden="1" customHeight="1">
      <c r="A62" s="109">
        <v>2.2964444155E10</v>
      </c>
      <c r="B62" s="109" t="s">
        <v>798</v>
      </c>
      <c r="C62" s="109" t="s">
        <v>750</v>
      </c>
      <c r="D62" s="109" t="s">
        <v>97</v>
      </c>
      <c r="E62" s="109" t="s">
        <v>97</v>
      </c>
      <c r="F62" s="109" t="s">
        <v>97</v>
      </c>
      <c r="G62" s="109" t="s">
        <v>97</v>
      </c>
      <c r="H62" s="109" t="s">
        <v>799</v>
      </c>
      <c r="I62" s="109">
        <v>0.0</v>
      </c>
      <c r="J62" s="109">
        <v>0.0</v>
      </c>
      <c r="K62" s="109">
        <v>0.0</v>
      </c>
      <c r="L62" s="218">
        <v>0.0</v>
      </c>
      <c r="M62" s="109">
        <v>0.0</v>
      </c>
      <c r="N62" s="109">
        <v>0.0</v>
      </c>
      <c r="O62" s="109">
        <v>0.0</v>
      </c>
      <c r="P62" s="109">
        <v>0.0</v>
      </c>
      <c r="Q62" s="218">
        <v>0.0</v>
      </c>
      <c r="R62" s="109">
        <v>0.0</v>
      </c>
      <c r="S62" s="109">
        <v>0.0</v>
      </c>
      <c r="T62" s="109">
        <v>0.0</v>
      </c>
      <c r="U62" s="218">
        <v>0.0</v>
      </c>
      <c r="V62" s="109">
        <v>0.0</v>
      </c>
      <c r="W62" s="109">
        <v>0.0</v>
      </c>
      <c r="X62" s="109">
        <v>0.0</v>
      </c>
      <c r="Y62" s="218">
        <v>0.0</v>
      </c>
      <c r="Z62" s="218">
        <v>0.0</v>
      </c>
      <c r="AA62" s="218">
        <v>0.0</v>
      </c>
      <c r="AB62" s="109">
        <v>0.0</v>
      </c>
    </row>
    <row r="63" ht="15.75" hidden="1" customHeight="1">
      <c r="A63" s="109">
        <v>2.4767728121E10</v>
      </c>
      <c r="B63" s="109" t="s">
        <v>807</v>
      </c>
      <c r="C63" s="109" t="s">
        <v>750</v>
      </c>
      <c r="D63" s="109" t="s">
        <v>97</v>
      </c>
      <c r="E63" s="109" t="s">
        <v>97</v>
      </c>
      <c r="F63" s="109" t="s">
        <v>97</v>
      </c>
      <c r="G63" s="109" t="s">
        <v>97</v>
      </c>
      <c r="H63" s="109" t="s">
        <v>808</v>
      </c>
      <c r="I63" s="109">
        <v>0.0</v>
      </c>
      <c r="J63" s="109">
        <v>0.0</v>
      </c>
      <c r="K63" s="109">
        <v>0.0</v>
      </c>
      <c r="L63" s="218">
        <v>0.0</v>
      </c>
      <c r="M63" s="109">
        <v>0.0</v>
      </c>
      <c r="N63" s="109">
        <v>0.0</v>
      </c>
      <c r="O63" s="109">
        <v>0.0</v>
      </c>
      <c r="P63" s="109">
        <v>0.0</v>
      </c>
      <c r="Q63" s="218">
        <v>0.0</v>
      </c>
      <c r="R63" s="109">
        <v>0.0</v>
      </c>
      <c r="S63" s="109">
        <v>0.0</v>
      </c>
      <c r="T63" s="109">
        <v>0.0</v>
      </c>
      <c r="U63" s="218">
        <v>0.0</v>
      </c>
      <c r="V63" s="109">
        <v>0.0</v>
      </c>
      <c r="W63" s="109">
        <v>0.0</v>
      </c>
      <c r="X63" s="109">
        <v>0.0</v>
      </c>
      <c r="Y63" s="218">
        <v>0.0</v>
      </c>
      <c r="Z63" s="218">
        <v>0.0</v>
      </c>
      <c r="AA63" s="218">
        <v>0.0</v>
      </c>
      <c r="AB63" s="109">
        <v>0.0</v>
      </c>
    </row>
    <row r="64" ht="15.75" hidden="1" customHeight="1">
      <c r="A64" s="109">
        <v>2.5267725409E10</v>
      </c>
      <c r="B64" s="109" t="s">
        <v>811</v>
      </c>
      <c r="C64" s="109" t="s">
        <v>750</v>
      </c>
      <c r="D64" s="109" t="s">
        <v>97</v>
      </c>
      <c r="E64" s="109" t="s">
        <v>97</v>
      </c>
      <c r="F64" s="109" t="s">
        <v>97</v>
      </c>
      <c r="G64" s="109" t="s">
        <v>97</v>
      </c>
      <c r="H64" s="109" t="s">
        <v>812</v>
      </c>
      <c r="I64" s="109">
        <v>0.0</v>
      </c>
      <c r="J64" s="109">
        <v>0.0</v>
      </c>
      <c r="K64" s="109">
        <v>0.0</v>
      </c>
      <c r="L64" s="218">
        <v>0.0</v>
      </c>
      <c r="M64" s="109">
        <v>0.0</v>
      </c>
      <c r="N64" s="109">
        <v>0.0</v>
      </c>
      <c r="O64" s="109">
        <v>0.0</v>
      </c>
      <c r="P64" s="109">
        <v>0.0</v>
      </c>
      <c r="Q64" s="218">
        <v>0.0</v>
      </c>
      <c r="R64" s="109">
        <v>0.0</v>
      </c>
      <c r="S64" s="109">
        <v>0.0</v>
      </c>
      <c r="T64" s="109">
        <v>0.0</v>
      </c>
      <c r="U64" s="218">
        <v>0.0</v>
      </c>
      <c r="V64" s="109">
        <v>0.0</v>
      </c>
      <c r="W64" s="109">
        <v>0.0</v>
      </c>
      <c r="X64" s="109">
        <v>0.0</v>
      </c>
      <c r="Y64" s="218">
        <v>0.0</v>
      </c>
      <c r="Z64" s="218">
        <v>0.0</v>
      </c>
      <c r="AA64" s="218">
        <v>0.0</v>
      </c>
      <c r="AB64" s="109">
        <v>0.0</v>
      </c>
    </row>
    <row r="65" ht="15.75" customHeight="1">
      <c r="A65" s="191" t="str">
        <f>IF(C65&lt;&gt;"", "Có giá trị", "")</f>
        <v>Có giá trị</v>
      </c>
      <c r="B65" s="192" t="s">
        <v>714</v>
      </c>
      <c r="C65" s="192" t="s">
        <v>724</v>
      </c>
      <c r="D65" s="192" t="s">
        <v>725</v>
      </c>
      <c r="E65" s="192" t="s">
        <v>715</v>
      </c>
      <c r="F65" s="192" t="s">
        <v>726</v>
      </c>
      <c r="G65" s="192" t="s">
        <v>727</v>
      </c>
      <c r="H65" s="192" t="s">
        <v>728</v>
      </c>
      <c r="I65" s="192" t="s">
        <v>729</v>
      </c>
      <c r="J65" s="192" t="s">
        <v>730</v>
      </c>
      <c r="K65" s="192" t="s">
        <v>731</v>
      </c>
      <c r="L65" s="192" t="s">
        <v>732</v>
      </c>
      <c r="M65" s="192" t="s">
        <v>733</v>
      </c>
      <c r="N65" s="192" t="s">
        <v>734</v>
      </c>
      <c r="O65" s="192" t="s">
        <v>735</v>
      </c>
      <c r="P65" s="192" t="s">
        <v>736</v>
      </c>
      <c r="Q65" s="192" t="s">
        <v>737</v>
      </c>
      <c r="R65" s="192" t="s">
        <v>738</v>
      </c>
      <c r="S65" s="330" t="s">
        <v>739</v>
      </c>
      <c r="T65" s="330" t="s">
        <v>740</v>
      </c>
      <c r="U65" s="192" t="s">
        <v>741</v>
      </c>
      <c r="V65" s="192" t="s">
        <v>742</v>
      </c>
      <c r="W65" s="331" t="s">
        <v>743</v>
      </c>
      <c r="X65" s="331" t="s">
        <v>744</v>
      </c>
      <c r="Y65" s="192" t="s">
        <v>745</v>
      </c>
      <c r="Z65" s="192" t="s">
        <v>746</v>
      </c>
      <c r="AA65" s="192" t="s">
        <v>747</v>
      </c>
      <c r="AB65" s="192" t="s">
        <v>748</v>
      </c>
    </row>
    <row r="66" ht="15.75" customHeight="1">
      <c r="A66" s="109">
        <v>2.5666719442E10</v>
      </c>
      <c r="B66" s="109" t="s">
        <v>759</v>
      </c>
      <c r="C66" s="109" t="s">
        <v>750</v>
      </c>
      <c r="D66" s="109" t="s">
        <v>97</v>
      </c>
      <c r="E66" s="109" t="s">
        <v>97</v>
      </c>
      <c r="F66" s="109" t="s">
        <v>97</v>
      </c>
      <c r="G66" s="109" t="s">
        <v>97</v>
      </c>
      <c r="H66" s="109" t="s">
        <v>97</v>
      </c>
      <c r="I66" s="109">
        <v>337.0</v>
      </c>
      <c r="J66" s="109">
        <v>794.0</v>
      </c>
      <c r="K66" s="216">
        <v>56.0</v>
      </c>
      <c r="L66" s="218">
        <v>0.1662</v>
      </c>
      <c r="M66" s="109">
        <v>48.0</v>
      </c>
      <c r="N66" s="109">
        <v>13.0</v>
      </c>
      <c r="O66" s="216">
        <v>72.0</v>
      </c>
      <c r="P66" s="109">
        <v>158.0</v>
      </c>
      <c r="Q66" s="218">
        <v>0.2136</v>
      </c>
      <c r="R66" s="109">
        <v>23.0</v>
      </c>
      <c r="S66" s="109">
        <v>33.0</v>
      </c>
      <c r="T66" s="216">
        <v>2.5286817E7</v>
      </c>
      <c r="U66" s="218">
        <v>0.0682</v>
      </c>
      <c r="V66" s="109">
        <v>23.0</v>
      </c>
      <c r="W66" s="109">
        <v>33.0</v>
      </c>
      <c r="X66" s="216">
        <v>2.5286817E7</v>
      </c>
      <c r="Y66" s="218">
        <v>0.0682</v>
      </c>
      <c r="Z66" s="218">
        <v>1.0</v>
      </c>
      <c r="AA66" s="218">
        <v>0.2069</v>
      </c>
      <c r="AB66" s="333">
        <v>45689.0</v>
      </c>
    </row>
    <row r="67" ht="15.75" customHeight="1">
      <c r="A67" s="109">
        <v>2.5666719442E10</v>
      </c>
      <c r="B67" s="109" t="s">
        <v>759</v>
      </c>
      <c r="C67" s="109" t="s">
        <v>750</v>
      </c>
      <c r="D67" s="109">
        <v>2.55410547718E11</v>
      </c>
      <c r="E67" s="109" t="s">
        <v>761</v>
      </c>
      <c r="F67" s="109" t="s">
        <v>750</v>
      </c>
      <c r="G67" s="109" t="s">
        <v>762</v>
      </c>
      <c r="H67" s="109"/>
      <c r="I67" s="109" t="s">
        <v>97</v>
      </c>
      <c r="J67" s="109" t="s">
        <v>97</v>
      </c>
      <c r="K67" s="216" t="s">
        <v>97</v>
      </c>
      <c r="L67" s="109" t="s">
        <v>97</v>
      </c>
      <c r="M67" s="109" t="s">
        <v>97</v>
      </c>
      <c r="N67" s="109" t="s">
        <v>97</v>
      </c>
      <c r="O67" s="216">
        <v>28.0</v>
      </c>
      <c r="P67" s="109">
        <v>53.0</v>
      </c>
      <c r="Q67" s="109" t="s">
        <v>97</v>
      </c>
      <c r="R67" s="109">
        <v>4.0</v>
      </c>
      <c r="S67" s="109">
        <v>4.0</v>
      </c>
      <c r="T67" s="216">
        <v>1818607.0</v>
      </c>
      <c r="U67" s="109" t="s">
        <v>97</v>
      </c>
      <c r="V67" s="109">
        <v>4.0</v>
      </c>
      <c r="W67" s="109">
        <v>4.0</v>
      </c>
      <c r="X67" s="216">
        <v>1818607.0</v>
      </c>
      <c r="Y67" s="109" t="s">
        <v>97</v>
      </c>
      <c r="Z67" s="218">
        <v>1.0</v>
      </c>
      <c r="AA67" s="218">
        <v>0.0</v>
      </c>
      <c r="AB67" s="109">
        <v>0.0</v>
      </c>
    </row>
    <row r="68" ht="15.75" customHeight="1">
      <c r="A68" s="109">
        <v>2.5666719442E10</v>
      </c>
      <c r="B68" s="109" t="s">
        <v>759</v>
      </c>
      <c r="C68" s="109" t="s">
        <v>750</v>
      </c>
      <c r="D68" s="109">
        <v>2.55410547719E11</v>
      </c>
      <c r="E68" s="109" t="s">
        <v>721</v>
      </c>
      <c r="F68" s="109" t="s">
        <v>750</v>
      </c>
      <c r="G68" s="109" t="s">
        <v>763</v>
      </c>
      <c r="H68" s="109"/>
      <c r="I68" s="109" t="s">
        <v>97</v>
      </c>
      <c r="J68" s="109" t="s">
        <v>97</v>
      </c>
      <c r="K68" s="216" t="s">
        <v>97</v>
      </c>
      <c r="L68" s="109" t="s">
        <v>97</v>
      </c>
      <c r="M68" s="109" t="s">
        <v>97</v>
      </c>
      <c r="N68" s="109" t="s">
        <v>97</v>
      </c>
      <c r="O68" s="216">
        <v>57.0</v>
      </c>
      <c r="P68" s="109">
        <v>105.0</v>
      </c>
      <c r="Q68" s="109" t="s">
        <v>97</v>
      </c>
      <c r="R68" s="109">
        <v>21.0</v>
      </c>
      <c r="S68" s="109">
        <v>29.0</v>
      </c>
      <c r="T68" s="216">
        <v>2.346821E7</v>
      </c>
      <c r="U68" s="109" t="s">
        <v>97</v>
      </c>
      <c r="V68" s="109">
        <v>21.0</v>
      </c>
      <c r="W68" s="109">
        <v>29.0</v>
      </c>
      <c r="X68" s="216">
        <v>2.346821E7</v>
      </c>
      <c r="Y68" s="109" t="s">
        <v>97</v>
      </c>
      <c r="Z68" s="218">
        <v>1.0</v>
      </c>
      <c r="AA68" s="218">
        <v>0.1923</v>
      </c>
      <c r="AB68" s="109" t="s">
        <v>819</v>
      </c>
    </row>
    <row r="69" ht="15.75" customHeight="1">
      <c r="A69" s="109">
        <v>8.782633181E9</v>
      </c>
      <c r="B69" s="109" t="s">
        <v>764</v>
      </c>
      <c r="C69" s="109" t="s">
        <v>750</v>
      </c>
      <c r="D69" s="109" t="s">
        <v>97</v>
      </c>
      <c r="E69" s="109" t="s">
        <v>97</v>
      </c>
      <c r="F69" s="109" t="s">
        <v>97</v>
      </c>
      <c r="G69" s="109" t="s">
        <v>97</v>
      </c>
      <c r="H69" s="109" t="s">
        <v>765</v>
      </c>
      <c r="I69" s="109">
        <v>295.0</v>
      </c>
      <c r="J69" s="109">
        <v>790.0</v>
      </c>
      <c r="K69" s="216">
        <v>67.0</v>
      </c>
      <c r="L69" s="218">
        <v>0.2271</v>
      </c>
      <c r="M69" s="109">
        <v>119.0</v>
      </c>
      <c r="N69" s="109">
        <v>24.0</v>
      </c>
      <c r="O69" s="216">
        <v>38.0</v>
      </c>
      <c r="P69" s="109">
        <v>137.0</v>
      </c>
      <c r="Q69" s="218">
        <v>0.1288</v>
      </c>
      <c r="R69" s="109">
        <v>10.0</v>
      </c>
      <c r="S69" s="109">
        <v>27.0</v>
      </c>
      <c r="T69" s="216">
        <v>2.511623E7</v>
      </c>
      <c r="U69" s="218">
        <v>0.0339</v>
      </c>
      <c r="V69" s="109">
        <v>10.0</v>
      </c>
      <c r="W69" s="109">
        <v>25.0</v>
      </c>
      <c r="X69" s="216">
        <v>2.334908E7</v>
      </c>
      <c r="Y69" s="218">
        <v>0.0339</v>
      </c>
      <c r="Z69" s="218">
        <v>1.0</v>
      </c>
      <c r="AA69" s="218">
        <v>0.5</v>
      </c>
      <c r="AB69" s="333">
        <v>45872.0</v>
      </c>
    </row>
    <row r="70" ht="15.75" customHeight="1">
      <c r="A70" s="109">
        <v>5.158911395E9</v>
      </c>
      <c r="B70" s="109" t="s">
        <v>749</v>
      </c>
      <c r="C70" s="109" t="s">
        <v>750</v>
      </c>
      <c r="D70" s="109" t="s">
        <v>97</v>
      </c>
      <c r="E70" s="109" t="s">
        <v>97</v>
      </c>
      <c r="F70" s="109" t="s">
        <v>97</v>
      </c>
      <c r="G70" s="109" t="s">
        <v>97</v>
      </c>
      <c r="H70" s="109" t="s">
        <v>97</v>
      </c>
      <c r="I70" s="109">
        <v>79.0</v>
      </c>
      <c r="J70" s="109">
        <v>164.0</v>
      </c>
      <c r="K70" s="216">
        <v>18.0</v>
      </c>
      <c r="L70" s="218">
        <v>0.2278</v>
      </c>
      <c r="M70" s="109">
        <v>43.0</v>
      </c>
      <c r="N70" s="109">
        <v>11.0</v>
      </c>
      <c r="O70" s="216">
        <v>19.0</v>
      </c>
      <c r="P70" s="109">
        <v>78.0</v>
      </c>
      <c r="Q70" s="218">
        <v>0.2405</v>
      </c>
      <c r="R70" s="109">
        <v>6.0</v>
      </c>
      <c r="S70" s="109">
        <v>17.0</v>
      </c>
      <c r="T70" s="216">
        <v>952500.0</v>
      </c>
      <c r="U70" s="218">
        <v>0.0759</v>
      </c>
      <c r="V70" s="109">
        <v>6.0</v>
      </c>
      <c r="W70" s="109">
        <v>17.0</v>
      </c>
      <c r="X70" s="216">
        <v>952500.0</v>
      </c>
      <c r="Y70" s="218">
        <v>0.0759</v>
      </c>
      <c r="Z70" s="218">
        <v>1.0</v>
      </c>
      <c r="AA70" s="218">
        <v>0.0</v>
      </c>
      <c r="AB70" s="109">
        <v>0.0</v>
      </c>
    </row>
    <row r="71" ht="15.75" customHeight="1">
      <c r="A71" s="109">
        <v>5.158911395E9</v>
      </c>
      <c r="B71" s="109" t="s">
        <v>749</v>
      </c>
      <c r="C71" s="109" t="s">
        <v>750</v>
      </c>
      <c r="D71" s="109">
        <v>9.3855942766E10</v>
      </c>
      <c r="E71" s="109" t="s">
        <v>751</v>
      </c>
      <c r="F71" s="109" t="s">
        <v>750</v>
      </c>
      <c r="G71" s="109" t="s">
        <v>97</v>
      </c>
      <c r="H71" s="109"/>
      <c r="I71" s="109" t="s">
        <v>97</v>
      </c>
      <c r="J71" s="109" t="s">
        <v>97</v>
      </c>
      <c r="K71" s="216" t="s">
        <v>97</v>
      </c>
      <c r="L71" s="109" t="s">
        <v>97</v>
      </c>
      <c r="M71" s="109" t="s">
        <v>97</v>
      </c>
      <c r="N71" s="109" t="s">
        <v>97</v>
      </c>
      <c r="O71" s="216">
        <v>4.0</v>
      </c>
      <c r="P71" s="109">
        <v>35.0</v>
      </c>
      <c r="Q71" s="109" t="s">
        <v>97</v>
      </c>
      <c r="R71" s="109">
        <v>1.0</v>
      </c>
      <c r="S71" s="109">
        <v>5.0</v>
      </c>
      <c r="T71" s="216">
        <v>295000.0</v>
      </c>
      <c r="U71" s="109" t="s">
        <v>97</v>
      </c>
      <c r="V71" s="109">
        <v>1.0</v>
      </c>
      <c r="W71" s="109">
        <v>5.0</v>
      </c>
      <c r="X71" s="216">
        <v>295000.0</v>
      </c>
      <c r="Y71" s="109" t="s">
        <v>97</v>
      </c>
      <c r="Z71" s="218">
        <v>1.0</v>
      </c>
      <c r="AA71" s="218">
        <v>0.0</v>
      </c>
      <c r="AB71" s="109">
        <v>0.0</v>
      </c>
    </row>
    <row r="72" ht="15.75" customHeight="1">
      <c r="A72" s="109">
        <v>5.158911395E9</v>
      </c>
      <c r="B72" s="109" t="s">
        <v>749</v>
      </c>
      <c r="C72" s="109" t="s">
        <v>750</v>
      </c>
      <c r="D72" s="109">
        <v>9.3855942767E10</v>
      </c>
      <c r="E72" s="109" t="s">
        <v>752</v>
      </c>
      <c r="F72" s="109" t="s">
        <v>750</v>
      </c>
      <c r="G72" s="109" t="s">
        <v>97</v>
      </c>
      <c r="H72" s="109"/>
      <c r="I72" s="109" t="s">
        <v>97</v>
      </c>
      <c r="J72" s="109" t="s">
        <v>97</v>
      </c>
      <c r="K72" s="216" t="s">
        <v>97</v>
      </c>
      <c r="L72" s="109" t="s">
        <v>97</v>
      </c>
      <c r="M72" s="109" t="s">
        <v>97</v>
      </c>
      <c r="N72" s="109" t="s">
        <v>97</v>
      </c>
      <c r="O72" s="216">
        <v>16.0</v>
      </c>
      <c r="P72" s="109">
        <v>40.0</v>
      </c>
      <c r="Q72" s="109" t="s">
        <v>97</v>
      </c>
      <c r="R72" s="109">
        <v>5.0</v>
      </c>
      <c r="S72" s="109">
        <v>11.0</v>
      </c>
      <c r="T72" s="216">
        <v>609500.0</v>
      </c>
      <c r="U72" s="109" t="s">
        <v>97</v>
      </c>
      <c r="V72" s="109">
        <v>5.0</v>
      </c>
      <c r="W72" s="109">
        <v>11.0</v>
      </c>
      <c r="X72" s="216">
        <v>609500.0</v>
      </c>
      <c r="Y72" s="109" t="s">
        <v>97</v>
      </c>
      <c r="Z72" s="218">
        <v>1.0</v>
      </c>
      <c r="AA72" s="218">
        <v>0.0</v>
      </c>
      <c r="AB72" s="109">
        <v>0.0</v>
      </c>
    </row>
    <row r="73" ht="15.75" customHeight="1">
      <c r="A73" s="109">
        <v>5.158911395E9</v>
      </c>
      <c r="B73" s="109" t="s">
        <v>749</v>
      </c>
      <c r="C73" s="109" t="s">
        <v>750</v>
      </c>
      <c r="D73" s="109">
        <v>9.3855942768E10</v>
      </c>
      <c r="E73" s="109" t="s">
        <v>753</v>
      </c>
      <c r="F73" s="109" t="s">
        <v>750</v>
      </c>
      <c r="G73" s="109" t="s">
        <v>97</v>
      </c>
      <c r="H73" s="109"/>
      <c r="I73" s="109" t="s">
        <v>97</v>
      </c>
      <c r="J73" s="109" t="s">
        <v>97</v>
      </c>
      <c r="K73" s="216" t="s">
        <v>97</v>
      </c>
      <c r="L73" s="109" t="s">
        <v>97</v>
      </c>
      <c r="M73" s="109" t="s">
        <v>97</v>
      </c>
      <c r="N73" s="109" t="s">
        <v>97</v>
      </c>
      <c r="O73" s="216">
        <v>2.0</v>
      </c>
      <c r="P73" s="109">
        <v>3.0</v>
      </c>
      <c r="Q73" s="109" t="s">
        <v>97</v>
      </c>
      <c r="R73" s="109">
        <v>1.0</v>
      </c>
      <c r="S73" s="109">
        <v>1.0</v>
      </c>
      <c r="T73" s="216">
        <v>48000.0</v>
      </c>
      <c r="U73" s="109" t="s">
        <v>97</v>
      </c>
      <c r="V73" s="109">
        <v>1.0</v>
      </c>
      <c r="W73" s="109">
        <v>1.0</v>
      </c>
      <c r="X73" s="216">
        <v>48000.0</v>
      </c>
      <c r="Y73" s="109" t="s">
        <v>97</v>
      </c>
      <c r="Z73" s="218">
        <v>1.0</v>
      </c>
      <c r="AA73" s="218">
        <v>0.0</v>
      </c>
      <c r="AB73" s="109">
        <v>0.0</v>
      </c>
    </row>
    <row r="74" ht="15.75" customHeight="1">
      <c r="A74" s="109">
        <v>6.917016018E9</v>
      </c>
      <c r="B74" s="109" t="s">
        <v>768</v>
      </c>
      <c r="C74" s="109" t="s">
        <v>750</v>
      </c>
      <c r="D74" s="109" t="s">
        <v>97</v>
      </c>
      <c r="E74" s="109" t="s">
        <v>97</v>
      </c>
      <c r="F74" s="109" t="s">
        <v>97</v>
      </c>
      <c r="G74" s="109" t="s">
        <v>97</v>
      </c>
      <c r="H74" s="109" t="s">
        <v>97</v>
      </c>
      <c r="I74" s="109">
        <v>217.0</v>
      </c>
      <c r="J74" s="109">
        <v>520.0</v>
      </c>
      <c r="K74" s="216">
        <v>44.0</v>
      </c>
      <c r="L74" s="218">
        <v>0.2028</v>
      </c>
      <c r="M74" s="109">
        <v>107.0</v>
      </c>
      <c r="N74" s="109">
        <v>11.0</v>
      </c>
      <c r="O74" s="216">
        <v>33.0</v>
      </c>
      <c r="P74" s="109">
        <v>77.0</v>
      </c>
      <c r="Q74" s="218">
        <v>0.1521</v>
      </c>
      <c r="R74" s="109">
        <v>11.0</v>
      </c>
      <c r="S74" s="109">
        <v>14.0</v>
      </c>
      <c r="T74" s="216">
        <v>3955531.0</v>
      </c>
      <c r="U74" s="218">
        <v>0.0507</v>
      </c>
      <c r="V74" s="109">
        <v>11.0</v>
      </c>
      <c r="W74" s="109">
        <v>13.0</v>
      </c>
      <c r="X74" s="216">
        <v>3674311.0</v>
      </c>
      <c r="Y74" s="218">
        <v>0.0507</v>
      </c>
      <c r="Z74" s="218">
        <v>1.0</v>
      </c>
      <c r="AA74" s="218">
        <v>0.0833</v>
      </c>
      <c r="AB74" s="109">
        <v>18.0</v>
      </c>
    </row>
    <row r="75" ht="15.75" customHeight="1">
      <c r="A75" s="109">
        <v>6.917016018E9</v>
      </c>
      <c r="B75" s="109" t="s">
        <v>768</v>
      </c>
      <c r="C75" s="109" t="s">
        <v>750</v>
      </c>
      <c r="D75" s="109">
        <v>1.21223345683E11</v>
      </c>
      <c r="E75" s="109" t="s">
        <v>769</v>
      </c>
      <c r="F75" s="109" t="s">
        <v>750</v>
      </c>
      <c r="G75" s="109" t="s">
        <v>770</v>
      </c>
      <c r="H75" s="109"/>
      <c r="I75" s="109" t="s">
        <v>97</v>
      </c>
      <c r="J75" s="109" t="s">
        <v>97</v>
      </c>
      <c r="K75" s="109" t="s">
        <v>97</v>
      </c>
      <c r="L75" s="109" t="s">
        <v>97</v>
      </c>
      <c r="M75" s="109" t="s">
        <v>97</v>
      </c>
      <c r="N75" s="109" t="s">
        <v>97</v>
      </c>
      <c r="O75" s="109">
        <v>7.0</v>
      </c>
      <c r="P75" s="109">
        <v>10.0</v>
      </c>
      <c r="Q75" s="109" t="s">
        <v>97</v>
      </c>
      <c r="R75" s="109">
        <v>2.0</v>
      </c>
      <c r="S75" s="109">
        <v>2.0</v>
      </c>
      <c r="T75" s="216">
        <v>389880.0</v>
      </c>
      <c r="U75" s="109" t="s">
        <v>97</v>
      </c>
      <c r="V75" s="109">
        <v>2.0</v>
      </c>
      <c r="W75" s="109">
        <v>2.0</v>
      </c>
      <c r="X75" s="216">
        <v>389880.0</v>
      </c>
      <c r="Y75" s="109" t="s">
        <v>97</v>
      </c>
      <c r="Z75" s="218">
        <v>1.0</v>
      </c>
      <c r="AA75" s="218">
        <v>0.0</v>
      </c>
      <c r="AB75" s="109">
        <v>0.0</v>
      </c>
    </row>
    <row r="76" ht="15.75" customHeight="1">
      <c r="A76" s="109">
        <v>6.917016018E9</v>
      </c>
      <c r="B76" s="109" t="s">
        <v>768</v>
      </c>
      <c r="C76" s="109" t="s">
        <v>750</v>
      </c>
      <c r="D76" s="109">
        <v>1.21223345684E11</v>
      </c>
      <c r="E76" s="109" t="s">
        <v>771</v>
      </c>
      <c r="F76" s="109" t="s">
        <v>750</v>
      </c>
      <c r="G76" s="109" t="s">
        <v>772</v>
      </c>
      <c r="H76" s="109"/>
      <c r="I76" s="109" t="s">
        <v>97</v>
      </c>
      <c r="J76" s="109" t="s">
        <v>97</v>
      </c>
      <c r="K76" s="216" t="s">
        <v>97</v>
      </c>
      <c r="L76" s="109" t="s">
        <v>97</v>
      </c>
      <c r="M76" s="109" t="s">
        <v>97</v>
      </c>
      <c r="N76" s="109" t="s">
        <v>97</v>
      </c>
      <c r="O76" s="216">
        <v>27.0</v>
      </c>
      <c r="P76" s="109">
        <v>67.0</v>
      </c>
      <c r="Q76" s="109" t="s">
        <v>97</v>
      </c>
      <c r="R76" s="109">
        <v>9.0</v>
      </c>
      <c r="S76" s="109">
        <v>12.0</v>
      </c>
      <c r="T76" s="216">
        <v>3565651.0</v>
      </c>
      <c r="U76" s="109" t="s">
        <v>97</v>
      </c>
      <c r="V76" s="109">
        <v>9.0</v>
      </c>
      <c r="W76" s="109">
        <v>11.0</v>
      </c>
      <c r="X76" s="216">
        <v>3284431.0</v>
      </c>
      <c r="Y76" s="109" t="s">
        <v>97</v>
      </c>
      <c r="Z76" s="218">
        <v>1.0</v>
      </c>
      <c r="AA76" s="218">
        <v>0.1</v>
      </c>
      <c r="AB76" s="109">
        <v>18.0</v>
      </c>
    </row>
    <row r="77" ht="15.75" customHeight="1">
      <c r="A77" s="109">
        <v>5.519393895E9</v>
      </c>
      <c r="B77" s="109" t="s">
        <v>820</v>
      </c>
      <c r="C77" s="109" t="s">
        <v>750</v>
      </c>
      <c r="D77" s="109" t="s">
        <v>97</v>
      </c>
      <c r="E77" s="109" t="s">
        <v>97</v>
      </c>
      <c r="F77" s="109" t="s">
        <v>97</v>
      </c>
      <c r="G77" s="109" t="s">
        <v>97</v>
      </c>
      <c r="H77" s="109" t="s">
        <v>97</v>
      </c>
      <c r="I77" s="109">
        <v>113.0</v>
      </c>
      <c r="J77" s="109">
        <v>264.0</v>
      </c>
      <c r="K77" s="216">
        <v>32.0</v>
      </c>
      <c r="L77" s="218">
        <v>0.2832</v>
      </c>
      <c r="M77" s="109">
        <v>25.0</v>
      </c>
      <c r="N77" s="109">
        <v>13.0</v>
      </c>
      <c r="O77" s="109">
        <v>27.0</v>
      </c>
      <c r="P77" s="109">
        <v>69.0</v>
      </c>
      <c r="Q77" s="218">
        <v>0.2389</v>
      </c>
      <c r="R77" s="109">
        <v>8.0</v>
      </c>
      <c r="S77" s="109">
        <v>12.0</v>
      </c>
      <c r="T77" s="216">
        <v>6811660.0</v>
      </c>
      <c r="U77" s="218">
        <v>0.0708</v>
      </c>
      <c r="V77" s="109">
        <v>7.0</v>
      </c>
      <c r="W77" s="109">
        <v>9.0</v>
      </c>
      <c r="X77" s="216">
        <v>5496780.0</v>
      </c>
      <c r="Y77" s="218">
        <v>0.0619</v>
      </c>
      <c r="Z77" s="218">
        <v>0.875</v>
      </c>
      <c r="AA77" s="218">
        <v>0.125</v>
      </c>
      <c r="AB77" s="109">
        <v>0.0</v>
      </c>
    </row>
    <row r="78" ht="15.75" customHeight="1">
      <c r="A78" s="109">
        <v>5.519393895E9</v>
      </c>
      <c r="B78" s="109" t="s">
        <v>820</v>
      </c>
      <c r="C78" s="109" t="s">
        <v>750</v>
      </c>
      <c r="D78" s="109">
        <v>7.6595553673E10</v>
      </c>
      <c r="E78" s="109" t="s">
        <v>755</v>
      </c>
      <c r="F78" s="109" t="s">
        <v>750</v>
      </c>
      <c r="G78" s="109" t="s">
        <v>756</v>
      </c>
      <c r="H78" s="109"/>
      <c r="I78" s="109" t="s">
        <v>97</v>
      </c>
      <c r="J78" s="109" t="s">
        <v>97</v>
      </c>
      <c r="K78" s="216" t="s">
        <v>97</v>
      </c>
      <c r="L78" s="109" t="s">
        <v>97</v>
      </c>
      <c r="M78" s="109" t="s">
        <v>97</v>
      </c>
      <c r="N78" s="109" t="s">
        <v>97</v>
      </c>
      <c r="O78" s="216">
        <v>20.0</v>
      </c>
      <c r="P78" s="109">
        <v>32.0</v>
      </c>
      <c r="Q78" s="109" t="s">
        <v>97</v>
      </c>
      <c r="R78" s="109">
        <v>4.0</v>
      </c>
      <c r="S78" s="109">
        <v>6.0</v>
      </c>
      <c r="T78" s="216">
        <v>2558639.0</v>
      </c>
      <c r="U78" s="109" t="s">
        <v>97</v>
      </c>
      <c r="V78" s="109">
        <v>2.0</v>
      </c>
      <c r="W78" s="109">
        <v>3.0</v>
      </c>
      <c r="X78" s="216">
        <v>1243759.0</v>
      </c>
      <c r="Y78" s="109" t="s">
        <v>97</v>
      </c>
      <c r="Z78" s="218">
        <v>0.5</v>
      </c>
      <c r="AA78" s="218">
        <v>0.0</v>
      </c>
      <c r="AB78" s="109">
        <v>0.0</v>
      </c>
    </row>
    <row r="79" ht="15.75" customHeight="1">
      <c r="A79" s="109">
        <v>5.519393895E9</v>
      </c>
      <c r="B79" s="109" t="s">
        <v>820</v>
      </c>
      <c r="C79" s="109" t="s">
        <v>750</v>
      </c>
      <c r="D79" s="109">
        <v>7.6595553674E10</v>
      </c>
      <c r="E79" s="109" t="s">
        <v>757</v>
      </c>
      <c r="F79" s="109" t="s">
        <v>750</v>
      </c>
      <c r="G79" s="109" t="s">
        <v>758</v>
      </c>
      <c r="H79" s="109"/>
      <c r="I79" s="109" t="s">
        <v>97</v>
      </c>
      <c r="J79" s="109" t="s">
        <v>97</v>
      </c>
      <c r="K79" s="216" t="s">
        <v>97</v>
      </c>
      <c r="L79" s="109" t="s">
        <v>97</v>
      </c>
      <c r="M79" s="109" t="s">
        <v>97</v>
      </c>
      <c r="N79" s="109" t="s">
        <v>97</v>
      </c>
      <c r="O79" s="216">
        <v>11.0</v>
      </c>
      <c r="P79" s="109">
        <v>37.0</v>
      </c>
      <c r="Q79" s="109" t="s">
        <v>97</v>
      </c>
      <c r="R79" s="109">
        <v>5.0</v>
      </c>
      <c r="S79" s="109">
        <v>6.0</v>
      </c>
      <c r="T79" s="216">
        <v>4253021.0</v>
      </c>
      <c r="U79" s="109" t="s">
        <v>97</v>
      </c>
      <c r="V79" s="109">
        <v>5.0</v>
      </c>
      <c r="W79" s="109">
        <v>6.0</v>
      </c>
      <c r="X79" s="216">
        <v>4253021.0</v>
      </c>
      <c r="Y79" s="109" t="s">
        <v>97</v>
      </c>
      <c r="Z79" s="218">
        <v>1.0</v>
      </c>
      <c r="AA79" s="218">
        <v>0.1667</v>
      </c>
      <c r="AB79" s="109">
        <v>0.0</v>
      </c>
    </row>
    <row r="80" ht="15.75" customHeight="1">
      <c r="A80" s="109">
        <v>3.862340378E9</v>
      </c>
      <c r="B80" s="109" t="s">
        <v>269</v>
      </c>
      <c r="C80" s="109" t="s">
        <v>750</v>
      </c>
      <c r="D80" s="109" t="s">
        <v>97</v>
      </c>
      <c r="E80" s="109" t="s">
        <v>97</v>
      </c>
      <c r="F80" s="109" t="s">
        <v>97</v>
      </c>
      <c r="G80" s="109" t="s">
        <v>97</v>
      </c>
      <c r="H80" s="109" t="s">
        <v>773</v>
      </c>
      <c r="I80" s="109">
        <v>393.0</v>
      </c>
      <c r="J80" s="109">
        <v>742.0</v>
      </c>
      <c r="K80" s="216">
        <v>72.0</v>
      </c>
      <c r="L80" s="218">
        <v>0.1832</v>
      </c>
      <c r="M80" s="109">
        <v>216.0</v>
      </c>
      <c r="N80" s="109">
        <v>54.0</v>
      </c>
      <c r="O80" s="216">
        <v>34.0</v>
      </c>
      <c r="P80" s="109">
        <v>42.0</v>
      </c>
      <c r="Q80" s="218">
        <v>0.0865</v>
      </c>
      <c r="R80" s="109">
        <v>8.0</v>
      </c>
      <c r="S80" s="109">
        <v>8.0</v>
      </c>
      <c r="T80" s="216">
        <v>5310019.0</v>
      </c>
      <c r="U80" s="218">
        <v>0.0204</v>
      </c>
      <c r="V80" s="109">
        <v>8.0</v>
      </c>
      <c r="W80" s="109">
        <v>8.0</v>
      </c>
      <c r="X80" s="216">
        <v>5310019.0</v>
      </c>
      <c r="Y80" s="218">
        <v>0.0204</v>
      </c>
      <c r="Z80" s="218">
        <v>1.0</v>
      </c>
      <c r="AA80" s="218">
        <v>0.0</v>
      </c>
      <c r="AB80" s="109">
        <v>0.0</v>
      </c>
    </row>
    <row r="81" ht="15.75" customHeight="1">
      <c r="A81" s="109">
        <v>2.4667488336E10</v>
      </c>
      <c r="B81" s="109" t="s">
        <v>778</v>
      </c>
      <c r="C81" s="109" t="s">
        <v>750</v>
      </c>
      <c r="D81" s="109" t="s">
        <v>97</v>
      </c>
      <c r="E81" s="109" t="s">
        <v>97</v>
      </c>
      <c r="F81" s="109" t="s">
        <v>97</v>
      </c>
      <c r="G81" s="109" t="s">
        <v>97</v>
      </c>
      <c r="H81" s="109" t="s">
        <v>779</v>
      </c>
      <c r="I81" s="109">
        <v>75.0</v>
      </c>
      <c r="J81" s="109">
        <v>156.0</v>
      </c>
      <c r="K81" s="216">
        <v>22.0</v>
      </c>
      <c r="L81" s="218">
        <v>0.2933</v>
      </c>
      <c r="M81" s="109">
        <v>16.0</v>
      </c>
      <c r="N81" s="109">
        <v>2.0</v>
      </c>
      <c r="O81" s="216">
        <v>10.0</v>
      </c>
      <c r="P81" s="109">
        <v>28.0</v>
      </c>
      <c r="Q81" s="218">
        <v>0.1333</v>
      </c>
      <c r="R81" s="109">
        <v>3.0</v>
      </c>
      <c r="S81" s="109">
        <v>5.0</v>
      </c>
      <c r="T81" s="216">
        <v>5278000.0</v>
      </c>
      <c r="U81" s="218">
        <v>0.04</v>
      </c>
      <c r="V81" s="109">
        <v>3.0</v>
      </c>
      <c r="W81" s="109">
        <v>5.0</v>
      </c>
      <c r="X81" s="216">
        <v>5278000.0</v>
      </c>
      <c r="Y81" s="218">
        <v>0.04</v>
      </c>
      <c r="Z81" s="218">
        <v>1.0</v>
      </c>
      <c r="AA81" s="218">
        <v>0.4</v>
      </c>
      <c r="AB81" s="109">
        <v>0.0</v>
      </c>
    </row>
    <row r="82" ht="15.75" customHeight="1">
      <c r="A82" s="109">
        <v>2.4667488336E10</v>
      </c>
      <c r="B82" s="109" t="s">
        <v>778</v>
      </c>
      <c r="C82" s="109" t="s">
        <v>750</v>
      </c>
      <c r="D82" s="109">
        <v>2.22571286446E11</v>
      </c>
      <c r="E82" s="109" t="s">
        <v>761</v>
      </c>
      <c r="F82" s="109" t="s">
        <v>750</v>
      </c>
      <c r="G82" s="109" t="s">
        <v>779</v>
      </c>
      <c r="H82" s="109" t="s">
        <v>779</v>
      </c>
      <c r="I82" s="109" t="s">
        <v>97</v>
      </c>
      <c r="J82" s="109" t="s">
        <v>97</v>
      </c>
      <c r="K82" s="216" t="s">
        <v>97</v>
      </c>
      <c r="L82" s="109" t="s">
        <v>97</v>
      </c>
      <c r="M82" s="109" t="s">
        <v>97</v>
      </c>
      <c r="N82" s="109" t="s">
        <v>97</v>
      </c>
      <c r="O82" s="216">
        <v>9.0</v>
      </c>
      <c r="P82" s="109">
        <v>28.0</v>
      </c>
      <c r="Q82" s="109" t="s">
        <v>97</v>
      </c>
      <c r="R82" s="109">
        <v>3.0</v>
      </c>
      <c r="S82" s="109">
        <v>5.0</v>
      </c>
      <c r="T82" s="216">
        <v>5278000.0</v>
      </c>
      <c r="U82" s="109" t="s">
        <v>97</v>
      </c>
      <c r="V82" s="109">
        <v>3.0</v>
      </c>
      <c r="W82" s="109">
        <v>5.0</v>
      </c>
      <c r="X82" s="216">
        <v>5278000.0</v>
      </c>
      <c r="Y82" s="109" t="s">
        <v>97</v>
      </c>
      <c r="Z82" s="218">
        <v>1.0</v>
      </c>
      <c r="AA82" s="218">
        <v>0.4</v>
      </c>
      <c r="AB82" s="109">
        <v>0.0</v>
      </c>
    </row>
    <row r="83" ht="15.75" customHeight="1">
      <c r="A83" s="109">
        <v>2.486748184E10</v>
      </c>
      <c r="B83" s="109" t="s">
        <v>766</v>
      </c>
      <c r="C83" s="109" t="s">
        <v>750</v>
      </c>
      <c r="D83" s="109" t="s">
        <v>97</v>
      </c>
      <c r="E83" s="109" t="s">
        <v>97</v>
      </c>
      <c r="F83" s="109" t="s">
        <v>97</v>
      </c>
      <c r="G83" s="109" t="s">
        <v>97</v>
      </c>
      <c r="H83" s="109" t="s">
        <v>97</v>
      </c>
      <c r="I83" s="109">
        <v>34.0</v>
      </c>
      <c r="J83" s="109">
        <v>109.0</v>
      </c>
      <c r="K83" s="216">
        <v>11.0</v>
      </c>
      <c r="L83" s="218">
        <v>0.3235</v>
      </c>
      <c r="M83" s="109">
        <v>6.0</v>
      </c>
      <c r="N83" s="109">
        <v>9.0</v>
      </c>
      <c r="O83" s="216">
        <v>8.0</v>
      </c>
      <c r="P83" s="109">
        <v>17.0</v>
      </c>
      <c r="Q83" s="218">
        <v>0.2353</v>
      </c>
      <c r="R83" s="109">
        <v>3.0</v>
      </c>
      <c r="S83" s="109">
        <v>5.0</v>
      </c>
      <c r="T83" s="216">
        <v>1733140.0</v>
      </c>
      <c r="U83" s="218">
        <v>0.0882</v>
      </c>
      <c r="V83" s="109">
        <v>3.0</v>
      </c>
      <c r="W83" s="109">
        <v>5.0</v>
      </c>
      <c r="X83" s="216">
        <v>1733140.0</v>
      </c>
      <c r="Y83" s="218">
        <v>0.0882</v>
      </c>
      <c r="Z83" s="218">
        <v>1.0</v>
      </c>
      <c r="AA83" s="218">
        <v>0.4</v>
      </c>
      <c r="AB83" s="333">
        <v>45780.0</v>
      </c>
    </row>
    <row r="84" ht="15.75" customHeight="1">
      <c r="A84" s="109">
        <v>2.486748184E10</v>
      </c>
      <c r="B84" s="109" t="s">
        <v>766</v>
      </c>
      <c r="C84" s="109" t="s">
        <v>750</v>
      </c>
      <c r="D84" s="109">
        <v>6.9751100999E10</v>
      </c>
      <c r="E84" s="109" t="s">
        <v>721</v>
      </c>
      <c r="F84" s="109" t="s">
        <v>750</v>
      </c>
      <c r="G84" s="109" t="s">
        <v>767</v>
      </c>
      <c r="H84" s="109"/>
      <c r="I84" s="109" t="s">
        <v>97</v>
      </c>
      <c r="J84" s="109" t="s">
        <v>97</v>
      </c>
      <c r="K84" s="216" t="s">
        <v>97</v>
      </c>
      <c r="L84" s="109" t="s">
        <v>97</v>
      </c>
      <c r="M84" s="109" t="s">
        <v>97</v>
      </c>
      <c r="N84" s="109" t="s">
        <v>97</v>
      </c>
      <c r="O84" s="216">
        <v>8.0</v>
      </c>
      <c r="P84" s="109">
        <v>17.0</v>
      </c>
      <c r="Q84" s="109" t="s">
        <v>97</v>
      </c>
      <c r="R84" s="109">
        <v>3.0</v>
      </c>
      <c r="S84" s="109">
        <v>5.0</v>
      </c>
      <c r="T84" s="216">
        <v>1733140.0</v>
      </c>
      <c r="U84" s="109" t="s">
        <v>97</v>
      </c>
      <c r="V84" s="109">
        <v>3.0</v>
      </c>
      <c r="W84" s="109">
        <v>5.0</v>
      </c>
      <c r="X84" s="216">
        <v>1733140.0</v>
      </c>
      <c r="Y84" s="109" t="s">
        <v>97</v>
      </c>
      <c r="Z84" s="218">
        <v>1.0</v>
      </c>
      <c r="AA84" s="218">
        <v>0.4</v>
      </c>
      <c r="AB84" s="333">
        <v>45780.0</v>
      </c>
    </row>
    <row r="85" ht="15.75" customHeight="1">
      <c r="A85" s="109">
        <v>3.934257539E9</v>
      </c>
      <c r="B85" s="109" t="s">
        <v>774</v>
      </c>
      <c r="C85" s="109" t="s">
        <v>750</v>
      </c>
      <c r="D85" s="109" t="s">
        <v>97</v>
      </c>
      <c r="E85" s="109" t="s">
        <v>97</v>
      </c>
      <c r="F85" s="109" t="s">
        <v>97</v>
      </c>
      <c r="G85" s="109" t="s">
        <v>97</v>
      </c>
      <c r="H85" s="109" t="s">
        <v>775</v>
      </c>
      <c r="I85" s="109">
        <v>164.0</v>
      </c>
      <c r="J85" s="109">
        <v>310.0</v>
      </c>
      <c r="K85" s="216">
        <v>52.0</v>
      </c>
      <c r="L85" s="218">
        <v>0.3171</v>
      </c>
      <c r="M85" s="109">
        <v>61.0</v>
      </c>
      <c r="N85" s="109">
        <v>3.0</v>
      </c>
      <c r="O85" s="216">
        <v>16.0</v>
      </c>
      <c r="P85" s="109">
        <v>29.0</v>
      </c>
      <c r="Q85" s="218">
        <v>0.0976</v>
      </c>
      <c r="R85" s="109">
        <v>4.0</v>
      </c>
      <c r="S85" s="109">
        <v>4.0</v>
      </c>
      <c r="T85" s="216">
        <v>2753068.0</v>
      </c>
      <c r="U85" s="218">
        <v>0.0244</v>
      </c>
      <c r="V85" s="109">
        <v>4.0</v>
      </c>
      <c r="W85" s="109">
        <v>4.0</v>
      </c>
      <c r="X85" s="216">
        <v>2753068.0</v>
      </c>
      <c r="Y85" s="218">
        <v>0.0244</v>
      </c>
      <c r="Z85" s="218">
        <v>1.0</v>
      </c>
      <c r="AA85" s="218">
        <v>0.0</v>
      </c>
      <c r="AB85" s="109">
        <v>0.0</v>
      </c>
    </row>
    <row r="86" ht="15.75" customHeight="1">
      <c r="A86" s="109">
        <v>2.4867724627E10</v>
      </c>
      <c r="B86" s="109" t="s">
        <v>809</v>
      </c>
      <c r="C86" s="109" t="s">
        <v>750</v>
      </c>
      <c r="D86" s="109" t="s">
        <v>97</v>
      </c>
      <c r="E86" s="109" t="s">
        <v>97</v>
      </c>
      <c r="F86" s="109" t="s">
        <v>97</v>
      </c>
      <c r="G86" s="109" t="s">
        <v>97</v>
      </c>
      <c r="H86" s="109" t="s">
        <v>810</v>
      </c>
      <c r="I86" s="109">
        <v>50.0</v>
      </c>
      <c r="J86" s="109">
        <v>112.0</v>
      </c>
      <c r="K86" s="216">
        <v>7.0</v>
      </c>
      <c r="L86" s="218">
        <v>0.14</v>
      </c>
      <c r="M86" s="109">
        <v>3.0</v>
      </c>
      <c r="N86" s="109">
        <v>3.0</v>
      </c>
      <c r="O86" s="216">
        <v>14.0</v>
      </c>
      <c r="P86" s="109">
        <v>26.0</v>
      </c>
      <c r="Q86" s="218">
        <v>0.28</v>
      </c>
      <c r="R86" s="109">
        <v>4.0</v>
      </c>
      <c r="S86" s="109">
        <v>4.0</v>
      </c>
      <c r="T86" s="216">
        <v>2364865.0</v>
      </c>
      <c r="U86" s="218">
        <v>0.08</v>
      </c>
      <c r="V86" s="109">
        <v>4.0</v>
      </c>
      <c r="W86" s="109">
        <v>4.0</v>
      </c>
      <c r="X86" s="216">
        <v>2364865.0</v>
      </c>
      <c r="Y86" s="218">
        <v>0.08</v>
      </c>
      <c r="Z86" s="218">
        <v>1.0</v>
      </c>
      <c r="AA86" s="218">
        <v>0.0</v>
      </c>
      <c r="AB86" s="109">
        <v>0.0</v>
      </c>
    </row>
    <row r="87" ht="15.75" customHeight="1">
      <c r="A87" s="109">
        <v>2.4867724627E10</v>
      </c>
      <c r="B87" s="109" t="s">
        <v>809</v>
      </c>
      <c r="C87" s="109" t="s">
        <v>750</v>
      </c>
      <c r="D87" s="109">
        <v>1.97356160607E11</v>
      </c>
      <c r="E87" s="109" t="s">
        <v>721</v>
      </c>
      <c r="F87" s="109" t="s">
        <v>750</v>
      </c>
      <c r="G87" s="109" t="s">
        <v>810</v>
      </c>
      <c r="H87" s="109" t="s">
        <v>810</v>
      </c>
      <c r="I87" s="109" t="s">
        <v>97</v>
      </c>
      <c r="J87" s="109" t="s">
        <v>97</v>
      </c>
      <c r="K87" s="216" t="s">
        <v>97</v>
      </c>
      <c r="L87" s="109" t="s">
        <v>97</v>
      </c>
      <c r="M87" s="109" t="s">
        <v>97</v>
      </c>
      <c r="N87" s="109" t="s">
        <v>97</v>
      </c>
      <c r="O87" s="216">
        <v>13.0</v>
      </c>
      <c r="P87" s="109">
        <v>26.0</v>
      </c>
      <c r="Q87" s="109" t="s">
        <v>97</v>
      </c>
      <c r="R87" s="109">
        <v>4.0</v>
      </c>
      <c r="S87" s="109">
        <v>4.0</v>
      </c>
      <c r="T87" s="216">
        <v>2364865.0</v>
      </c>
      <c r="U87" s="109" t="s">
        <v>97</v>
      </c>
      <c r="V87" s="109">
        <v>4.0</v>
      </c>
      <c r="W87" s="109">
        <v>4.0</v>
      </c>
      <c r="X87" s="216">
        <v>2364865.0</v>
      </c>
      <c r="Y87" s="109" t="s">
        <v>97</v>
      </c>
      <c r="Z87" s="218">
        <v>1.0</v>
      </c>
      <c r="AA87" s="218">
        <v>0.0</v>
      </c>
      <c r="AB87" s="109">
        <v>0.0</v>
      </c>
    </row>
    <row r="88" ht="15.75" customHeight="1">
      <c r="A88" s="109">
        <v>1.0014812415E10</v>
      </c>
      <c r="B88" s="109" t="s">
        <v>780</v>
      </c>
      <c r="C88" s="109" t="s">
        <v>750</v>
      </c>
      <c r="D88" s="109" t="s">
        <v>97</v>
      </c>
      <c r="E88" s="109" t="s">
        <v>97</v>
      </c>
      <c r="F88" s="109" t="s">
        <v>97</v>
      </c>
      <c r="G88" s="109" t="s">
        <v>97</v>
      </c>
      <c r="H88" s="109" t="s">
        <v>97</v>
      </c>
      <c r="I88" s="109">
        <v>23.0</v>
      </c>
      <c r="J88" s="109">
        <v>46.0</v>
      </c>
      <c r="K88" s="216">
        <v>5.0</v>
      </c>
      <c r="L88" s="218">
        <v>0.2174</v>
      </c>
      <c r="M88" s="109">
        <v>3.0</v>
      </c>
      <c r="N88" s="109">
        <v>0.0</v>
      </c>
      <c r="O88" s="216">
        <v>2.0</v>
      </c>
      <c r="P88" s="109">
        <v>2.0</v>
      </c>
      <c r="Q88" s="218">
        <v>0.087</v>
      </c>
      <c r="R88" s="109">
        <v>3.0</v>
      </c>
      <c r="S88" s="109">
        <v>3.0</v>
      </c>
      <c r="T88" s="216">
        <v>1447200.0</v>
      </c>
      <c r="U88" s="218">
        <v>0.1304</v>
      </c>
      <c r="V88" s="109">
        <v>3.0</v>
      </c>
      <c r="W88" s="109">
        <v>3.0</v>
      </c>
      <c r="X88" s="216">
        <v>1447200.0</v>
      </c>
      <c r="Y88" s="218">
        <v>0.1304</v>
      </c>
      <c r="Z88" s="218">
        <v>1.0</v>
      </c>
      <c r="AA88" s="218">
        <v>0.0</v>
      </c>
      <c r="AB88" s="109">
        <v>0.0</v>
      </c>
    </row>
    <row r="89" ht="15.75" customHeight="1">
      <c r="A89" s="109">
        <v>1.0014812415E10</v>
      </c>
      <c r="B89" s="109" t="s">
        <v>780</v>
      </c>
      <c r="C89" s="109" t="s">
        <v>750</v>
      </c>
      <c r="D89" s="109">
        <v>5.6678491253E10</v>
      </c>
      <c r="E89" s="109" t="s">
        <v>755</v>
      </c>
      <c r="F89" s="109" t="s">
        <v>750</v>
      </c>
      <c r="G89" s="109" t="s">
        <v>821</v>
      </c>
      <c r="H89" s="109"/>
      <c r="I89" s="109" t="s">
        <v>97</v>
      </c>
      <c r="J89" s="109" t="s">
        <v>97</v>
      </c>
      <c r="K89" s="216" t="s">
        <v>97</v>
      </c>
      <c r="L89" s="109" t="s">
        <v>97</v>
      </c>
      <c r="M89" s="109" t="s">
        <v>97</v>
      </c>
      <c r="N89" s="109" t="s">
        <v>97</v>
      </c>
      <c r="O89" s="216">
        <v>0.0</v>
      </c>
      <c r="P89" s="109">
        <v>0.0</v>
      </c>
      <c r="Q89" s="109" t="s">
        <v>97</v>
      </c>
      <c r="R89" s="109">
        <v>1.0</v>
      </c>
      <c r="S89" s="109">
        <v>1.0</v>
      </c>
      <c r="T89" s="216">
        <v>395240.0</v>
      </c>
      <c r="U89" s="109" t="s">
        <v>97</v>
      </c>
      <c r="V89" s="109">
        <v>1.0</v>
      </c>
      <c r="W89" s="109">
        <v>1.0</v>
      </c>
      <c r="X89" s="216">
        <v>395240.0</v>
      </c>
      <c r="Y89" s="109" t="s">
        <v>97</v>
      </c>
      <c r="Z89" s="218">
        <v>1.0</v>
      </c>
      <c r="AA89" s="218">
        <v>0.0</v>
      </c>
      <c r="AB89" s="109">
        <v>0.0</v>
      </c>
    </row>
    <row r="90" ht="15.75" customHeight="1">
      <c r="A90" s="109">
        <v>1.0014812415E10</v>
      </c>
      <c r="B90" s="109" t="s">
        <v>780</v>
      </c>
      <c r="C90" s="109" t="s">
        <v>750</v>
      </c>
      <c r="D90" s="109">
        <v>5.6678491254E10</v>
      </c>
      <c r="E90" s="109" t="s">
        <v>757</v>
      </c>
      <c r="F90" s="109" t="s">
        <v>750</v>
      </c>
      <c r="G90" s="109" t="s">
        <v>781</v>
      </c>
      <c r="H90" s="109"/>
      <c r="I90" s="109" t="s">
        <v>97</v>
      </c>
      <c r="J90" s="109" t="s">
        <v>97</v>
      </c>
      <c r="K90" s="216" t="s">
        <v>97</v>
      </c>
      <c r="L90" s="109" t="s">
        <v>97</v>
      </c>
      <c r="M90" s="109" t="s">
        <v>97</v>
      </c>
      <c r="N90" s="109" t="s">
        <v>97</v>
      </c>
      <c r="O90" s="216">
        <v>1.0</v>
      </c>
      <c r="P90" s="109">
        <v>1.0</v>
      </c>
      <c r="Q90" s="109" t="s">
        <v>97</v>
      </c>
      <c r="R90" s="109">
        <v>1.0</v>
      </c>
      <c r="S90" s="109">
        <v>1.0</v>
      </c>
      <c r="T90" s="216">
        <v>677320.0</v>
      </c>
      <c r="U90" s="109" t="s">
        <v>97</v>
      </c>
      <c r="V90" s="109">
        <v>1.0</v>
      </c>
      <c r="W90" s="109">
        <v>1.0</v>
      </c>
      <c r="X90" s="216">
        <v>677320.0</v>
      </c>
      <c r="Y90" s="109" t="s">
        <v>97</v>
      </c>
      <c r="Z90" s="218">
        <v>1.0</v>
      </c>
      <c r="AA90" s="218">
        <v>0.0</v>
      </c>
      <c r="AB90" s="109">
        <v>0.0</v>
      </c>
    </row>
    <row r="91" ht="15.75" customHeight="1">
      <c r="A91" s="109">
        <v>1.0014812415E10</v>
      </c>
      <c r="B91" s="109" t="s">
        <v>780</v>
      </c>
      <c r="C91" s="109" t="s">
        <v>750</v>
      </c>
      <c r="D91" s="109">
        <v>2.65663431573E11</v>
      </c>
      <c r="E91" s="109" t="s">
        <v>822</v>
      </c>
      <c r="F91" s="109" t="s">
        <v>750</v>
      </c>
      <c r="G91" s="109" t="s">
        <v>823</v>
      </c>
      <c r="H91" s="109"/>
      <c r="I91" s="109" t="s">
        <v>97</v>
      </c>
      <c r="J91" s="109" t="s">
        <v>97</v>
      </c>
      <c r="K91" s="216" t="s">
        <v>97</v>
      </c>
      <c r="L91" s="109" t="s">
        <v>97</v>
      </c>
      <c r="M91" s="109" t="s">
        <v>97</v>
      </c>
      <c r="N91" s="109" t="s">
        <v>97</v>
      </c>
      <c r="O91" s="109">
        <v>1.0</v>
      </c>
      <c r="P91" s="109">
        <v>1.0</v>
      </c>
      <c r="Q91" s="109" t="s">
        <v>97</v>
      </c>
      <c r="R91" s="109">
        <v>1.0</v>
      </c>
      <c r="S91" s="109">
        <v>1.0</v>
      </c>
      <c r="T91" s="216">
        <v>374640.0</v>
      </c>
      <c r="U91" s="109" t="s">
        <v>97</v>
      </c>
      <c r="V91" s="109">
        <v>1.0</v>
      </c>
      <c r="W91" s="109">
        <v>1.0</v>
      </c>
      <c r="X91" s="216">
        <v>374640.0</v>
      </c>
      <c r="Y91" s="109" t="s">
        <v>97</v>
      </c>
      <c r="Z91" s="218">
        <v>1.0</v>
      </c>
      <c r="AA91" s="218">
        <v>0.0</v>
      </c>
      <c r="AB91" s="109">
        <v>0.0</v>
      </c>
    </row>
    <row r="92" ht="15.75" customHeight="1">
      <c r="A92" s="109">
        <v>2.7540123008E10</v>
      </c>
      <c r="B92" s="109" t="s">
        <v>824</v>
      </c>
      <c r="C92" s="109" t="s">
        <v>750</v>
      </c>
      <c r="D92" s="109" t="s">
        <v>97</v>
      </c>
      <c r="E92" s="109" t="s">
        <v>97</v>
      </c>
      <c r="F92" s="109" t="s">
        <v>97</v>
      </c>
      <c r="G92" s="109" t="s">
        <v>97</v>
      </c>
      <c r="H92" s="109" t="s">
        <v>97</v>
      </c>
      <c r="I92" s="109">
        <v>10.0</v>
      </c>
      <c r="J92" s="109">
        <v>13.0</v>
      </c>
      <c r="K92" s="216">
        <v>3.0</v>
      </c>
      <c r="L92" s="218">
        <v>0.3</v>
      </c>
      <c r="M92" s="109">
        <v>5.0</v>
      </c>
      <c r="N92" s="109">
        <v>0.0</v>
      </c>
      <c r="O92" s="216">
        <v>0.0</v>
      </c>
      <c r="P92" s="109">
        <v>0.0</v>
      </c>
      <c r="Q92" s="218">
        <v>0.0</v>
      </c>
      <c r="R92" s="109">
        <v>3.0</v>
      </c>
      <c r="S92" s="109">
        <v>3.0</v>
      </c>
      <c r="T92" s="216">
        <v>0.0</v>
      </c>
      <c r="U92" s="218">
        <v>0.3</v>
      </c>
      <c r="V92" s="109">
        <v>3.0</v>
      </c>
      <c r="W92" s="109">
        <v>3.0</v>
      </c>
      <c r="X92" s="216">
        <v>0.0</v>
      </c>
      <c r="Y92" s="218">
        <v>0.3</v>
      </c>
      <c r="Z92" s="218">
        <v>1.0</v>
      </c>
      <c r="AA92" s="218">
        <v>0.0</v>
      </c>
      <c r="AB92" s="109">
        <v>0.0</v>
      </c>
    </row>
    <row r="93" ht="15.75" customHeight="1">
      <c r="A93" s="109">
        <v>2.2657955668E10</v>
      </c>
      <c r="B93" s="109" t="s">
        <v>141</v>
      </c>
      <c r="C93" s="109" t="s">
        <v>750</v>
      </c>
      <c r="D93" s="109" t="s">
        <v>97</v>
      </c>
      <c r="E93" s="109" t="s">
        <v>97</v>
      </c>
      <c r="F93" s="109" t="s">
        <v>97</v>
      </c>
      <c r="G93" s="109" t="s">
        <v>97</v>
      </c>
      <c r="H93" s="109" t="s">
        <v>97</v>
      </c>
      <c r="I93" s="109">
        <v>18.0</v>
      </c>
      <c r="J93" s="109">
        <v>29.0</v>
      </c>
      <c r="K93" s="216">
        <v>5.0</v>
      </c>
      <c r="L93" s="218">
        <v>0.2778</v>
      </c>
      <c r="M93" s="109">
        <v>0.0</v>
      </c>
      <c r="N93" s="109">
        <v>1.0</v>
      </c>
      <c r="O93" s="216">
        <v>2.0</v>
      </c>
      <c r="P93" s="109">
        <v>6.0</v>
      </c>
      <c r="Q93" s="218">
        <v>0.1111</v>
      </c>
      <c r="R93" s="109">
        <v>1.0</v>
      </c>
      <c r="S93" s="109">
        <v>2.0</v>
      </c>
      <c r="T93" s="216">
        <v>1166880.0</v>
      </c>
      <c r="U93" s="218">
        <v>0.0556</v>
      </c>
      <c r="V93" s="109">
        <v>1.0</v>
      </c>
      <c r="W93" s="109">
        <v>2.0</v>
      </c>
      <c r="X93" s="216">
        <v>1166880.0</v>
      </c>
      <c r="Y93" s="218">
        <v>0.0556</v>
      </c>
      <c r="Z93" s="218">
        <v>1.0</v>
      </c>
      <c r="AA93" s="218">
        <v>0.0</v>
      </c>
      <c r="AB93" s="109">
        <v>0.0</v>
      </c>
    </row>
    <row r="94" ht="15.75" customHeight="1">
      <c r="A94" s="109">
        <v>2.2657955668E10</v>
      </c>
      <c r="B94" s="109" t="s">
        <v>141</v>
      </c>
      <c r="C94" s="109" t="s">
        <v>750</v>
      </c>
      <c r="D94" s="109">
        <v>2.17104025857E11</v>
      </c>
      <c r="E94" s="109" t="s">
        <v>721</v>
      </c>
      <c r="F94" s="109" t="s">
        <v>750</v>
      </c>
      <c r="G94" s="109" t="s">
        <v>825</v>
      </c>
      <c r="H94" s="109"/>
      <c r="I94" s="109" t="s">
        <v>97</v>
      </c>
      <c r="J94" s="109" t="s">
        <v>97</v>
      </c>
      <c r="K94" s="109" t="s">
        <v>97</v>
      </c>
      <c r="L94" s="109" t="s">
        <v>97</v>
      </c>
      <c r="M94" s="109" t="s">
        <v>97</v>
      </c>
      <c r="N94" s="109" t="s">
        <v>97</v>
      </c>
      <c r="O94" s="109">
        <v>2.0</v>
      </c>
      <c r="P94" s="109">
        <v>6.0</v>
      </c>
      <c r="Q94" s="109" t="s">
        <v>97</v>
      </c>
      <c r="R94" s="109">
        <v>1.0</v>
      </c>
      <c r="S94" s="109">
        <v>2.0</v>
      </c>
      <c r="T94" s="216">
        <v>1166880.0</v>
      </c>
      <c r="U94" s="109" t="s">
        <v>97</v>
      </c>
      <c r="V94" s="109">
        <v>1.0</v>
      </c>
      <c r="W94" s="109">
        <v>2.0</v>
      </c>
      <c r="X94" s="216">
        <v>1166880.0</v>
      </c>
      <c r="Y94" s="109" t="s">
        <v>97</v>
      </c>
      <c r="Z94" s="218">
        <v>1.0</v>
      </c>
      <c r="AA94" s="218">
        <v>0.0</v>
      </c>
      <c r="AB94" s="109">
        <v>0.0</v>
      </c>
    </row>
    <row r="95" ht="15.75" customHeight="1">
      <c r="A95" s="109">
        <v>2.6291184268E10</v>
      </c>
      <c r="B95" s="109" t="s">
        <v>826</v>
      </c>
      <c r="C95" s="109" t="s">
        <v>750</v>
      </c>
      <c r="D95" s="109" t="s">
        <v>97</v>
      </c>
      <c r="E95" s="109" t="s">
        <v>97</v>
      </c>
      <c r="F95" s="109" t="s">
        <v>97</v>
      </c>
      <c r="G95" s="109" t="s">
        <v>97</v>
      </c>
      <c r="H95" s="109" t="s">
        <v>97</v>
      </c>
      <c r="I95" s="109">
        <v>18.0</v>
      </c>
      <c r="J95" s="109">
        <v>26.0</v>
      </c>
      <c r="K95" s="216">
        <v>8.0</v>
      </c>
      <c r="L95" s="218">
        <v>0.4444</v>
      </c>
      <c r="M95" s="109">
        <v>1.0</v>
      </c>
      <c r="N95" s="109">
        <v>0.0</v>
      </c>
      <c r="O95" s="216">
        <v>5.0</v>
      </c>
      <c r="P95" s="109">
        <v>15.0</v>
      </c>
      <c r="Q95" s="218">
        <v>0.2778</v>
      </c>
      <c r="R95" s="109">
        <v>2.0</v>
      </c>
      <c r="S95" s="109">
        <v>2.0</v>
      </c>
      <c r="T95" s="216">
        <v>27500.0</v>
      </c>
      <c r="U95" s="218">
        <v>0.1111</v>
      </c>
      <c r="V95" s="109">
        <v>0.0</v>
      </c>
      <c r="W95" s="109">
        <v>0.0</v>
      </c>
      <c r="X95" s="216">
        <v>0.0</v>
      </c>
      <c r="Y95" s="218">
        <v>0.0</v>
      </c>
      <c r="Z95" s="218">
        <v>0.0</v>
      </c>
      <c r="AA95" s="218">
        <v>0.0</v>
      </c>
      <c r="AB95" s="109">
        <v>0.0</v>
      </c>
    </row>
    <row r="96" ht="15.75" customHeight="1">
      <c r="A96" s="109">
        <v>4.2318210434E10</v>
      </c>
      <c r="B96" s="109" t="s">
        <v>827</v>
      </c>
      <c r="C96" s="109" t="s">
        <v>750</v>
      </c>
      <c r="D96" s="109" t="s">
        <v>97</v>
      </c>
      <c r="E96" s="109" t="s">
        <v>97</v>
      </c>
      <c r="F96" s="109" t="s">
        <v>97</v>
      </c>
      <c r="G96" s="109" t="s">
        <v>97</v>
      </c>
      <c r="H96" s="109" t="s">
        <v>97</v>
      </c>
      <c r="I96" s="109">
        <v>23.0</v>
      </c>
      <c r="J96" s="109">
        <v>37.0</v>
      </c>
      <c r="K96" s="216">
        <v>3.0</v>
      </c>
      <c r="L96" s="218">
        <v>0.1304</v>
      </c>
      <c r="M96" s="109">
        <v>1.0</v>
      </c>
      <c r="N96" s="109">
        <v>1.0</v>
      </c>
      <c r="O96" s="216">
        <v>4.0</v>
      </c>
      <c r="P96" s="109">
        <v>6.0</v>
      </c>
      <c r="Q96" s="218">
        <v>0.1739</v>
      </c>
      <c r="R96" s="109">
        <v>1.0</v>
      </c>
      <c r="S96" s="109">
        <v>2.0</v>
      </c>
      <c r="T96" s="216">
        <v>3095820.0</v>
      </c>
      <c r="U96" s="218">
        <v>0.0435</v>
      </c>
      <c r="V96" s="109">
        <v>1.0</v>
      </c>
      <c r="W96" s="109">
        <v>2.0</v>
      </c>
      <c r="X96" s="216">
        <v>3095820.0</v>
      </c>
      <c r="Y96" s="218">
        <v>0.0435</v>
      </c>
      <c r="Z96" s="218">
        <v>1.0</v>
      </c>
      <c r="AA96" s="218">
        <v>0.5</v>
      </c>
      <c r="AB96" s="109">
        <v>0.0</v>
      </c>
    </row>
    <row r="97" ht="15.75" customHeight="1">
      <c r="A97" s="109">
        <v>4.2318210434E10</v>
      </c>
      <c r="B97" s="109" t="s">
        <v>827</v>
      </c>
      <c r="C97" s="109" t="s">
        <v>750</v>
      </c>
      <c r="D97" s="109">
        <v>2.86496443347E11</v>
      </c>
      <c r="E97" s="109" t="s">
        <v>761</v>
      </c>
      <c r="F97" s="109" t="s">
        <v>750</v>
      </c>
      <c r="G97" s="109" t="s">
        <v>762</v>
      </c>
      <c r="H97" s="109"/>
      <c r="I97" s="109" t="s">
        <v>97</v>
      </c>
      <c r="J97" s="109" t="s">
        <v>97</v>
      </c>
      <c r="K97" s="216" t="s">
        <v>97</v>
      </c>
      <c r="L97" s="109" t="s">
        <v>97</v>
      </c>
      <c r="M97" s="109" t="s">
        <v>97</v>
      </c>
      <c r="N97" s="109" t="s">
        <v>97</v>
      </c>
      <c r="O97" s="216">
        <v>3.0</v>
      </c>
      <c r="P97" s="109">
        <v>3.0</v>
      </c>
      <c r="Q97" s="109" t="s">
        <v>97</v>
      </c>
      <c r="R97" s="109">
        <v>0.0</v>
      </c>
      <c r="S97" s="109">
        <v>0.0</v>
      </c>
      <c r="T97" s="216">
        <v>0.0</v>
      </c>
      <c r="U97" s="109" t="s">
        <v>97</v>
      </c>
      <c r="V97" s="109">
        <v>0.0</v>
      </c>
      <c r="W97" s="109">
        <v>0.0</v>
      </c>
      <c r="X97" s="216">
        <v>0.0</v>
      </c>
      <c r="Y97" s="109" t="s">
        <v>97</v>
      </c>
      <c r="Z97" s="218">
        <v>0.0</v>
      </c>
      <c r="AA97" s="218">
        <v>0.0</v>
      </c>
      <c r="AB97" s="109">
        <v>0.0</v>
      </c>
    </row>
    <row r="98" ht="15.75" customHeight="1">
      <c r="A98" s="109">
        <v>4.2318210434E10</v>
      </c>
      <c r="B98" s="109" t="s">
        <v>827</v>
      </c>
      <c r="C98" s="109" t="s">
        <v>750</v>
      </c>
      <c r="D98" s="109">
        <v>2.86496443348E11</v>
      </c>
      <c r="E98" s="109" t="s">
        <v>721</v>
      </c>
      <c r="F98" s="109" t="s">
        <v>750</v>
      </c>
      <c r="G98" s="109" t="s">
        <v>828</v>
      </c>
      <c r="H98" s="109"/>
      <c r="I98" s="109" t="s">
        <v>97</v>
      </c>
      <c r="J98" s="109" t="s">
        <v>97</v>
      </c>
      <c r="K98" s="216" t="s">
        <v>97</v>
      </c>
      <c r="L98" s="109" t="s">
        <v>97</v>
      </c>
      <c r="M98" s="109" t="s">
        <v>97</v>
      </c>
      <c r="N98" s="109" t="s">
        <v>97</v>
      </c>
      <c r="O98" s="216">
        <v>2.0</v>
      </c>
      <c r="P98" s="109">
        <v>3.0</v>
      </c>
      <c r="Q98" s="109" t="s">
        <v>97</v>
      </c>
      <c r="R98" s="109">
        <v>1.0</v>
      </c>
      <c r="S98" s="109">
        <v>2.0</v>
      </c>
      <c r="T98" s="216">
        <v>3095820.0</v>
      </c>
      <c r="U98" s="109" t="s">
        <v>97</v>
      </c>
      <c r="V98" s="109">
        <v>1.0</v>
      </c>
      <c r="W98" s="109">
        <v>2.0</v>
      </c>
      <c r="X98" s="216">
        <v>3095820.0</v>
      </c>
      <c r="Y98" s="109" t="s">
        <v>97</v>
      </c>
      <c r="Z98" s="218">
        <v>1.0</v>
      </c>
      <c r="AA98" s="218">
        <v>0.5</v>
      </c>
      <c r="AB98" s="109">
        <v>0.0</v>
      </c>
    </row>
    <row r="99" ht="15.75" customHeight="1">
      <c r="A99" s="109">
        <v>5.219966803E9</v>
      </c>
      <c r="B99" s="109" t="s">
        <v>776</v>
      </c>
      <c r="C99" s="109" t="s">
        <v>750</v>
      </c>
      <c r="D99" s="109" t="s">
        <v>97</v>
      </c>
      <c r="E99" s="109" t="s">
        <v>97</v>
      </c>
      <c r="F99" s="109" t="s">
        <v>97</v>
      </c>
      <c r="G99" s="109" t="s">
        <v>97</v>
      </c>
      <c r="H99" s="109" t="s">
        <v>777</v>
      </c>
      <c r="I99" s="109">
        <v>87.0</v>
      </c>
      <c r="J99" s="109">
        <v>206.0</v>
      </c>
      <c r="K99" s="109">
        <v>19.0</v>
      </c>
      <c r="L99" s="218">
        <v>0.2184</v>
      </c>
      <c r="M99" s="109">
        <v>30.0</v>
      </c>
      <c r="N99" s="109">
        <v>2.0</v>
      </c>
      <c r="O99" s="109">
        <v>8.0</v>
      </c>
      <c r="P99" s="109">
        <v>18.0</v>
      </c>
      <c r="Q99" s="218">
        <v>0.092</v>
      </c>
      <c r="R99" s="109">
        <v>1.0</v>
      </c>
      <c r="S99" s="109">
        <v>1.0</v>
      </c>
      <c r="T99" s="216">
        <v>807100.0</v>
      </c>
      <c r="U99" s="218">
        <v>0.0115</v>
      </c>
      <c r="V99" s="109">
        <v>0.0</v>
      </c>
      <c r="W99" s="109">
        <v>0.0</v>
      </c>
      <c r="X99" s="216">
        <v>0.0</v>
      </c>
      <c r="Y99" s="218">
        <v>0.0</v>
      </c>
      <c r="Z99" s="218">
        <v>0.0</v>
      </c>
      <c r="AA99" s="218">
        <v>0.0</v>
      </c>
      <c r="AB99" s="109">
        <v>0.0</v>
      </c>
    </row>
    <row r="100" ht="15.75" customHeight="1">
      <c r="A100" s="109">
        <v>2.4367745053E10</v>
      </c>
      <c r="B100" s="109" t="s">
        <v>803</v>
      </c>
      <c r="C100" s="109" t="s">
        <v>750</v>
      </c>
      <c r="D100" s="109" t="s">
        <v>97</v>
      </c>
      <c r="E100" s="109" t="s">
        <v>97</v>
      </c>
      <c r="F100" s="109" t="s">
        <v>97</v>
      </c>
      <c r="G100" s="109" t="s">
        <v>97</v>
      </c>
      <c r="H100" s="109" t="s">
        <v>97</v>
      </c>
      <c r="I100" s="109">
        <v>10.0</v>
      </c>
      <c r="J100" s="109">
        <v>15.0</v>
      </c>
      <c r="K100" s="216">
        <v>2.0</v>
      </c>
      <c r="L100" s="218">
        <v>0.2</v>
      </c>
      <c r="M100" s="109">
        <v>1.0</v>
      </c>
      <c r="N100" s="109">
        <v>0.0</v>
      </c>
      <c r="O100" s="216">
        <v>3.0</v>
      </c>
      <c r="P100" s="109">
        <v>3.0</v>
      </c>
      <c r="Q100" s="218">
        <v>0.3</v>
      </c>
      <c r="R100" s="109">
        <v>1.0</v>
      </c>
      <c r="S100" s="109">
        <v>1.0</v>
      </c>
      <c r="T100" s="216">
        <v>18000.0</v>
      </c>
      <c r="U100" s="218">
        <v>0.1</v>
      </c>
      <c r="V100" s="109">
        <v>0.0</v>
      </c>
      <c r="W100" s="109">
        <v>0.0</v>
      </c>
      <c r="X100" s="216">
        <v>0.0</v>
      </c>
      <c r="Y100" s="218">
        <v>0.0</v>
      </c>
      <c r="Z100" s="218">
        <v>0.0</v>
      </c>
      <c r="AA100" s="218">
        <v>0.0</v>
      </c>
      <c r="AB100" s="109">
        <v>0.0</v>
      </c>
    </row>
    <row r="101" ht="15.75" customHeight="1">
      <c r="A101" s="109">
        <v>2.4367745053E10</v>
      </c>
      <c r="B101" s="109" t="s">
        <v>803</v>
      </c>
      <c r="C101" s="109" t="s">
        <v>750</v>
      </c>
      <c r="D101" s="109">
        <v>1.58543871026E11</v>
      </c>
      <c r="E101" s="109" t="s">
        <v>829</v>
      </c>
      <c r="F101" s="109" t="s">
        <v>750</v>
      </c>
      <c r="G101" s="109" t="s">
        <v>97</v>
      </c>
      <c r="H101" s="109"/>
      <c r="I101" s="109" t="s">
        <v>97</v>
      </c>
      <c r="J101" s="109" t="s">
        <v>97</v>
      </c>
      <c r="K101" s="216" t="s">
        <v>97</v>
      </c>
      <c r="L101" s="109" t="s">
        <v>97</v>
      </c>
      <c r="M101" s="109" t="s">
        <v>97</v>
      </c>
      <c r="N101" s="109" t="s">
        <v>97</v>
      </c>
      <c r="O101" s="216">
        <v>1.0</v>
      </c>
      <c r="P101" s="109">
        <v>1.0</v>
      </c>
      <c r="Q101" s="109" t="s">
        <v>97</v>
      </c>
      <c r="R101" s="109">
        <v>0.0</v>
      </c>
      <c r="S101" s="109">
        <v>0.0</v>
      </c>
      <c r="T101" s="216">
        <v>0.0</v>
      </c>
      <c r="U101" s="109" t="s">
        <v>97</v>
      </c>
      <c r="V101" s="109">
        <v>0.0</v>
      </c>
      <c r="W101" s="109">
        <v>0.0</v>
      </c>
      <c r="X101" s="216">
        <v>0.0</v>
      </c>
      <c r="Y101" s="109" t="s">
        <v>97</v>
      </c>
      <c r="Z101" s="218">
        <v>0.0</v>
      </c>
      <c r="AA101" s="218">
        <v>0.0</v>
      </c>
      <c r="AB101" s="109">
        <v>0.0</v>
      </c>
    </row>
    <row r="102" ht="15.75" customHeight="1">
      <c r="A102" s="109">
        <v>2.4367745053E10</v>
      </c>
      <c r="B102" s="109" t="s">
        <v>803</v>
      </c>
      <c r="C102" s="109" t="s">
        <v>750</v>
      </c>
      <c r="D102" s="109">
        <v>2.45478515347E11</v>
      </c>
      <c r="E102" s="109" t="s">
        <v>830</v>
      </c>
      <c r="F102" s="109" t="s">
        <v>750</v>
      </c>
      <c r="G102" s="109" t="s">
        <v>97</v>
      </c>
      <c r="H102" s="109"/>
      <c r="I102" s="109" t="s">
        <v>97</v>
      </c>
      <c r="J102" s="109" t="s">
        <v>97</v>
      </c>
      <c r="K102" s="216" t="s">
        <v>97</v>
      </c>
      <c r="L102" s="109" t="s">
        <v>97</v>
      </c>
      <c r="M102" s="109" t="s">
        <v>97</v>
      </c>
      <c r="N102" s="109" t="s">
        <v>97</v>
      </c>
      <c r="O102" s="216">
        <v>2.0</v>
      </c>
      <c r="P102" s="109">
        <v>2.0</v>
      </c>
      <c r="Q102" s="109" t="s">
        <v>97</v>
      </c>
      <c r="R102" s="109">
        <v>1.0</v>
      </c>
      <c r="S102" s="109">
        <v>1.0</v>
      </c>
      <c r="T102" s="216">
        <v>18000.0</v>
      </c>
      <c r="U102" s="109" t="s">
        <v>97</v>
      </c>
      <c r="V102" s="109">
        <v>0.0</v>
      </c>
      <c r="W102" s="109">
        <v>0.0</v>
      </c>
      <c r="X102" s="216">
        <v>0.0</v>
      </c>
      <c r="Y102" s="109" t="s">
        <v>97</v>
      </c>
      <c r="Z102" s="218">
        <v>0.0</v>
      </c>
      <c r="AA102" s="218">
        <v>0.0</v>
      </c>
      <c r="AB102" s="109">
        <v>0.0</v>
      </c>
    </row>
    <row r="103" ht="15.75" customHeight="1">
      <c r="A103" s="109">
        <v>2.6690114427E10</v>
      </c>
      <c r="B103" s="109" t="s">
        <v>831</v>
      </c>
      <c r="C103" s="109" t="s">
        <v>750</v>
      </c>
      <c r="D103" s="109" t="s">
        <v>97</v>
      </c>
      <c r="E103" s="109" t="s">
        <v>97</v>
      </c>
      <c r="F103" s="109" t="s">
        <v>97</v>
      </c>
      <c r="G103" s="109" t="s">
        <v>97</v>
      </c>
      <c r="H103" s="109" t="s">
        <v>97</v>
      </c>
      <c r="I103" s="109">
        <v>15.0</v>
      </c>
      <c r="J103" s="109">
        <v>35.0</v>
      </c>
      <c r="K103" s="109">
        <v>4.0</v>
      </c>
      <c r="L103" s="218">
        <v>0.2667</v>
      </c>
      <c r="M103" s="109">
        <v>0.0</v>
      </c>
      <c r="N103" s="109">
        <v>2.0</v>
      </c>
      <c r="O103" s="109">
        <v>1.0</v>
      </c>
      <c r="P103" s="109">
        <v>3.0</v>
      </c>
      <c r="Q103" s="218">
        <v>0.0667</v>
      </c>
      <c r="R103" s="109">
        <v>1.0</v>
      </c>
      <c r="S103" s="109">
        <v>1.0</v>
      </c>
      <c r="T103" s="216">
        <v>1214100.0</v>
      </c>
      <c r="U103" s="218">
        <v>0.0667</v>
      </c>
      <c r="V103" s="109">
        <v>0.0</v>
      </c>
      <c r="W103" s="109">
        <v>0.0</v>
      </c>
      <c r="X103" s="216">
        <v>0.0</v>
      </c>
      <c r="Y103" s="218">
        <v>0.0</v>
      </c>
      <c r="Z103" s="218">
        <v>0.0</v>
      </c>
      <c r="AA103" s="218">
        <v>0.0</v>
      </c>
      <c r="AB103" s="109">
        <v>0.0</v>
      </c>
    </row>
    <row r="104" ht="15.75" customHeight="1">
      <c r="A104" s="109">
        <v>2.6690114427E10</v>
      </c>
      <c r="B104" s="109" t="s">
        <v>831</v>
      </c>
      <c r="C104" s="109" t="s">
        <v>750</v>
      </c>
      <c r="D104" s="109">
        <v>2.86143543153E11</v>
      </c>
      <c r="E104" s="109" t="s">
        <v>761</v>
      </c>
      <c r="F104" s="109" t="s">
        <v>750</v>
      </c>
      <c r="G104" s="109" t="s">
        <v>770</v>
      </c>
      <c r="H104" s="109"/>
      <c r="I104" s="109" t="s">
        <v>97</v>
      </c>
      <c r="J104" s="109" t="s">
        <v>97</v>
      </c>
      <c r="K104" s="109" t="s">
        <v>97</v>
      </c>
      <c r="L104" s="109" t="s">
        <v>97</v>
      </c>
      <c r="M104" s="109" t="s">
        <v>97</v>
      </c>
      <c r="N104" s="109" t="s">
        <v>97</v>
      </c>
      <c r="O104" s="109">
        <v>1.0</v>
      </c>
      <c r="P104" s="109">
        <v>2.0</v>
      </c>
      <c r="Q104" s="109" t="s">
        <v>97</v>
      </c>
      <c r="R104" s="109">
        <v>0.0</v>
      </c>
      <c r="S104" s="109">
        <v>0.0</v>
      </c>
      <c r="T104" s="216">
        <v>0.0</v>
      </c>
      <c r="U104" s="109" t="s">
        <v>97</v>
      </c>
      <c r="V104" s="109">
        <v>0.0</v>
      </c>
      <c r="W104" s="109">
        <v>0.0</v>
      </c>
      <c r="X104" s="216">
        <v>0.0</v>
      </c>
      <c r="Y104" s="109" t="s">
        <v>97</v>
      </c>
      <c r="Z104" s="218">
        <v>0.0</v>
      </c>
      <c r="AA104" s="218">
        <v>0.0</v>
      </c>
      <c r="AB104" s="109">
        <v>0.0</v>
      </c>
    </row>
    <row r="105" ht="15.75" customHeight="1">
      <c r="A105" s="109">
        <v>2.6690114427E10</v>
      </c>
      <c r="B105" s="109" t="s">
        <v>831</v>
      </c>
      <c r="C105" s="109" t="s">
        <v>750</v>
      </c>
      <c r="D105" s="109">
        <v>2.86143543154E11</v>
      </c>
      <c r="E105" s="109" t="s">
        <v>721</v>
      </c>
      <c r="F105" s="109" t="s">
        <v>750</v>
      </c>
      <c r="G105" s="109" t="s">
        <v>772</v>
      </c>
      <c r="H105" s="109"/>
      <c r="I105" s="109" t="s">
        <v>97</v>
      </c>
      <c r="J105" s="109" t="s">
        <v>97</v>
      </c>
      <c r="K105" s="109" t="s">
        <v>97</v>
      </c>
      <c r="L105" s="109" t="s">
        <v>97</v>
      </c>
      <c r="M105" s="109" t="s">
        <v>97</v>
      </c>
      <c r="N105" s="109" t="s">
        <v>97</v>
      </c>
      <c r="O105" s="109">
        <v>1.0</v>
      </c>
      <c r="P105" s="109">
        <v>1.0</v>
      </c>
      <c r="Q105" s="109" t="s">
        <v>97</v>
      </c>
      <c r="R105" s="109">
        <v>1.0</v>
      </c>
      <c r="S105" s="109">
        <v>1.0</v>
      </c>
      <c r="T105" s="216">
        <v>1214100.0</v>
      </c>
      <c r="U105" s="109" t="s">
        <v>97</v>
      </c>
      <c r="V105" s="109">
        <v>0.0</v>
      </c>
      <c r="W105" s="109">
        <v>0.0</v>
      </c>
      <c r="X105" s="216">
        <v>0.0</v>
      </c>
      <c r="Y105" s="109" t="s">
        <v>97</v>
      </c>
      <c r="Z105" s="218">
        <v>0.0</v>
      </c>
      <c r="AA105" s="218">
        <v>0.0</v>
      </c>
      <c r="AB105" s="109">
        <v>0.0</v>
      </c>
    </row>
    <row r="106" ht="15.75" customHeight="1">
      <c r="A106" s="109">
        <v>2.9840196606E10</v>
      </c>
      <c r="B106" s="109" t="s">
        <v>832</v>
      </c>
      <c r="C106" s="109" t="s">
        <v>750</v>
      </c>
      <c r="D106" s="109" t="s">
        <v>97</v>
      </c>
      <c r="E106" s="109" t="s">
        <v>97</v>
      </c>
      <c r="F106" s="109" t="s">
        <v>97</v>
      </c>
      <c r="G106" s="109" t="s">
        <v>97</v>
      </c>
      <c r="H106" s="109" t="s">
        <v>97</v>
      </c>
      <c r="I106" s="109">
        <v>15.0</v>
      </c>
      <c r="J106" s="109">
        <v>25.0</v>
      </c>
      <c r="K106" s="109">
        <v>2.0</v>
      </c>
      <c r="L106" s="218">
        <v>0.1333</v>
      </c>
      <c r="M106" s="109">
        <v>1.0</v>
      </c>
      <c r="N106" s="109">
        <v>2.0</v>
      </c>
      <c r="O106" s="109">
        <v>3.0</v>
      </c>
      <c r="P106" s="109">
        <v>3.0</v>
      </c>
      <c r="Q106" s="218">
        <v>0.2</v>
      </c>
      <c r="R106" s="109">
        <v>1.0</v>
      </c>
      <c r="S106" s="109">
        <v>1.0</v>
      </c>
      <c r="T106" s="216">
        <v>727600.0</v>
      </c>
      <c r="U106" s="218">
        <v>0.0667</v>
      </c>
      <c r="V106" s="109">
        <v>1.0</v>
      </c>
      <c r="W106" s="109">
        <v>1.0</v>
      </c>
      <c r="X106" s="216">
        <v>727600.0</v>
      </c>
      <c r="Y106" s="218">
        <v>0.0667</v>
      </c>
      <c r="Z106" s="218">
        <v>1.0</v>
      </c>
      <c r="AA106" s="218">
        <v>0.0</v>
      </c>
      <c r="AB106" s="109">
        <v>0.0</v>
      </c>
    </row>
    <row r="107" ht="15.75" customHeight="1">
      <c r="A107" s="109">
        <v>4.066407109E10</v>
      </c>
      <c r="B107" s="109" t="s">
        <v>587</v>
      </c>
      <c r="C107" s="109" t="s">
        <v>750</v>
      </c>
      <c r="D107" s="109" t="s">
        <v>97</v>
      </c>
      <c r="E107" s="109" t="s">
        <v>97</v>
      </c>
      <c r="F107" s="109" t="s">
        <v>97</v>
      </c>
      <c r="G107" s="109" t="s">
        <v>97</v>
      </c>
      <c r="H107" s="109" t="s">
        <v>97</v>
      </c>
      <c r="I107" s="109">
        <v>34.0</v>
      </c>
      <c r="J107" s="109">
        <v>64.0</v>
      </c>
      <c r="K107" s="109">
        <v>13.0</v>
      </c>
      <c r="L107" s="218">
        <v>0.3824</v>
      </c>
      <c r="M107" s="109">
        <v>6.0</v>
      </c>
      <c r="N107" s="109">
        <v>1.0</v>
      </c>
      <c r="O107" s="109">
        <v>4.0</v>
      </c>
      <c r="P107" s="109">
        <v>10.0</v>
      </c>
      <c r="Q107" s="218">
        <v>0.1176</v>
      </c>
      <c r="R107" s="109">
        <v>1.0</v>
      </c>
      <c r="S107" s="109">
        <v>1.0</v>
      </c>
      <c r="T107" s="216">
        <v>677880.0</v>
      </c>
      <c r="U107" s="218">
        <v>0.0294</v>
      </c>
      <c r="V107" s="109">
        <v>0.0</v>
      </c>
      <c r="W107" s="109">
        <v>0.0</v>
      </c>
      <c r="X107" s="109">
        <v>0.0</v>
      </c>
      <c r="Y107" s="218">
        <v>0.0</v>
      </c>
      <c r="Z107" s="218">
        <v>0.0</v>
      </c>
      <c r="AA107" s="218">
        <v>0.0</v>
      </c>
      <c r="AB107" s="109">
        <v>0.0</v>
      </c>
    </row>
    <row r="108" ht="15.75" customHeight="1">
      <c r="A108" s="109">
        <v>3.1275154E9</v>
      </c>
      <c r="B108" s="109" t="s">
        <v>782</v>
      </c>
      <c r="C108" s="109" t="s">
        <v>750</v>
      </c>
      <c r="D108" s="109" t="s">
        <v>97</v>
      </c>
      <c r="E108" s="109" t="s">
        <v>97</v>
      </c>
      <c r="F108" s="109" t="s">
        <v>97</v>
      </c>
      <c r="G108" s="109" t="s">
        <v>97</v>
      </c>
      <c r="H108" s="109" t="s">
        <v>97</v>
      </c>
      <c r="I108" s="109">
        <v>9.0</v>
      </c>
      <c r="J108" s="109">
        <v>15.0</v>
      </c>
      <c r="K108" s="109">
        <v>3.0</v>
      </c>
      <c r="L108" s="218">
        <v>0.3333</v>
      </c>
      <c r="M108" s="109">
        <v>0.0</v>
      </c>
      <c r="N108" s="109">
        <v>0.0</v>
      </c>
      <c r="O108" s="109">
        <v>0.0</v>
      </c>
      <c r="P108" s="109">
        <v>0.0</v>
      </c>
      <c r="Q108" s="218">
        <v>0.0</v>
      </c>
      <c r="R108" s="109">
        <v>0.0</v>
      </c>
      <c r="S108" s="109">
        <v>0.0</v>
      </c>
      <c r="T108" s="109">
        <v>0.0</v>
      </c>
      <c r="U108" s="218">
        <v>0.0</v>
      </c>
      <c r="V108" s="109">
        <v>0.0</v>
      </c>
      <c r="W108" s="109">
        <v>0.0</v>
      </c>
      <c r="X108" s="109">
        <v>0.0</v>
      </c>
      <c r="Y108" s="218">
        <v>0.0</v>
      </c>
      <c r="Z108" s="218">
        <v>0.0</v>
      </c>
      <c r="AA108" s="218">
        <v>0.0</v>
      </c>
      <c r="AB108" s="109">
        <v>0.0</v>
      </c>
    </row>
    <row r="109" ht="15.75" customHeight="1">
      <c r="A109" s="109">
        <v>4.517408573E9</v>
      </c>
      <c r="B109" s="109" t="s">
        <v>833</v>
      </c>
      <c r="C109" s="109" t="s">
        <v>750</v>
      </c>
      <c r="D109" s="109" t="s">
        <v>97</v>
      </c>
      <c r="E109" s="109" t="s">
        <v>97</v>
      </c>
      <c r="F109" s="109" t="s">
        <v>97</v>
      </c>
      <c r="G109" s="109" t="s">
        <v>97</v>
      </c>
      <c r="H109" s="109" t="s">
        <v>834</v>
      </c>
      <c r="I109" s="109">
        <v>3.0</v>
      </c>
      <c r="J109" s="109">
        <v>3.0</v>
      </c>
      <c r="K109" s="109">
        <v>2.0</v>
      </c>
      <c r="L109" s="218">
        <v>0.6667</v>
      </c>
      <c r="M109" s="109">
        <v>0.0</v>
      </c>
      <c r="N109" s="109">
        <v>1.0</v>
      </c>
      <c r="O109" s="109">
        <v>0.0</v>
      </c>
      <c r="P109" s="109">
        <v>0.0</v>
      </c>
      <c r="Q109" s="218">
        <v>0.0</v>
      </c>
      <c r="R109" s="109">
        <v>0.0</v>
      </c>
      <c r="S109" s="109">
        <v>0.0</v>
      </c>
      <c r="T109" s="109">
        <v>0.0</v>
      </c>
      <c r="U109" s="218">
        <v>0.0</v>
      </c>
      <c r="V109" s="109">
        <v>0.0</v>
      </c>
      <c r="W109" s="109">
        <v>0.0</v>
      </c>
      <c r="X109" s="109">
        <v>0.0</v>
      </c>
      <c r="Y109" s="218">
        <v>0.0</v>
      </c>
      <c r="Z109" s="218">
        <v>0.0</v>
      </c>
      <c r="AA109" s="218">
        <v>0.0</v>
      </c>
      <c r="AB109" s="109">
        <v>0.0</v>
      </c>
    </row>
    <row r="110" ht="15.75" customHeight="1">
      <c r="A110" s="109">
        <v>6.319391113E9</v>
      </c>
      <c r="B110" s="109" t="s">
        <v>783</v>
      </c>
      <c r="C110" s="109" t="s">
        <v>750</v>
      </c>
      <c r="D110" s="109" t="s">
        <v>97</v>
      </c>
      <c r="E110" s="109" t="s">
        <v>97</v>
      </c>
      <c r="F110" s="109" t="s">
        <v>97</v>
      </c>
      <c r="G110" s="109" t="s">
        <v>97</v>
      </c>
      <c r="H110" s="109" t="s">
        <v>784</v>
      </c>
      <c r="I110" s="109">
        <v>1.0</v>
      </c>
      <c r="J110" s="109">
        <v>1.0</v>
      </c>
      <c r="K110" s="109">
        <v>0.0</v>
      </c>
      <c r="L110" s="218">
        <v>0.0</v>
      </c>
      <c r="M110" s="109">
        <v>0.0</v>
      </c>
      <c r="N110" s="109">
        <v>0.0</v>
      </c>
      <c r="O110" s="109">
        <v>0.0</v>
      </c>
      <c r="P110" s="109">
        <v>0.0</v>
      </c>
      <c r="Q110" s="218">
        <v>0.0</v>
      </c>
      <c r="R110" s="109">
        <v>0.0</v>
      </c>
      <c r="S110" s="109">
        <v>0.0</v>
      </c>
      <c r="T110" s="109">
        <v>0.0</v>
      </c>
      <c r="U110" s="218">
        <v>0.0</v>
      </c>
      <c r="V110" s="109">
        <v>0.0</v>
      </c>
      <c r="W110" s="109">
        <v>0.0</v>
      </c>
      <c r="X110" s="109">
        <v>0.0</v>
      </c>
      <c r="Y110" s="218">
        <v>0.0</v>
      </c>
      <c r="Z110" s="218">
        <v>0.0</v>
      </c>
      <c r="AA110" s="218">
        <v>0.0</v>
      </c>
      <c r="AB110" s="109">
        <v>0.0</v>
      </c>
    </row>
    <row r="111" ht="15.75" customHeight="1">
      <c r="A111" s="109">
        <v>1.1372319169E10</v>
      </c>
      <c r="B111" s="109" t="s">
        <v>787</v>
      </c>
      <c r="C111" s="109" t="s">
        <v>750</v>
      </c>
      <c r="D111" s="109" t="s">
        <v>97</v>
      </c>
      <c r="E111" s="109" t="s">
        <v>97</v>
      </c>
      <c r="F111" s="109" t="s">
        <v>97</v>
      </c>
      <c r="G111" s="109" t="s">
        <v>97</v>
      </c>
      <c r="H111" s="109" t="s">
        <v>97</v>
      </c>
      <c r="I111" s="109">
        <v>25.0</v>
      </c>
      <c r="J111" s="109">
        <v>46.0</v>
      </c>
      <c r="K111" s="109">
        <v>5.0</v>
      </c>
      <c r="L111" s="218">
        <v>0.2</v>
      </c>
      <c r="M111" s="109">
        <v>4.0</v>
      </c>
      <c r="N111" s="109">
        <v>0.0</v>
      </c>
      <c r="O111" s="109">
        <v>0.0</v>
      </c>
      <c r="P111" s="109">
        <v>0.0</v>
      </c>
      <c r="Q111" s="218">
        <v>0.0</v>
      </c>
      <c r="R111" s="109">
        <v>0.0</v>
      </c>
      <c r="S111" s="109">
        <v>0.0</v>
      </c>
      <c r="T111" s="109">
        <v>0.0</v>
      </c>
      <c r="U111" s="218">
        <v>0.0</v>
      </c>
      <c r="V111" s="109">
        <v>0.0</v>
      </c>
      <c r="W111" s="109">
        <v>0.0</v>
      </c>
      <c r="X111" s="109">
        <v>0.0</v>
      </c>
      <c r="Y111" s="218">
        <v>0.0</v>
      </c>
      <c r="Z111" s="218">
        <v>0.0</v>
      </c>
      <c r="AA111" s="218">
        <v>0.0</v>
      </c>
      <c r="AB111" s="109">
        <v>0.0</v>
      </c>
    </row>
    <row r="112" ht="15.75" customHeight="1">
      <c r="A112" s="109">
        <v>1.2146844429E10</v>
      </c>
      <c r="B112" s="109" t="s">
        <v>788</v>
      </c>
      <c r="C112" s="109" t="s">
        <v>750</v>
      </c>
      <c r="D112" s="109" t="s">
        <v>97</v>
      </c>
      <c r="E112" s="109" t="s">
        <v>97</v>
      </c>
      <c r="F112" s="109" t="s">
        <v>97</v>
      </c>
      <c r="G112" s="109" t="s">
        <v>97</v>
      </c>
      <c r="H112" s="109" t="s">
        <v>97</v>
      </c>
      <c r="I112" s="109">
        <v>7.0</v>
      </c>
      <c r="J112" s="109">
        <v>7.0</v>
      </c>
      <c r="K112" s="109">
        <v>4.0</v>
      </c>
      <c r="L112" s="218">
        <v>0.5714</v>
      </c>
      <c r="M112" s="109">
        <v>0.0</v>
      </c>
      <c r="N112" s="109">
        <v>0.0</v>
      </c>
      <c r="O112" s="109">
        <v>1.0</v>
      </c>
      <c r="P112" s="109">
        <v>1.0</v>
      </c>
      <c r="Q112" s="218">
        <v>0.1429</v>
      </c>
      <c r="R112" s="109">
        <v>0.0</v>
      </c>
      <c r="S112" s="109">
        <v>0.0</v>
      </c>
      <c r="T112" s="109">
        <v>0.0</v>
      </c>
      <c r="U112" s="218">
        <v>0.0</v>
      </c>
      <c r="V112" s="109">
        <v>0.0</v>
      </c>
      <c r="W112" s="109">
        <v>0.0</v>
      </c>
      <c r="X112" s="109">
        <v>0.0</v>
      </c>
      <c r="Y112" s="218">
        <v>0.0</v>
      </c>
      <c r="Z112" s="218">
        <v>0.0</v>
      </c>
      <c r="AA112" s="218">
        <v>0.0</v>
      </c>
      <c r="AB112" s="109">
        <v>0.0</v>
      </c>
    </row>
    <row r="113" ht="15.75" customHeight="1">
      <c r="A113" s="109">
        <v>1.2146844429E10</v>
      </c>
      <c r="B113" s="109" t="s">
        <v>788</v>
      </c>
      <c r="C113" s="109" t="s">
        <v>750</v>
      </c>
      <c r="D113" s="109">
        <v>2.7988409751E10</v>
      </c>
      <c r="E113" s="109" t="s">
        <v>755</v>
      </c>
      <c r="F113" s="109" t="s">
        <v>750</v>
      </c>
      <c r="G113" s="109" t="s">
        <v>97</v>
      </c>
      <c r="H113" s="109"/>
      <c r="I113" s="109" t="s">
        <v>97</v>
      </c>
      <c r="J113" s="109" t="s">
        <v>97</v>
      </c>
      <c r="K113" s="109" t="s">
        <v>97</v>
      </c>
      <c r="L113" s="109" t="s">
        <v>97</v>
      </c>
      <c r="M113" s="109" t="s">
        <v>97</v>
      </c>
      <c r="N113" s="109" t="s">
        <v>97</v>
      </c>
      <c r="O113" s="109">
        <v>1.0</v>
      </c>
      <c r="P113" s="109">
        <v>1.0</v>
      </c>
      <c r="Q113" s="109" t="s">
        <v>97</v>
      </c>
      <c r="R113" s="109">
        <v>0.0</v>
      </c>
      <c r="S113" s="109">
        <v>0.0</v>
      </c>
      <c r="T113" s="109">
        <v>0.0</v>
      </c>
      <c r="U113" s="109" t="s">
        <v>97</v>
      </c>
      <c r="V113" s="109">
        <v>0.0</v>
      </c>
      <c r="W113" s="109">
        <v>0.0</v>
      </c>
      <c r="X113" s="109">
        <v>0.0</v>
      </c>
      <c r="Y113" s="109" t="s">
        <v>97</v>
      </c>
      <c r="Z113" s="218">
        <v>0.0</v>
      </c>
      <c r="AA113" s="218">
        <v>0.0</v>
      </c>
      <c r="AB113" s="109">
        <v>0.0</v>
      </c>
    </row>
    <row r="114" ht="15.75" customHeight="1">
      <c r="A114" s="109">
        <v>1.3953468578E10</v>
      </c>
      <c r="B114" s="109" t="s">
        <v>790</v>
      </c>
      <c r="C114" s="109" t="s">
        <v>750</v>
      </c>
      <c r="D114" s="109" t="s">
        <v>97</v>
      </c>
      <c r="E114" s="109" t="s">
        <v>97</v>
      </c>
      <c r="F114" s="109" t="s">
        <v>97</v>
      </c>
      <c r="G114" s="109" t="s">
        <v>97</v>
      </c>
      <c r="H114" s="109" t="s">
        <v>97</v>
      </c>
      <c r="I114" s="109">
        <v>5.0</v>
      </c>
      <c r="J114" s="109">
        <v>8.0</v>
      </c>
      <c r="K114" s="109">
        <v>2.0</v>
      </c>
      <c r="L114" s="218">
        <v>0.4</v>
      </c>
      <c r="M114" s="109">
        <v>1.0</v>
      </c>
      <c r="N114" s="109">
        <v>0.0</v>
      </c>
      <c r="O114" s="109">
        <v>0.0</v>
      </c>
      <c r="P114" s="109">
        <v>0.0</v>
      </c>
      <c r="Q114" s="218">
        <v>0.0</v>
      </c>
      <c r="R114" s="109">
        <v>0.0</v>
      </c>
      <c r="S114" s="109">
        <v>0.0</v>
      </c>
      <c r="T114" s="109">
        <v>0.0</v>
      </c>
      <c r="U114" s="218">
        <v>0.0</v>
      </c>
      <c r="V114" s="109">
        <v>0.0</v>
      </c>
      <c r="W114" s="109">
        <v>0.0</v>
      </c>
      <c r="X114" s="109">
        <v>0.0</v>
      </c>
      <c r="Y114" s="218">
        <v>0.0</v>
      </c>
      <c r="Z114" s="218">
        <v>0.0</v>
      </c>
      <c r="AA114" s="218">
        <v>0.0</v>
      </c>
      <c r="AB114" s="109">
        <v>0.0</v>
      </c>
    </row>
    <row r="115" ht="15.75" customHeight="1">
      <c r="A115" s="109">
        <v>1.4500181135E10</v>
      </c>
      <c r="B115" s="109" t="s">
        <v>791</v>
      </c>
      <c r="C115" s="109" t="s">
        <v>750</v>
      </c>
      <c r="D115" s="109" t="s">
        <v>97</v>
      </c>
      <c r="E115" s="109" t="s">
        <v>97</v>
      </c>
      <c r="F115" s="109" t="s">
        <v>97</v>
      </c>
      <c r="G115" s="109" t="s">
        <v>97</v>
      </c>
      <c r="H115" s="109" t="s">
        <v>97</v>
      </c>
      <c r="I115" s="109">
        <v>23.0</v>
      </c>
      <c r="J115" s="109">
        <v>33.0</v>
      </c>
      <c r="K115" s="109">
        <v>9.0</v>
      </c>
      <c r="L115" s="218">
        <v>0.3913</v>
      </c>
      <c r="M115" s="109">
        <v>2.0</v>
      </c>
      <c r="N115" s="109">
        <v>0.0</v>
      </c>
      <c r="O115" s="109">
        <v>0.0</v>
      </c>
      <c r="P115" s="109">
        <v>0.0</v>
      </c>
      <c r="Q115" s="218">
        <v>0.0</v>
      </c>
      <c r="R115" s="109">
        <v>0.0</v>
      </c>
      <c r="S115" s="109">
        <v>0.0</v>
      </c>
      <c r="T115" s="109">
        <v>0.0</v>
      </c>
      <c r="U115" s="218">
        <v>0.0</v>
      </c>
      <c r="V115" s="109">
        <v>0.0</v>
      </c>
      <c r="W115" s="109">
        <v>0.0</v>
      </c>
      <c r="X115" s="109">
        <v>0.0</v>
      </c>
      <c r="Y115" s="218">
        <v>0.0</v>
      </c>
      <c r="Z115" s="218">
        <v>0.0</v>
      </c>
      <c r="AA115" s="218">
        <v>0.0</v>
      </c>
      <c r="AB115" s="109">
        <v>0.0</v>
      </c>
    </row>
    <row r="116" ht="15.75" customHeight="1">
      <c r="A116" s="109">
        <v>1.5403948801E10</v>
      </c>
      <c r="B116" s="109" t="s">
        <v>794</v>
      </c>
      <c r="C116" s="109" t="s">
        <v>750</v>
      </c>
      <c r="D116" s="109" t="s">
        <v>97</v>
      </c>
      <c r="E116" s="109" t="s">
        <v>97</v>
      </c>
      <c r="F116" s="109" t="s">
        <v>97</v>
      </c>
      <c r="G116" s="109" t="s">
        <v>97</v>
      </c>
      <c r="H116" s="109" t="s">
        <v>97</v>
      </c>
      <c r="I116" s="109">
        <v>1.0</v>
      </c>
      <c r="J116" s="109">
        <v>1.0</v>
      </c>
      <c r="K116" s="109">
        <v>0.0</v>
      </c>
      <c r="L116" s="218">
        <v>0.0</v>
      </c>
      <c r="M116" s="109">
        <v>0.0</v>
      </c>
      <c r="N116" s="109">
        <v>0.0</v>
      </c>
      <c r="O116" s="109">
        <v>0.0</v>
      </c>
      <c r="P116" s="109">
        <v>0.0</v>
      </c>
      <c r="Q116" s="218">
        <v>0.0</v>
      </c>
      <c r="R116" s="109">
        <v>0.0</v>
      </c>
      <c r="S116" s="109">
        <v>0.0</v>
      </c>
      <c r="T116" s="109">
        <v>0.0</v>
      </c>
      <c r="U116" s="218">
        <v>0.0</v>
      </c>
      <c r="V116" s="109">
        <v>0.0</v>
      </c>
      <c r="W116" s="109">
        <v>0.0</v>
      </c>
      <c r="X116" s="109">
        <v>0.0</v>
      </c>
      <c r="Y116" s="218">
        <v>0.0</v>
      </c>
      <c r="Z116" s="218">
        <v>0.0</v>
      </c>
      <c r="AA116" s="218">
        <v>0.0</v>
      </c>
      <c r="AB116" s="109">
        <v>0.0</v>
      </c>
    </row>
    <row r="117" ht="15.75" customHeight="1">
      <c r="A117" s="109">
        <v>2.1287412861E10</v>
      </c>
      <c r="B117" s="109" t="s">
        <v>415</v>
      </c>
      <c r="C117" s="109" t="s">
        <v>750</v>
      </c>
      <c r="D117" s="109" t="s">
        <v>97</v>
      </c>
      <c r="E117" s="109" t="s">
        <v>97</v>
      </c>
      <c r="F117" s="109" t="s">
        <v>97</v>
      </c>
      <c r="G117" s="109" t="s">
        <v>97</v>
      </c>
      <c r="H117" s="109" t="s">
        <v>97</v>
      </c>
      <c r="I117" s="109">
        <v>13.0</v>
      </c>
      <c r="J117" s="109">
        <v>14.0</v>
      </c>
      <c r="K117" s="109">
        <v>4.0</v>
      </c>
      <c r="L117" s="218">
        <v>0.3077</v>
      </c>
      <c r="M117" s="109">
        <v>2.0</v>
      </c>
      <c r="N117" s="109">
        <v>0.0</v>
      </c>
      <c r="O117" s="109">
        <v>0.0</v>
      </c>
      <c r="P117" s="109">
        <v>0.0</v>
      </c>
      <c r="Q117" s="218">
        <v>0.0</v>
      </c>
      <c r="R117" s="109">
        <v>0.0</v>
      </c>
      <c r="S117" s="109">
        <v>0.0</v>
      </c>
      <c r="T117" s="109">
        <v>0.0</v>
      </c>
      <c r="U117" s="218">
        <v>0.0</v>
      </c>
      <c r="V117" s="109">
        <v>0.0</v>
      </c>
      <c r="W117" s="109">
        <v>0.0</v>
      </c>
      <c r="X117" s="109">
        <v>0.0</v>
      </c>
      <c r="Y117" s="218">
        <v>0.0</v>
      </c>
      <c r="Z117" s="218">
        <v>0.0</v>
      </c>
      <c r="AA117" s="218">
        <v>0.0</v>
      </c>
      <c r="AB117" s="109">
        <v>0.0</v>
      </c>
    </row>
    <row r="118" ht="15.75" customHeight="1">
      <c r="A118" s="109">
        <v>2.2864051694E10</v>
      </c>
      <c r="B118" s="109" t="s">
        <v>720</v>
      </c>
      <c r="C118" s="109" t="s">
        <v>750</v>
      </c>
      <c r="D118" s="109" t="s">
        <v>97</v>
      </c>
      <c r="E118" s="109" t="s">
        <v>97</v>
      </c>
      <c r="F118" s="109" t="s">
        <v>97</v>
      </c>
      <c r="G118" s="109" t="s">
        <v>97</v>
      </c>
      <c r="H118" s="109" t="s">
        <v>97</v>
      </c>
      <c r="I118" s="109">
        <v>8.0</v>
      </c>
      <c r="J118" s="109">
        <v>8.0</v>
      </c>
      <c r="K118" s="109">
        <v>2.0</v>
      </c>
      <c r="L118" s="218">
        <v>0.25</v>
      </c>
      <c r="M118" s="109">
        <v>0.0</v>
      </c>
      <c r="N118" s="109">
        <v>0.0</v>
      </c>
      <c r="O118" s="109">
        <v>0.0</v>
      </c>
      <c r="P118" s="109">
        <v>0.0</v>
      </c>
      <c r="Q118" s="218">
        <v>0.0</v>
      </c>
      <c r="R118" s="109">
        <v>0.0</v>
      </c>
      <c r="S118" s="109">
        <v>0.0</v>
      </c>
      <c r="T118" s="109">
        <v>0.0</v>
      </c>
      <c r="U118" s="218">
        <v>0.0</v>
      </c>
      <c r="V118" s="109">
        <v>0.0</v>
      </c>
      <c r="W118" s="109">
        <v>0.0</v>
      </c>
      <c r="X118" s="109">
        <v>0.0</v>
      </c>
      <c r="Y118" s="218">
        <v>0.0</v>
      </c>
      <c r="Z118" s="218">
        <v>0.0</v>
      </c>
      <c r="AA118" s="218">
        <v>0.0</v>
      </c>
      <c r="AB118" s="109">
        <v>0.0</v>
      </c>
    </row>
    <row r="119" ht="15.75" customHeight="1">
      <c r="A119" s="109">
        <v>2.4067721716E10</v>
      </c>
      <c r="B119" s="109" t="s">
        <v>800</v>
      </c>
      <c r="C119" s="109" t="s">
        <v>750</v>
      </c>
      <c r="D119" s="109" t="s">
        <v>97</v>
      </c>
      <c r="E119" s="109" t="s">
        <v>97</v>
      </c>
      <c r="F119" s="109" t="s">
        <v>97</v>
      </c>
      <c r="G119" s="109" t="s">
        <v>97</v>
      </c>
      <c r="H119" s="109" t="s">
        <v>801</v>
      </c>
      <c r="I119" s="109">
        <v>21.0</v>
      </c>
      <c r="J119" s="109">
        <v>34.0</v>
      </c>
      <c r="K119" s="109">
        <v>5.0</v>
      </c>
      <c r="L119" s="218">
        <v>0.2381</v>
      </c>
      <c r="M119" s="109">
        <v>3.0</v>
      </c>
      <c r="N119" s="109">
        <v>2.0</v>
      </c>
      <c r="O119" s="109">
        <v>3.0</v>
      </c>
      <c r="P119" s="109">
        <v>3.0</v>
      </c>
      <c r="Q119" s="218">
        <v>0.1429</v>
      </c>
      <c r="R119" s="109">
        <v>0.0</v>
      </c>
      <c r="S119" s="109">
        <v>0.0</v>
      </c>
      <c r="T119" s="109">
        <v>0.0</v>
      </c>
      <c r="U119" s="218">
        <v>0.0</v>
      </c>
      <c r="V119" s="109">
        <v>0.0</v>
      </c>
      <c r="W119" s="109">
        <v>0.0</v>
      </c>
      <c r="X119" s="109">
        <v>0.0</v>
      </c>
      <c r="Y119" s="218">
        <v>0.0</v>
      </c>
      <c r="Z119" s="218">
        <v>0.0</v>
      </c>
      <c r="AA119" s="218">
        <v>0.0</v>
      </c>
      <c r="AB119" s="109">
        <v>0.0</v>
      </c>
    </row>
    <row r="120" ht="15.75" customHeight="1">
      <c r="A120" s="109">
        <v>2.4067721716E10</v>
      </c>
      <c r="B120" s="109" t="s">
        <v>800</v>
      </c>
      <c r="C120" s="109" t="s">
        <v>750</v>
      </c>
      <c r="D120" s="109">
        <v>8.8883451652E10</v>
      </c>
      <c r="E120" s="109" t="s">
        <v>802</v>
      </c>
      <c r="F120" s="109" t="s">
        <v>750</v>
      </c>
      <c r="G120" s="109" t="s">
        <v>801</v>
      </c>
      <c r="H120" s="109" t="s">
        <v>801</v>
      </c>
      <c r="I120" s="109" t="s">
        <v>97</v>
      </c>
      <c r="J120" s="109" t="s">
        <v>97</v>
      </c>
      <c r="K120" s="109" t="s">
        <v>97</v>
      </c>
      <c r="L120" s="109" t="s">
        <v>97</v>
      </c>
      <c r="M120" s="109" t="s">
        <v>97</v>
      </c>
      <c r="N120" s="109" t="s">
        <v>97</v>
      </c>
      <c r="O120" s="109">
        <v>3.0</v>
      </c>
      <c r="P120" s="109">
        <v>3.0</v>
      </c>
      <c r="Q120" s="109" t="s">
        <v>97</v>
      </c>
      <c r="R120" s="109">
        <v>0.0</v>
      </c>
      <c r="S120" s="109">
        <v>0.0</v>
      </c>
      <c r="T120" s="109">
        <v>0.0</v>
      </c>
      <c r="U120" s="109" t="s">
        <v>97</v>
      </c>
      <c r="V120" s="109">
        <v>0.0</v>
      </c>
      <c r="W120" s="109">
        <v>0.0</v>
      </c>
      <c r="X120" s="109">
        <v>0.0</v>
      </c>
      <c r="Y120" s="109" t="s">
        <v>97</v>
      </c>
      <c r="Z120" s="218">
        <v>0.0</v>
      </c>
      <c r="AA120" s="218">
        <v>0.0</v>
      </c>
      <c r="AB120" s="109">
        <v>0.0</v>
      </c>
    </row>
    <row r="121" ht="15.75" customHeight="1">
      <c r="A121" s="109">
        <v>2.4576774667E10</v>
      </c>
      <c r="B121" s="109" t="s">
        <v>804</v>
      </c>
      <c r="C121" s="109" t="s">
        <v>750</v>
      </c>
      <c r="D121" s="109" t="s">
        <v>97</v>
      </c>
      <c r="E121" s="109" t="s">
        <v>97</v>
      </c>
      <c r="F121" s="109" t="s">
        <v>97</v>
      </c>
      <c r="G121" s="109" t="s">
        <v>97</v>
      </c>
      <c r="H121" s="109" t="s">
        <v>779</v>
      </c>
      <c r="I121" s="109">
        <v>20.0</v>
      </c>
      <c r="J121" s="109">
        <v>30.0</v>
      </c>
      <c r="K121" s="109">
        <v>4.0</v>
      </c>
      <c r="L121" s="218">
        <v>0.2</v>
      </c>
      <c r="M121" s="109">
        <v>1.0</v>
      </c>
      <c r="N121" s="109">
        <v>1.0</v>
      </c>
      <c r="O121" s="109">
        <v>2.0</v>
      </c>
      <c r="P121" s="109">
        <v>13.0</v>
      </c>
      <c r="Q121" s="218">
        <v>0.1</v>
      </c>
      <c r="R121" s="109">
        <v>0.0</v>
      </c>
      <c r="S121" s="109">
        <v>0.0</v>
      </c>
      <c r="T121" s="109">
        <v>0.0</v>
      </c>
      <c r="U121" s="218">
        <v>0.0</v>
      </c>
      <c r="V121" s="109">
        <v>0.0</v>
      </c>
      <c r="W121" s="109">
        <v>0.0</v>
      </c>
      <c r="X121" s="109">
        <v>0.0</v>
      </c>
      <c r="Y121" s="218">
        <v>0.0</v>
      </c>
      <c r="Z121" s="218">
        <v>0.0</v>
      </c>
      <c r="AA121" s="218">
        <v>0.0</v>
      </c>
      <c r="AB121" s="109">
        <v>0.0</v>
      </c>
    </row>
    <row r="122" ht="15.75" customHeight="1">
      <c r="A122" s="109">
        <v>2.4576774667E10</v>
      </c>
      <c r="B122" s="109" t="s">
        <v>804</v>
      </c>
      <c r="C122" s="109" t="s">
        <v>750</v>
      </c>
      <c r="D122" s="109">
        <v>2.55718722725E11</v>
      </c>
      <c r="E122" s="109" t="s">
        <v>761</v>
      </c>
      <c r="F122" s="109" t="s">
        <v>750</v>
      </c>
      <c r="G122" s="109" t="s">
        <v>779</v>
      </c>
      <c r="H122" s="109" t="s">
        <v>779</v>
      </c>
      <c r="I122" s="109" t="s">
        <v>97</v>
      </c>
      <c r="J122" s="109" t="s">
        <v>97</v>
      </c>
      <c r="K122" s="109" t="s">
        <v>97</v>
      </c>
      <c r="L122" s="109" t="s">
        <v>97</v>
      </c>
      <c r="M122" s="109" t="s">
        <v>97</v>
      </c>
      <c r="N122" s="109" t="s">
        <v>97</v>
      </c>
      <c r="O122" s="109">
        <v>2.0</v>
      </c>
      <c r="P122" s="109">
        <v>13.0</v>
      </c>
      <c r="Q122" s="109" t="s">
        <v>97</v>
      </c>
      <c r="R122" s="109">
        <v>0.0</v>
      </c>
      <c r="S122" s="109">
        <v>0.0</v>
      </c>
      <c r="T122" s="109">
        <v>0.0</v>
      </c>
      <c r="U122" s="109" t="s">
        <v>97</v>
      </c>
      <c r="V122" s="109">
        <v>0.0</v>
      </c>
      <c r="W122" s="109">
        <v>0.0</v>
      </c>
      <c r="X122" s="109">
        <v>0.0</v>
      </c>
      <c r="Y122" s="109" t="s">
        <v>97</v>
      </c>
      <c r="Z122" s="218">
        <v>0.0</v>
      </c>
      <c r="AA122" s="218">
        <v>0.0</v>
      </c>
      <c r="AB122" s="109">
        <v>0.0</v>
      </c>
    </row>
    <row r="123" ht="15.75" customHeight="1">
      <c r="A123" s="109">
        <v>2.4717729485E10</v>
      </c>
      <c r="B123" s="109" t="s">
        <v>805</v>
      </c>
      <c r="C123" s="109" t="s">
        <v>750</v>
      </c>
      <c r="D123" s="109" t="s">
        <v>97</v>
      </c>
      <c r="E123" s="109" t="s">
        <v>97</v>
      </c>
      <c r="F123" s="109" t="s">
        <v>97</v>
      </c>
      <c r="G123" s="109" t="s">
        <v>97</v>
      </c>
      <c r="H123" s="109" t="s">
        <v>806</v>
      </c>
      <c r="I123" s="109">
        <v>4.0</v>
      </c>
      <c r="J123" s="109">
        <v>8.0</v>
      </c>
      <c r="K123" s="109">
        <v>1.0</v>
      </c>
      <c r="L123" s="218">
        <v>0.25</v>
      </c>
      <c r="M123" s="109">
        <v>0.0</v>
      </c>
      <c r="N123" s="109">
        <v>0.0</v>
      </c>
      <c r="O123" s="109">
        <v>0.0</v>
      </c>
      <c r="P123" s="109">
        <v>0.0</v>
      </c>
      <c r="Q123" s="218">
        <v>0.0</v>
      </c>
      <c r="R123" s="109">
        <v>0.0</v>
      </c>
      <c r="S123" s="109">
        <v>0.0</v>
      </c>
      <c r="T123" s="109">
        <v>0.0</v>
      </c>
      <c r="U123" s="218">
        <v>0.0</v>
      </c>
      <c r="V123" s="109">
        <v>0.0</v>
      </c>
      <c r="W123" s="109">
        <v>0.0</v>
      </c>
      <c r="X123" s="109">
        <v>0.0</v>
      </c>
      <c r="Y123" s="218">
        <v>0.0</v>
      </c>
      <c r="Z123" s="218">
        <v>0.0</v>
      </c>
      <c r="AA123" s="218">
        <v>0.0</v>
      </c>
      <c r="AB123" s="109">
        <v>0.0</v>
      </c>
    </row>
    <row r="124" ht="15.75" customHeight="1">
      <c r="A124" s="109">
        <v>2.5667714981E10</v>
      </c>
      <c r="B124" s="109" t="s">
        <v>813</v>
      </c>
      <c r="C124" s="109" t="s">
        <v>750</v>
      </c>
      <c r="D124" s="109" t="s">
        <v>97</v>
      </c>
      <c r="E124" s="109" t="s">
        <v>97</v>
      </c>
      <c r="F124" s="109" t="s">
        <v>97</v>
      </c>
      <c r="G124" s="109" t="s">
        <v>97</v>
      </c>
      <c r="H124" s="109" t="s">
        <v>97</v>
      </c>
      <c r="I124" s="109">
        <v>11.0</v>
      </c>
      <c r="J124" s="109">
        <v>16.0</v>
      </c>
      <c r="K124" s="109">
        <v>6.0</v>
      </c>
      <c r="L124" s="218">
        <v>0.5455</v>
      </c>
      <c r="M124" s="109">
        <v>1.0</v>
      </c>
      <c r="N124" s="109">
        <v>0.0</v>
      </c>
      <c r="O124" s="109">
        <v>1.0</v>
      </c>
      <c r="P124" s="109">
        <v>1.0</v>
      </c>
      <c r="Q124" s="218">
        <v>0.0909</v>
      </c>
      <c r="R124" s="109">
        <v>0.0</v>
      </c>
      <c r="S124" s="109">
        <v>0.0</v>
      </c>
      <c r="T124" s="109">
        <v>0.0</v>
      </c>
      <c r="U124" s="218">
        <v>0.0</v>
      </c>
      <c r="V124" s="109">
        <v>0.0</v>
      </c>
      <c r="W124" s="109">
        <v>0.0</v>
      </c>
      <c r="X124" s="109">
        <v>0.0</v>
      </c>
      <c r="Y124" s="218">
        <v>0.0</v>
      </c>
      <c r="Z124" s="218">
        <v>0.0</v>
      </c>
      <c r="AA124" s="218">
        <v>0.0</v>
      </c>
      <c r="AB124" s="109">
        <v>0.0</v>
      </c>
    </row>
    <row r="125" ht="15.75" customHeight="1">
      <c r="A125" s="109">
        <v>2.5667714981E10</v>
      </c>
      <c r="B125" s="109" t="s">
        <v>813</v>
      </c>
      <c r="C125" s="109" t="s">
        <v>750</v>
      </c>
      <c r="D125" s="109">
        <v>1.87356061973E11</v>
      </c>
      <c r="E125" s="109" t="s">
        <v>761</v>
      </c>
      <c r="F125" s="109" t="s">
        <v>750</v>
      </c>
      <c r="G125" s="109" t="s">
        <v>814</v>
      </c>
      <c r="H125" s="109"/>
      <c r="I125" s="109" t="s">
        <v>97</v>
      </c>
      <c r="J125" s="109" t="s">
        <v>97</v>
      </c>
      <c r="K125" s="109" t="s">
        <v>97</v>
      </c>
      <c r="L125" s="109" t="s">
        <v>97</v>
      </c>
      <c r="M125" s="109" t="s">
        <v>97</v>
      </c>
      <c r="N125" s="109" t="s">
        <v>97</v>
      </c>
      <c r="O125" s="109">
        <v>1.0</v>
      </c>
      <c r="P125" s="109">
        <v>1.0</v>
      </c>
      <c r="Q125" s="109" t="s">
        <v>97</v>
      </c>
      <c r="R125" s="109">
        <v>0.0</v>
      </c>
      <c r="S125" s="109">
        <v>0.0</v>
      </c>
      <c r="T125" s="109">
        <v>0.0</v>
      </c>
      <c r="U125" s="109" t="s">
        <v>97</v>
      </c>
      <c r="V125" s="109">
        <v>0.0</v>
      </c>
      <c r="W125" s="109">
        <v>0.0</v>
      </c>
      <c r="X125" s="109">
        <v>0.0</v>
      </c>
      <c r="Y125" s="109" t="s">
        <v>97</v>
      </c>
      <c r="Z125" s="218">
        <v>0.0</v>
      </c>
      <c r="AA125" s="218">
        <v>0.0</v>
      </c>
      <c r="AB125" s="109">
        <v>0.0</v>
      </c>
    </row>
    <row r="126" ht="15.75" customHeight="1">
      <c r="A126" s="109">
        <v>2.7590213014E10</v>
      </c>
      <c r="B126" s="109" t="s">
        <v>835</v>
      </c>
      <c r="C126" s="109" t="s">
        <v>750</v>
      </c>
      <c r="D126" s="109" t="s">
        <v>97</v>
      </c>
      <c r="E126" s="109" t="s">
        <v>97</v>
      </c>
      <c r="F126" s="109" t="s">
        <v>97</v>
      </c>
      <c r="G126" s="109" t="s">
        <v>97</v>
      </c>
      <c r="H126" s="109" t="s">
        <v>97</v>
      </c>
      <c r="I126" s="109">
        <v>10.0</v>
      </c>
      <c r="J126" s="109">
        <v>15.0</v>
      </c>
      <c r="K126" s="109">
        <v>4.0</v>
      </c>
      <c r="L126" s="218">
        <v>0.4</v>
      </c>
      <c r="M126" s="109">
        <v>4.0</v>
      </c>
      <c r="N126" s="109">
        <v>0.0</v>
      </c>
      <c r="O126" s="109">
        <v>0.0</v>
      </c>
      <c r="P126" s="109">
        <v>0.0</v>
      </c>
      <c r="Q126" s="218">
        <v>0.0</v>
      </c>
      <c r="R126" s="109">
        <v>0.0</v>
      </c>
      <c r="S126" s="109">
        <v>0.0</v>
      </c>
      <c r="T126" s="109">
        <v>0.0</v>
      </c>
      <c r="U126" s="218">
        <v>0.0</v>
      </c>
      <c r="V126" s="109">
        <v>0.0</v>
      </c>
      <c r="W126" s="109">
        <v>0.0</v>
      </c>
      <c r="X126" s="109">
        <v>0.0</v>
      </c>
      <c r="Y126" s="218">
        <v>0.0</v>
      </c>
      <c r="Z126" s="218">
        <v>0.0</v>
      </c>
      <c r="AA126" s="218">
        <v>0.0</v>
      </c>
      <c r="AB126" s="109">
        <v>0.0</v>
      </c>
    </row>
    <row r="127" ht="15.75" customHeight="1">
      <c r="A127" s="109">
        <v>2.8791193886E10</v>
      </c>
      <c r="B127" s="109" t="s">
        <v>836</v>
      </c>
      <c r="C127" s="109" t="s">
        <v>750</v>
      </c>
      <c r="D127" s="109" t="s">
        <v>97</v>
      </c>
      <c r="E127" s="109" t="s">
        <v>97</v>
      </c>
      <c r="F127" s="109" t="s">
        <v>97</v>
      </c>
      <c r="G127" s="109" t="s">
        <v>97</v>
      </c>
      <c r="H127" s="109" t="s">
        <v>97</v>
      </c>
      <c r="I127" s="109">
        <v>8.0</v>
      </c>
      <c r="J127" s="109">
        <v>10.0</v>
      </c>
      <c r="K127" s="109">
        <v>2.0</v>
      </c>
      <c r="L127" s="218">
        <v>0.25</v>
      </c>
      <c r="M127" s="109">
        <v>1.0</v>
      </c>
      <c r="N127" s="109">
        <v>0.0</v>
      </c>
      <c r="O127" s="109">
        <v>0.0</v>
      </c>
      <c r="P127" s="109">
        <v>0.0</v>
      </c>
      <c r="Q127" s="218">
        <v>0.0</v>
      </c>
      <c r="R127" s="109">
        <v>0.0</v>
      </c>
      <c r="S127" s="109">
        <v>0.0</v>
      </c>
      <c r="T127" s="109">
        <v>0.0</v>
      </c>
      <c r="U127" s="218">
        <v>0.0</v>
      </c>
      <c r="V127" s="109">
        <v>0.0</v>
      </c>
      <c r="W127" s="109">
        <v>0.0</v>
      </c>
      <c r="X127" s="109">
        <v>0.0</v>
      </c>
      <c r="Y127" s="218">
        <v>0.0</v>
      </c>
      <c r="Z127" s="218">
        <v>0.0</v>
      </c>
      <c r="AA127" s="218">
        <v>0.0</v>
      </c>
      <c r="AB127" s="109">
        <v>0.0</v>
      </c>
    </row>
    <row r="128" ht="15.75" customHeight="1">
      <c r="A128" s="109">
        <v>2.974021288E10</v>
      </c>
      <c r="B128" s="109" t="s">
        <v>837</v>
      </c>
      <c r="C128" s="109" t="s">
        <v>750</v>
      </c>
      <c r="D128" s="109" t="s">
        <v>97</v>
      </c>
      <c r="E128" s="109" t="s">
        <v>97</v>
      </c>
      <c r="F128" s="109" t="s">
        <v>97</v>
      </c>
      <c r="G128" s="109" t="s">
        <v>97</v>
      </c>
      <c r="H128" s="109" t="s">
        <v>97</v>
      </c>
      <c r="I128" s="109">
        <v>1.0</v>
      </c>
      <c r="J128" s="109">
        <v>2.0</v>
      </c>
      <c r="K128" s="109">
        <v>0.0</v>
      </c>
      <c r="L128" s="218">
        <v>0.0</v>
      </c>
      <c r="M128" s="109">
        <v>1.0</v>
      </c>
      <c r="N128" s="109">
        <v>0.0</v>
      </c>
      <c r="O128" s="109">
        <v>0.0</v>
      </c>
      <c r="P128" s="109">
        <v>0.0</v>
      </c>
      <c r="Q128" s="218">
        <v>0.0</v>
      </c>
      <c r="R128" s="109">
        <v>0.0</v>
      </c>
      <c r="S128" s="109">
        <v>0.0</v>
      </c>
      <c r="T128" s="109">
        <v>0.0</v>
      </c>
      <c r="U128" s="218">
        <v>0.0</v>
      </c>
      <c r="V128" s="109">
        <v>0.0</v>
      </c>
      <c r="W128" s="109">
        <v>0.0</v>
      </c>
      <c r="X128" s="109">
        <v>0.0</v>
      </c>
      <c r="Y128" s="218">
        <v>0.0</v>
      </c>
      <c r="Z128" s="218">
        <v>0.0</v>
      </c>
      <c r="AA128" s="218">
        <v>0.0</v>
      </c>
      <c r="AB128" s="109">
        <v>0.0</v>
      </c>
    </row>
    <row r="129" ht="15.75" customHeight="1">
      <c r="A129" s="109">
        <v>4.0164073028E10</v>
      </c>
      <c r="B129" s="109" t="s">
        <v>838</v>
      </c>
      <c r="C129" s="109" t="s">
        <v>750</v>
      </c>
      <c r="D129" s="109" t="s">
        <v>97</v>
      </c>
      <c r="E129" s="109" t="s">
        <v>97</v>
      </c>
      <c r="F129" s="109" t="s">
        <v>97</v>
      </c>
      <c r="G129" s="109" t="s">
        <v>97</v>
      </c>
      <c r="H129" s="109" t="s">
        <v>97</v>
      </c>
      <c r="I129" s="109">
        <v>5.0</v>
      </c>
      <c r="J129" s="109">
        <v>9.0</v>
      </c>
      <c r="K129" s="109">
        <v>0.0</v>
      </c>
      <c r="L129" s="218">
        <v>0.0</v>
      </c>
      <c r="M129" s="109">
        <v>3.0</v>
      </c>
      <c r="N129" s="109">
        <v>0.0</v>
      </c>
      <c r="O129" s="109">
        <v>1.0</v>
      </c>
      <c r="P129" s="109">
        <v>1.0</v>
      </c>
      <c r="Q129" s="218">
        <v>0.2</v>
      </c>
      <c r="R129" s="109">
        <v>0.0</v>
      </c>
      <c r="S129" s="109">
        <v>0.0</v>
      </c>
      <c r="T129" s="109">
        <v>0.0</v>
      </c>
      <c r="U129" s="218">
        <v>0.0</v>
      </c>
      <c r="V129" s="109">
        <v>0.0</v>
      </c>
      <c r="W129" s="109">
        <v>0.0</v>
      </c>
      <c r="X129" s="109">
        <v>0.0</v>
      </c>
      <c r="Y129" s="218">
        <v>0.0</v>
      </c>
      <c r="Z129" s="218">
        <v>0.0</v>
      </c>
      <c r="AA129" s="218">
        <v>0.0</v>
      </c>
      <c r="AB129" s="109">
        <v>0.0</v>
      </c>
    </row>
    <row r="130" ht="15.75" customHeight="1">
      <c r="A130" s="109">
        <v>4.081385691E10</v>
      </c>
      <c r="B130" s="109" t="s">
        <v>839</v>
      </c>
      <c r="C130" s="109" t="s">
        <v>750</v>
      </c>
      <c r="D130" s="109" t="s">
        <v>97</v>
      </c>
      <c r="E130" s="109" t="s">
        <v>97</v>
      </c>
      <c r="F130" s="109" t="s">
        <v>97</v>
      </c>
      <c r="G130" s="109" t="s">
        <v>97</v>
      </c>
      <c r="H130" s="109" t="s">
        <v>97</v>
      </c>
      <c r="I130" s="109">
        <v>8.0</v>
      </c>
      <c r="J130" s="109">
        <v>11.0</v>
      </c>
      <c r="K130" s="109">
        <v>2.0</v>
      </c>
      <c r="L130" s="218">
        <v>0.25</v>
      </c>
      <c r="M130" s="109">
        <v>1.0</v>
      </c>
      <c r="N130" s="109">
        <v>0.0</v>
      </c>
      <c r="O130" s="109">
        <v>0.0</v>
      </c>
      <c r="P130" s="109">
        <v>0.0</v>
      </c>
      <c r="Q130" s="218">
        <v>0.0</v>
      </c>
      <c r="R130" s="109">
        <v>0.0</v>
      </c>
      <c r="S130" s="109">
        <v>0.0</v>
      </c>
      <c r="T130" s="109">
        <v>0.0</v>
      </c>
      <c r="U130" s="218">
        <v>0.0</v>
      </c>
      <c r="V130" s="109">
        <v>0.0</v>
      </c>
      <c r="W130" s="109">
        <v>0.0</v>
      </c>
      <c r="X130" s="109">
        <v>0.0</v>
      </c>
      <c r="Y130" s="218">
        <v>0.0</v>
      </c>
      <c r="Z130" s="218">
        <v>0.0</v>
      </c>
      <c r="AA130" s="218">
        <v>0.0</v>
      </c>
      <c r="AB130" s="109">
        <v>0.0</v>
      </c>
    </row>
    <row r="131" ht="15.75" customHeight="1">
      <c r="A131" s="109">
        <v>4.1914120666E10</v>
      </c>
      <c r="B131" s="109" t="s">
        <v>840</v>
      </c>
      <c r="C131" s="109" t="s">
        <v>750</v>
      </c>
      <c r="D131" s="109" t="s">
        <v>97</v>
      </c>
      <c r="E131" s="109" t="s">
        <v>97</v>
      </c>
      <c r="F131" s="109" t="s">
        <v>97</v>
      </c>
      <c r="G131" s="109" t="s">
        <v>97</v>
      </c>
      <c r="H131" s="109" t="s">
        <v>97</v>
      </c>
      <c r="I131" s="109">
        <v>8.0</v>
      </c>
      <c r="J131" s="109">
        <v>9.0</v>
      </c>
      <c r="K131" s="109">
        <v>1.0</v>
      </c>
      <c r="L131" s="218">
        <v>0.125</v>
      </c>
      <c r="M131" s="109">
        <v>0.0</v>
      </c>
      <c r="N131" s="109">
        <v>1.0</v>
      </c>
      <c r="O131" s="109">
        <v>0.0</v>
      </c>
      <c r="P131" s="109">
        <v>0.0</v>
      </c>
      <c r="Q131" s="218">
        <v>0.0</v>
      </c>
      <c r="R131" s="109">
        <v>0.0</v>
      </c>
      <c r="S131" s="109">
        <v>0.0</v>
      </c>
      <c r="T131" s="109">
        <v>0.0</v>
      </c>
      <c r="U131" s="218">
        <v>0.0</v>
      </c>
      <c r="V131" s="109">
        <v>0.0</v>
      </c>
      <c r="W131" s="109">
        <v>0.0</v>
      </c>
      <c r="X131" s="109">
        <v>0.0</v>
      </c>
      <c r="Y131" s="218">
        <v>0.0</v>
      </c>
      <c r="Z131" s="218">
        <v>0.0</v>
      </c>
      <c r="AA131" s="218">
        <v>0.0</v>
      </c>
      <c r="AB131" s="109">
        <v>0.0</v>
      </c>
    </row>
    <row r="132" ht="15.75" customHeight="1">
      <c r="A132" s="109">
        <v>4.2364071673E10</v>
      </c>
      <c r="B132" s="109" t="s">
        <v>841</v>
      </c>
      <c r="C132" s="109" t="s">
        <v>750</v>
      </c>
      <c r="D132" s="109" t="s">
        <v>97</v>
      </c>
      <c r="E132" s="109" t="s">
        <v>97</v>
      </c>
      <c r="F132" s="109" t="s">
        <v>97</v>
      </c>
      <c r="G132" s="109" t="s">
        <v>97</v>
      </c>
      <c r="H132" s="109" t="s">
        <v>97</v>
      </c>
      <c r="I132" s="109">
        <v>12.0</v>
      </c>
      <c r="J132" s="109">
        <v>17.0</v>
      </c>
      <c r="K132" s="109">
        <v>2.0</v>
      </c>
      <c r="L132" s="218">
        <v>0.1667</v>
      </c>
      <c r="M132" s="109">
        <v>0.0</v>
      </c>
      <c r="N132" s="109">
        <v>1.0</v>
      </c>
      <c r="O132" s="109">
        <v>1.0</v>
      </c>
      <c r="P132" s="109">
        <v>1.0</v>
      </c>
      <c r="Q132" s="218">
        <v>0.0833</v>
      </c>
      <c r="R132" s="109">
        <v>0.0</v>
      </c>
      <c r="S132" s="109">
        <v>0.0</v>
      </c>
      <c r="T132" s="109">
        <v>0.0</v>
      </c>
      <c r="U132" s="218">
        <v>0.0</v>
      </c>
      <c r="V132" s="109">
        <v>0.0</v>
      </c>
      <c r="W132" s="109">
        <v>0.0</v>
      </c>
      <c r="X132" s="109">
        <v>0.0</v>
      </c>
      <c r="Y132" s="218">
        <v>0.0</v>
      </c>
      <c r="Z132" s="218">
        <v>0.0</v>
      </c>
      <c r="AA132" s="218">
        <v>0.0</v>
      </c>
      <c r="AB132" s="109">
        <v>0.0</v>
      </c>
    </row>
    <row r="133" ht="15.75" customHeight="1">
      <c r="A133" s="109">
        <v>4.2463837349E10</v>
      </c>
      <c r="B133" s="109" t="s">
        <v>842</v>
      </c>
      <c r="C133" s="109" t="s">
        <v>750</v>
      </c>
      <c r="D133" s="109" t="s">
        <v>97</v>
      </c>
      <c r="E133" s="109" t="s">
        <v>97</v>
      </c>
      <c r="F133" s="109" t="s">
        <v>97</v>
      </c>
      <c r="G133" s="109" t="s">
        <v>97</v>
      </c>
      <c r="H133" s="109" t="s">
        <v>97</v>
      </c>
      <c r="I133" s="109">
        <v>21.0</v>
      </c>
      <c r="J133" s="109">
        <v>33.0</v>
      </c>
      <c r="K133" s="109">
        <v>3.0</v>
      </c>
      <c r="L133" s="218">
        <v>0.1429</v>
      </c>
      <c r="M133" s="109">
        <v>3.0</v>
      </c>
      <c r="N133" s="109">
        <v>1.0</v>
      </c>
      <c r="O133" s="109">
        <v>1.0</v>
      </c>
      <c r="P133" s="109">
        <v>1.0</v>
      </c>
      <c r="Q133" s="218">
        <v>0.0476</v>
      </c>
      <c r="R133" s="109">
        <v>0.0</v>
      </c>
      <c r="S133" s="109">
        <v>0.0</v>
      </c>
      <c r="T133" s="109">
        <v>0.0</v>
      </c>
      <c r="U133" s="218">
        <v>0.0</v>
      </c>
      <c r="V133" s="109">
        <v>0.0</v>
      </c>
      <c r="W133" s="109">
        <v>0.0</v>
      </c>
      <c r="X133" s="109">
        <v>0.0</v>
      </c>
      <c r="Y133" s="218">
        <v>0.0</v>
      </c>
      <c r="Z133" s="218">
        <v>0.0</v>
      </c>
      <c r="AA133" s="218">
        <v>0.0</v>
      </c>
      <c r="AB133" s="109">
        <v>0.0</v>
      </c>
    </row>
    <row r="134" ht="15.75" customHeight="1">
      <c r="A134" s="109">
        <v>4.2463837349E10</v>
      </c>
      <c r="B134" s="109" t="s">
        <v>842</v>
      </c>
      <c r="C134" s="109" t="s">
        <v>750</v>
      </c>
      <c r="D134" s="109">
        <v>2.91143113689E11</v>
      </c>
      <c r="E134" s="109" t="s">
        <v>761</v>
      </c>
      <c r="F134" s="109" t="s">
        <v>750</v>
      </c>
      <c r="G134" s="109" t="s">
        <v>97</v>
      </c>
      <c r="H134" s="109"/>
      <c r="I134" s="109" t="s">
        <v>97</v>
      </c>
      <c r="J134" s="109" t="s">
        <v>97</v>
      </c>
      <c r="K134" s="109" t="s">
        <v>97</v>
      </c>
      <c r="L134" s="109" t="s">
        <v>97</v>
      </c>
      <c r="M134" s="109" t="s">
        <v>97</v>
      </c>
      <c r="N134" s="109" t="s">
        <v>97</v>
      </c>
      <c r="O134" s="109">
        <v>1.0</v>
      </c>
      <c r="P134" s="109">
        <v>1.0</v>
      </c>
      <c r="Q134" s="109" t="s">
        <v>97</v>
      </c>
      <c r="R134" s="109">
        <v>0.0</v>
      </c>
      <c r="S134" s="109">
        <v>0.0</v>
      </c>
      <c r="T134" s="109">
        <v>0.0</v>
      </c>
      <c r="U134" s="109" t="s">
        <v>97</v>
      </c>
      <c r="V134" s="109">
        <v>0.0</v>
      </c>
      <c r="W134" s="109">
        <v>0.0</v>
      </c>
      <c r="X134" s="109">
        <v>0.0</v>
      </c>
      <c r="Y134" s="109" t="s">
        <v>97</v>
      </c>
      <c r="Z134" s="218">
        <v>0.0</v>
      </c>
      <c r="AA134" s="218">
        <v>0.0</v>
      </c>
      <c r="AB134" s="109">
        <v>0.0</v>
      </c>
    </row>
    <row r="135" ht="15.75" customHeight="1">
      <c r="A135" s="109">
        <v>4.3064087642E10</v>
      </c>
      <c r="B135" s="109" t="s">
        <v>843</v>
      </c>
      <c r="C135" s="109" t="s">
        <v>750</v>
      </c>
      <c r="D135" s="109" t="s">
        <v>97</v>
      </c>
      <c r="E135" s="109" t="s">
        <v>97</v>
      </c>
      <c r="F135" s="109" t="s">
        <v>97</v>
      </c>
      <c r="G135" s="109" t="s">
        <v>97</v>
      </c>
      <c r="H135" s="109" t="s">
        <v>97</v>
      </c>
      <c r="I135" s="109">
        <v>1.0</v>
      </c>
      <c r="J135" s="109">
        <v>2.0</v>
      </c>
      <c r="K135" s="109">
        <v>0.0</v>
      </c>
      <c r="L135" s="218">
        <v>0.0</v>
      </c>
      <c r="M135" s="109">
        <v>1.0</v>
      </c>
      <c r="N135" s="109">
        <v>0.0</v>
      </c>
      <c r="O135" s="109">
        <v>0.0</v>
      </c>
      <c r="P135" s="109">
        <v>0.0</v>
      </c>
      <c r="Q135" s="218">
        <v>0.0</v>
      </c>
      <c r="R135" s="109">
        <v>0.0</v>
      </c>
      <c r="S135" s="109">
        <v>0.0</v>
      </c>
      <c r="T135" s="109">
        <v>0.0</v>
      </c>
      <c r="U135" s="218">
        <v>0.0</v>
      </c>
      <c r="V135" s="109">
        <v>0.0</v>
      </c>
      <c r="W135" s="109">
        <v>0.0</v>
      </c>
      <c r="X135" s="109">
        <v>0.0</v>
      </c>
      <c r="Y135" s="218">
        <v>0.0</v>
      </c>
      <c r="Z135" s="218">
        <v>0.0</v>
      </c>
      <c r="AA135" s="218">
        <v>0.0</v>
      </c>
      <c r="AB135" s="109">
        <v>0.0</v>
      </c>
    </row>
    <row r="136" ht="15.75" customHeight="1">
      <c r="A136" s="109">
        <v>4.4063852829E10</v>
      </c>
      <c r="B136" s="109" t="s">
        <v>844</v>
      </c>
      <c r="C136" s="109" t="s">
        <v>750</v>
      </c>
      <c r="D136" s="109" t="s">
        <v>97</v>
      </c>
      <c r="E136" s="109" t="s">
        <v>97</v>
      </c>
      <c r="F136" s="109" t="s">
        <v>97</v>
      </c>
      <c r="G136" s="109" t="s">
        <v>97</v>
      </c>
      <c r="H136" s="109" t="s">
        <v>97</v>
      </c>
      <c r="I136" s="109">
        <v>7.0</v>
      </c>
      <c r="J136" s="109">
        <v>13.0</v>
      </c>
      <c r="K136" s="109">
        <v>4.0</v>
      </c>
      <c r="L136" s="218">
        <v>0.5714</v>
      </c>
      <c r="M136" s="109">
        <v>1.0</v>
      </c>
      <c r="N136" s="109">
        <v>0.0</v>
      </c>
      <c r="O136" s="109">
        <v>0.0</v>
      </c>
      <c r="P136" s="109">
        <v>0.0</v>
      </c>
      <c r="Q136" s="218">
        <v>0.0</v>
      </c>
      <c r="R136" s="109">
        <v>0.0</v>
      </c>
      <c r="S136" s="109">
        <v>0.0</v>
      </c>
      <c r="T136" s="109">
        <v>0.0</v>
      </c>
      <c r="U136" s="218">
        <v>0.0</v>
      </c>
      <c r="V136" s="109">
        <v>0.0</v>
      </c>
      <c r="W136" s="109">
        <v>0.0</v>
      </c>
      <c r="X136" s="109">
        <v>0.0</v>
      </c>
      <c r="Y136" s="218">
        <v>0.0</v>
      </c>
      <c r="Z136" s="218">
        <v>0.0</v>
      </c>
      <c r="AA136" s="218">
        <v>0.0</v>
      </c>
      <c r="AB136" s="109">
        <v>0.0</v>
      </c>
    </row>
    <row r="137" ht="15.75" customHeight="1">
      <c r="A137" s="109">
        <v>4.4118207468E10</v>
      </c>
      <c r="B137" s="109" t="s">
        <v>845</v>
      </c>
      <c r="C137" s="109" t="s">
        <v>750</v>
      </c>
      <c r="D137" s="109" t="s">
        <v>97</v>
      </c>
      <c r="E137" s="109" t="s">
        <v>97</v>
      </c>
      <c r="F137" s="109" t="s">
        <v>97</v>
      </c>
      <c r="G137" s="109" t="s">
        <v>97</v>
      </c>
      <c r="H137" s="109" t="s">
        <v>97</v>
      </c>
      <c r="I137" s="109">
        <v>6.0</v>
      </c>
      <c r="J137" s="109">
        <v>10.0</v>
      </c>
      <c r="K137" s="109">
        <v>0.0</v>
      </c>
      <c r="L137" s="218">
        <v>0.0</v>
      </c>
      <c r="M137" s="109">
        <v>0.0</v>
      </c>
      <c r="N137" s="109">
        <v>1.0</v>
      </c>
      <c r="O137" s="109">
        <v>0.0</v>
      </c>
      <c r="P137" s="109">
        <v>0.0</v>
      </c>
      <c r="Q137" s="218">
        <v>0.0</v>
      </c>
      <c r="R137" s="109">
        <v>0.0</v>
      </c>
      <c r="S137" s="109">
        <v>0.0</v>
      </c>
      <c r="T137" s="109">
        <v>0.0</v>
      </c>
      <c r="U137" s="218">
        <v>0.0</v>
      </c>
      <c r="V137" s="109">
        <v>0.0</v>
      </c>
      <c r="W137" s="109">
        <v>0.0</v>
      </c>
      <c r="X137" s="109">
        <v>0.0</v>
      </c>
      <c r="Y137" s="218">
        <v>0.0</v>
      </c>
      <c r="Z137" s="218">
        <v>0.0</v>
      </c>
      <c r="AA137" s="218">
        <v>0.0</v>
      </c>
      <c r="AB137" s="109">
        <v>0.0</v>
      </c>
    </row>
    <row r="138" ht="15.75" customHeight="1">
      <c r="A138" s="109">
        <v>1.0672362747E10</v>
      </c>
      <c r="B138" s="109" t="s">
        <v>786</v>
      </c>
      <c r="C138" s="109" t="s">
        <v>750</v>
      </c>
      <c r="D138" s="109" t="s">
        <v>97</v>
      </c>
      <c r="E138" s="109" t="s">
        <v>97</v>
      </c>
      <c r="F138" s="109" t="s">
        <v>97</v>
      </c>
      <c r="G138" s="109" t="s">
        <v>97</v>
      </c>
      <c r="H138" s="109" t="s">
        <v>97</v>
      </c>
      <c r="I138" s="109">
        <v>0.0</v>
      </c>
      <c r="J138" s="109">
        <v>0.0</v>
      </c>
      <c r="K138" s="109">
        <v>0.0</v>
      </c>
      <c r="L138" s="218">
        <v>0.0</v>
      </c>
      <c r="M138" s="109">
        <v>0.0</v>
      </c>
      <c r="N138" s="109">
        <v>0.0</v>
      </c>
      <c r="O138" s="109">
        <v>0.0</v>
      </c>
      <c r="P138" s="109">
        <v>0.0</v>
      </c>
      <c r="Q138" s="218">
        <v>0.0</v>
      </c>
      <c r="R138" s="109">
        <v>0.0</v>
      </c>
      <c r="S138" s="109">
        <v>0.0</v>
      </c>
      <c r="T138" s="109">
        <v>0.0</v>
      </c>
      <c r="U138" s="218">
        <v>0.0</v>
      </c>
      <c r="V138" s="109">
        <v>0.0</v>
      </c>
      <c r="W138" s="109">
        <v>0.0</v>
      </c>
      <c r="X138" s="109">
        <v>0.0</v>
      </c>
      <c r="Y138" s="218">
        <v>0.0</v>
      </c>
      <c r="Z138" s="218">
        <v>0.0</v>
      </c>
      <c r="AA138" s="218">
        <v>0.0</v>
      </c>
      <c r="AB138" s="109">
        <v>0.0</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146C"/>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28.63"/>
    <col customWidth="1" min="9" max="9" width="15.75"/>
    <col customWidth="1" min="10" max="10" width="18.25"/>
    <col customWidth="1" min="11" max="11" width="11.0"/>
    <col customWidth="1" min="12" max="12" width="8.38"/>
    <col customWidth="1" min="15" max="15" width="11.25"/>
    <col customWidth="1" min="17" max="17" width="17.25"/>
  </cols>
  <sheetData>
    <row r="1" ht="15.75" customHeight="1">
      <c r="A1" s="334" t="s">
        <v>846</v>
      </c>
      <c r="N1" s="109"/>
      <c r="O1" s="109"/>
      <c r="P1" s="109"/>
      <c r="Q1" s="109"/>
      <c r="R1" s="109"/>
      <c r="S1" s="193"/>
    </row>
    <row r="2" ht="15.75" customHeight="1">
      <c r="A2" s="335" t="s">
        <v>847</v>
      </c>
      <c r="F2" s="109"/>
      <c r="G2" s="109"/>
      <c r="H2" s="109"/>
      <c r="I2" s="216"/>
      <c r="J2" s="109"/>
      <c r="K2" s="109"/>
      <c r="L2" s="109"/>
      <c r="M2" s="109"/>
      <c r="N2" s="109"/>
      <c r="O2" s="109"/>
      <c r="P2" s="109"/>
      <c r="Q2" s="109"/>
      <c r="R2" s="109"/>
      <c r="S2" s="193"/>
    </row>
    <row r="3" ht="15.75" customHeight="1">
      <c r="A3" s="109"/>
      <c r="B3" s="109"/>
      <c r="C3" s="109"/>
      <c r="D3" s="109"/>
      <c r="E3" s="109"/>
      <c r="F3" s="109"/>
      <c r="G3" s="109"/>
      <c r="H3" s="109"/>
      <c r="I3" s="216"/>
      <c r="J3" s="109"/>
      <c r="K3" s="109"/>
      <c r="L3" s="109"/>
      <c r="M3" s="109"/>
      <c r="N3" s="109"/>
      <c r="O3" s="109"/>
      <c r="P3" s="109"/>
      <c r="Q3" s="109"/>
      <c r="R3" s="109"/>
      <c r="S3" s="193"/>
    </row>
    <row r="4" ht="15.75" customHeight="1">
      <c r="A4" s="334"/>
      <c r="B4" s="109"/>
      <c r="C4" s="109"/>
      <c r="D4" s="109"/>
      <c r="E4" s="109"/>
      <c r="F4" s="109"/>
      <c r="G4" s="109"/>
      <c r="H4" s="109"/>
      <c r="I4" s="216"/>
      <c r="J4" s="109"/>
      <c r="K4" s="109"/>
      <c r="L4" s="109"/>
      <c r="M4" s="109"/>
      <c r="N4" s="109"/>
      <c r="O4" s="109"/>
      <c r="P4" s="109"/>
      <c r="Q4" s="109"/>
      <c r="R4" s="109"/>
      <c r="S4" s="193"/>
    </row>
    <row r="5" ht="15.75" customHeight="1">
      <c r="A5" s="109"/>
      <c r="B5" s="109"/>
      <c r="C5" s="109"/>
      <c r="D5" s="109"/>
      <c r="E5" s="109"/>
      <c r="F5" s="109"/>
      <c r="G5" s="109"/>
      <c r="H5" s="109"/>
      <c r="I5" s="216"/>
      <c r="J5" s="109"/>
      <c r="K5" s="109"/>
      <c r="L5" s="109"/>
      <c r="M5" s="109"/>
      <c r="N5" s="109"/>
      <c r="O5" s="109"/>
      <c r="P5" s="109"/>
      <c r="Q5" s="109"/>
      <c r="R5" s="109"/>
      <c r="S5" s="193"/>
    </row>
    <row r="6" ht="55.5" customHeight="1">
      <c r="A6" s="336" t="s">
        <v>33</v>
      </c>
      <c r="B6" s="336" t="s">
        <v>848</v>
      </c>
      <c r="C6" s="336" t="s">
        <v>849</v>
      </c>
      <c r="D6" s="336" t="s">
        <v>850</v>
      </c>
      <c r="E6" s="336" t="s">
        <v>851</v>
      </c>
      <c r="F6" s="336" t="s">
        <v>852</v>
      </c>
      <c r="G6" s="336" t="s">
        <v>853</v>
      </c>
      <c r="H6" s="336" t="s">
        <v>78</v>
      </c>
      <c r="I6" s="337" t="s">
        <v>854</v>
      </c>
      <c r="J6" s="336" t="s">
        <v>855</v>
      </c>
      <c r="K6" s="336" t="s">
        <v>856</v>
      </c>
      <c r="L6" s="336" t="s">
        <v>857</v>
      </c>
      <c r="M6" s="336" t="s">
        <v>858</v>
      </c>
      <c r="N6" s="336" t="s">
        <v>859</v>
      </c>
      <c r="O6" s="336" t="s">
        <v>860</v>
      </c>
      <c r="P6" s="336" t="s">
        <v>861</v>
      </c>
      <c r="Q6" s="336" t="s">
        <v>862</v>
      </c>
      <c r="R6" s="336" t="s">
        <v>863</v>
      </c>
      <c r="S6" s="338"/>
      <c r="T6" s="339"/>
      <c r="U6" s="339"/>
      <c r="V6" s="339"/>
      <c r="W6" s="339"/>
      <c r="X6" s="339"/>
      <c r="Y6" s="339"/>
      <c r="Z6" s="339"/>
    </row>
    <row r="7" ht="15.75" hidden="1" customHeight="1">
      <c r="A7" s="334" t="s">
        <v>864</v>
      </c>
      <c r="B7" s="340"/>
      <c r="C7" s="334">
        <v>32.0</v>
      </c>
      <c r="D7" s="334">
        <v>1.0</v>
      </c>
      <c r="E7" s="334">
        <v>1.0</v>
      </c>
      <c r="F7" s="334">
        <v>77.0</v>
      </c>
      <c r="G7" s="334">
        <v>2.0</v>
      </c>
      <c r="H7" s="340" t="s">
        <v>865</v>
      </c>
      <c r="I7" s="3">
        <v>3007600.0</v>
      </c>
      <c r="J7" s="3">
        <v>93988.0</v>
      </c>
      <c r="K7" s="334">
        <v>4.0</v>
      </c>
      <c r="L7" s="334">
        <v>4.0</v>
      </c>
      <c r="M7" s="334" t="s">
        <v>97</v>
      </c>
      <c r="N7" s="334" t="s">
        <v>97</v>
      </c>
      <c r="O7" s="340"/>
      <c r="P7" s="340" t="s">
        <v>866</v>
      </c>
      <c r="Q7" s="334" t="s">
        <v>97</v>
      </c>
      <c r="R7" s="334" t="s">
        <v>97</v>
      </c>
      <c r="S7" s="193" t="str">
        <f t="shared" ref="S7:S39" si="1">MONTH(A7)</f>
        <v>#VALUE!</v>
      </c>
    </row>
    <row r="8" ht="15.75" hidden="1" customHeight="1">
      <c r="A8" s="334" t="s">
        <v>97</v>
      </c>
      <c r="B8" s="334"/>
      <c r="C8" s="334" t="s">
        <v>97</v>
      </c>
      <c r="D8" s="334" t="s">
        <v>97</v>
      </c>
      <c r="E8" s="334" t="s">
        <v>97</v>
      </c>
      <c r="F8" s="334" t="s">
        <v>97</v>
      </c>
      <c r="G8" s="334" t="s">
        <v>97</v>
      </c>
      <c r="H8" s="334" t="s">
        <v>97</v>
      </c>
      <c r="I8" s="3" t="s">
        <v>97</v>
      </c>
      <c r="J8" s="3" t="s">
        <v>97</v>
      </c>
      <c r="K8" s="334" t="s">
        <v>97</v>
      </c>
      <c r="L8" s="334" t="s">
        <v>97</v>
      </c>
      <c r="M8" s="334" t="s">
        <v>97</v>
      </c>
      <c r="N8" s="334" t="s">
        <v>97</v>
      </c>
      <c r="O8" s="334"/>
      <c r="P8" s="334" t="s">
        <v>97</v>
      </c>
      <c r="Q8" s="334" t="s">
        <v>97</v>
      </c>
      <c r="R8" s="334" t="s">
        <v>97</v>
      </c>
      <c r="S8" s="193" t="str">
        <f t="shared" si="1"/>
        <v>#VALUE!</v>
      </c>
    </row>
    <row r="9" ht="15.75" hidden="1" customHeight="1">
      <c r="A9" s="341">
        <v>45870.0</v>
      </c>
      <c r="B9" s="342"/>
      <c r="C9" s="334">
        <v>1.0</v>
      </c>
      <c r="D9" s="334">
        <v>0.0</v>
      </c>
      <c r="E9" s="334">
        <v>0.0</v>
      </c>
      <c r="F9" s="334">
        <v>2.0</v>
      </c>
      <c r="G9" s="334">
        <v>0.0</v>
      </c>
      <c r="H9" s="340" t="s">
        <v>143</v>
      </c>
      <c r="I9" s="3" t="s">
        <v>97</v>
      </c>
      <c r="J9" s="3" t="s">
        <v>867</v>
      </c>
      <c r="K9" s="334">
        <v>0.0</v>
      </c>
      <c r="L9" s="334">
        <v>0.0</v>
      </c>
      <c r="M9" s="334" t="s">
        <v>97</v>
      </c>
      <c r="N9" s="334" t="s">
        <v>97</v>
      </c>
      <c r="O9" s="334"/>
      <c r="P9" s="334" t="s">
        <v>97</v>
      </c>
      <c r="Q9" s="340" t="s">
        <v>867</v>
      </c>
      <c r="R9" s="340" t="s">
        <v>867</v>
      </c>
      <c r="S9" s="193">
        <f t="shared" si="1"/>
        <v>8</v>
      </c>
    </row>
    <row r="10" ht="15.75" hidden="1" customHeight="1">
      <c r="A10" s="341">
        <v>45871.0</v>
      </c>
      <c r="B10" s="342"/>
      <c r="C10" s="334">
        <v>1.0</v>
      </c>
      <c r="D10" s="334">
        <v>0.0</v>
      </c>
      <c r="E10" s="334">
        <v>0.0</v>
      </c>
      <c r="F10" s="334">
        <v>1.0</v>
      </c>
      <c r="G10" s="334">
        <v>0.0</v>
      </c>
      <c r="H10" s="340" t="s">
        <v>143</v>
      </c>
      <c r="I10" s="3" t="s">
        <v>97</v>
      </c>
      <c r="J10" s="3" t="s">
        <v>867</v>
      </c>
      <c r="K10" s="334">
        <v>0.0</v>
      </c>
      <c r="L10" s="334">
        <v>0.0</v>
      </c>
      <c r="M10" s="334" t="s">
        <v>97</v>
      </c>
      <c r="N10" s="334" t="s">
        <v>97</v>
      </c>
      <c r="O10" s="334"/>
      <c r="P10" s="334" t="s">
        <v>97</v>
      </c>
      <c r="Q10" s="340" t="s">
        <v>867</v>
      </c>
      <c r="R10" s="340" t="s">
        <v>867</v>
      </c>
      <c r="S10" s="193">
        <f t="shared" si="1"/>
        <v>8</v>
      </c>
    </row>
    <row r="11" ht="15.75" hidden="1" customHeight="1">
      <c r="A11" s="341">
        <v>45872.0</v>
      </c>
      <c r="B11" s="342"/>
      <c r="C11" s="334">
        <v>1.0</v>
      </c>
      <c r="D11" s="334">
        <v>0.0</v>
      </c>
      <c r="E11" s="334">
        <v>0.0</v>
      </c>
      <c r="F11" s="334">
        <v>1.0</v>
      </c>
      <c r="G11" s="334">
        <v>0.0</v>
      </c>
      <c r="H11" s="340" t="s">
        <v>143</v>
      </c>
      <c r="I11" s="3" t="s">
        <v>97</v>
      </c>
      <c r="J11" s="3" t="s">
        <v>867</v>
      </c>
      <c r="K11" s="334">
        <v>0.0</v>
      </c>
      <c r="L11" s="334">
        <v>0.0</v>
      </c>
      <c r="M11" s="334" t="s">
        <v>97</v>
      </c>
      <c r="N11" s="334" t="s">
        <v>97</v>
      </c>
      <c r="O11" s="334"/>
      <c r="P11" s="334" t="s">
        <v>97</v>
      </c>
      <c r="Q11" s="340" t="s">
        <v>867</v>
      </c>
      <c r="R11" s="340" t="s">
        <v>867</v>
      </c>
      <c r="S11" s="193">
        <f t="shared" si="1"/>
        <v>8</v>
      </c>
    </row>
    <row r="12" ht="15.75" hidden="1" customHeight="1">
      <c r="A12" s="341">
        <v>45873.0</v>
      </c>
      <c r="B12" s="342"/>
      <c r="C12" s="334">
        <v>0.0</v>
      </c>
      <c r="D12" s="334">
        <v>0.0</v>
      </c>
      <c r="E12" s="334">
        <v>0.0</v>
      </c>
      <c r="F12" s="334">
        <v>0.0</v>
      </c>
      <c r="G12" s="334">
        <v>0.0</v>
      </c>
      <c r="H12" s="334" t="s">
        <v>97</v>
      </c>
      <c r="I12" s="3" t="s">
        <v>97</v>
      </c>
      <c r="J12" s="3" t="s">
        <v>97</v>
      </c>
      <c r="K12" s="334">
        <v>0.0</v>
      </c>
      <c r="L12" s="334">
        <v>0.0</v>
      </c>
      <c r="M12" s="334" t="s">
        <v>97</v>
      </c>
      <c r="N12" s="334" t="s">
        <v>97</v>
      </c>
      <c r="O12" s="334"/>
      <c r="P12" s="334" t="s">
        <v>97</v>
      </c>
      <c r="Q12" s="340" t="s">
        <v>867</v>
      </c>
      <c r="R12" s="340" t="s">
        <v>867</v>
      </c>
      <c r="S12" s="193">
        <f t="shared" si="1"/>
        <v>8</v>
      </c>
    </row>
    <row r="13" ht="15.75" hidden="1" customHeight="1">
      <c r="A13" s="341">
        <v>45874.0</v>
      </c>
      <c r="B13" s="342"/>
      <c r="C13" s="334">
        <v>2.0</v>
      </c>
      <c r="D13" s="334">
        <v>0.0</v>
      </c>
      <c r="E13" s="334">
        <v>0.0</v>
      </c>
      <c r="F13" s="334">
        <v>2.0</v>
      </c>
      <c r="G13" s="334">
        <v>0.0</v>
      </c>
      <c r="H13" s="340" t="s">
        <v>143</v>
      </c>
      <c r="I13" s="3" t="s">
        <v>97</v>
      </c>
      <c r="J13" s="3" t="s">
        <v>867</v>
      </c>
      <c r="K13" s="334">
        <v>0.0</v>
      </c>
      <c r="L13" s="334">
        <v>0.0</v>
      </c>
      <c r="M13" s="334" t="s">
        <v>97</v>
      </c>
      <c r="N13" s="334" t="s">
        <v>97</v>
      </c>
      <c r="O13" s="334"/>
      <c r="P13" s="334" t="s">
        <v>97</v>
      </c>
      <c r="Q13" s="340" t="s">
        <v>867</v>
      </c>
      <c r="R13" s="340" t="s">
        <v>867</v>
      </c>
      <c r="S13" s="193">
        <f t="shared" si="1"/>
        <v>8</v>
      </c>
    </row>
    <row r="14" ht="15.75" hidden="1" customHeight="1">
      <c r="A14" s="341">
        <v>45875.0</v>
      </c>
      <c r="B14" s="342"/>
      <c r="C14" s="334">
        <v>1.0</v>
      </c>
      <c r="D14" s="334">
        <v>0.0</v>
      </c>
      <c r="E14" s="334">
        <v>0.0</v>
      </c>
      <c r="F14" s="334">
        <v>1.0</v>
      </c>
      <c r="G14" s="334">
        <v>0.0</v>
      </c>
      <c r="H14" s="340" t="s">
        <v>143</v>
      </c>
      <c r="I14" s="3" t="s">
        <v>97</v>
      </c>
      <c r="J14" s="3" t="s">
        <v>867</v>
      </c>
      <c r="K14" s="334">
        <v>0.0</v>
      </c>
      <c r="L14" s="334">
        <v>0.0</v>
      </c>
      <c r="M14" s="334" t="s">
        <v>97</v>
      </c>
      <c r="N14" s="334" t="s">
        <v>97</v>
      </c>
      <c r="O14" s="334"/>
      <c r="P14" s="334" t="s">
        <v>97</v>
      </c>
      <c r="Q14" s="340" t="s">
        <v>867</v>
      </c>
      <c r="R14" s="340" t="s">
        <v>867</v>
      </c>
      <c r="S14" s="193">
        <f t="shared" si="1"/>
        <v>8</v>
      </c>
    </row>
    <row r="15" ht="15.75" hidden="1" customHeight="1">
      <c r="A15" s="341">
        <v>45876.0</v>
      </c>
      <c r="B15" s="342"/>
      <c r="C15" s="334">
        <v>1.0</v>
      </c>
      <c r="D15" s="334">
        <v>0.0</v>
      </c>
      <c r="E15" s="334">
        <v>0.0</v>
      </c>
      <c r="F15" s="334">
        <v>3.0</v>
      </c>
      <c r="G15" s="334">
        <v>0.0</v>
      </c>
      <c r="H15" s="340" t="s">
        <v>143</v>
      </c>
      <c r="I15" s="3" t="s">
        <v>97</v>
      </c>
      <c r="J15" s="3" t="s">
        <v>867</v>
      </c>
      <c r="K15" s="334">
        <v>0.0</v>
      </c>
      <c r="L15" s="334">
        <v>0.0</v>
      </c>
      <c r="M15" s="334" t="s">
        <v>97</v>
      </c>
      <c r="N15" s="334" t="s">
        <v>97</v>
      </c>
      <c r="O15" s="334"/>
      <c r="P15" s="334" t="s">
        <v>97</v>
      </c>
      <c r="Q15" s="340" t="s">
        <v>867</v>
      </c>
      <c r="R15" s="340" t="s">
        <v>867</v>
      </c>
      <c r="S15" s="193">
        <f t="shared" si="1"/>
        <v>8</v>
      </c>
    </row>
    <row r="16" ht="15.75" hidden="1" customHeight="1">
      <c r="A16" s="341">
        <v>45877.0</v>
      </c>
      <c r="B16" s="342"/>
      <c r="C16" s="334">
        <v>3.0</v>
      </c>
      <c r="D16" s="334">
        <v>0.0</v>
      </c>
      <c r="E16" s="334">
        <v>0.0</v>
      </c>
      <c r="F16" s="334">
        <v>5.0</v>
      </c>
      <c r="G16" s="334">
        <v>0.0</v>
      </c>
      <c r="H16" s="340" t="s">
        <v>143</v>
      </c>
      <c r="I16" s="3" t="s">
        <v>97</v>
      </c>
      <c r="J16" s="3" t="s">
        <v>867</v>
      </c>
      <c r="K16" s="334">
        <v>0.0</v>
      </c>
      <c r="L16" s="334">
        <v>0.0</v>
      </c>
      <c r="M16" s="334" t="s">
        <v>97</v>
      </c>
      <c r="N16" s="334" t="s">
        <v>97</v>
      </c>
      <c r="O16" s="334"/>
      <c r="P16" s="334" t="s">
        <v>97</v>
      </c>
      <c r="Q16" s="340" t="s">
        <v>867</v>
      </c>
      <c r="R16" s="340" t="s">
        <v>867</v>
      </c>
      <c r="S16" s="193">
        <f t="shared" si="1"/>
        <v>8</v>
      </c>
    </row>
    <row r="17" ht="15.75" hidden="1" customHeight="1">
      <c r="A17" s="341">
        <v>45878.0</v>
      </c>
      <c r="B17" s="342"/>
      <c r="C17" s="334">
        <v>2.0</v>
      </c>
      <c r="D17" s="334">
        <v>0.0</v>
      </c>
      <c r="E17" s="334">
        <v>0.0</v>
      </c>
      <c r="F17" s="334">
        <v>2.0</v>
      </c>
      <c r="G17" s="334">
        <v>0.0</v>
      </c>
      <c r="H17" s="340" t="s">
        <v>143</v>
      </c>
      <c r="I17" s="3" t="s">
        <v>97</v>
      </c>
      <c r="J17" s="3" t="s">
        <v>867</v>
      </c>
      <c r="K17" s="334">
        <v>0.0</v>
      </c>
      <c r="L17" s="334">
        <v>0.0</v>
      </c>
      <c r="M17" s="334" t="s">
        <v>97</v>
      </c>
      <c r="N17" s="334" t="s">
        <v>97</v>
      </c>
      <c r="O17" s="334"/>
      <c r="P17" s="334" t="s">
        <v>97</v>
      </c>
      <c r="Q17" s="340" t="s">
        <v>867</v>
      </c>
      <c r="R17" s="340" t="s">
        <v>867</v>
      </c>
      <c r="S17" s="193">
        <f t="shared" si="1"/>
        <v>8</v>
      </c>
    </row>
    <row r="18" ht="15.75" hidden="1" customHeight="1">
      <c r="A18" s="341">
        <v>45879.0</v>
      </c>
      <c r="B18" s="342"/>
      <c r="C18" s="334">
        <v>1.0</v>
      </c>
      <c r="D18" s="334">
        <v>0.0</v>
      </c>
      <c r="E18" s="334">
        <v>0.0</v>
      </c>
      <c r="F18" s="334">
        <v>3.0</v>
      </c>
      <c r="G18" s="334">
        <v>0.0</v>
      </c>
      <c r="H18" s="340" t="s">
        <v>143</v>
      </c>
      <c r="I18" s="3" t="s">
        <v>97</v>
      </c>
      <c r="J18" s="3" t="s">
        <v>867</v>
      </c>
      <c r="K18" s="334">
        <v>0.0</v>
      </c>
      <c r="L18" s="334">
        <v>0.0</v>
      </c>
      <c r="M18" s="334" t="s">
        <v>97</v>
      </c>
      <c r="N18" s="334" t="s">
        <v>97</v>
      </c>
      <c r="O18" s="334"/>
      <c r="P18" s="334" t="s">
        <v>97</v>
      </c>
      <c r="Q18" s="340" t="s">
        <v>867</v>
      </c>
      <c r="R18" s="340" t="s">
        <v>867</v>
      </c>
      <c r="S18" s="193">
        <f t="shared" si="1"/>
        <v>8</v>
      </c>
    </row>
    <row r="19" ht="15.75" hidden="1" customHeight="1">
      <c r="A19" s="341">
        <v>45880.0</v>
      </c>
      <c r="B19" s="342"/>
      <c r="C19" s="334">
        <v>3.0</v>
      </c>
      <c r="D19" s="334">
        <v>0.0</v>
      </c>
      <c r="E19" s="334">
        <v>0.0</v>
      </c>
      <c r="F19" s="334">
        <v>5.0</v>
      </c>
      <c r="G19" s="334">
        <v>0.0</v>
      </c>
      <c r="H19" s="340" t="s">
        <v>143</v>
      </c>
      <c r="I19" s="3" t="s">
        <v>97</v>
      </c>
      <c r="J19" s="3" t="s">
        <v>867</v>
      </c>
      <c r="K19" s="334">
        <v>1.0</v>
      </c>
      <c r="L19" s="334">
        <v>1.0</v>
      </c>
      <c r="M19" s="334" t="s">
        <v>97</v>
      </c>
      <c r="N19" s="334" t="s">
        <v>97</v>
      </c>
      <c r="O19" s="334"/>
      <c r="P19" s="334" t="s">
        <v>97</v>
      </c>
      <c r="Q19" s="340" t="s">
        <v>867</v>
      </c>
      <c r="R19" s="340" t="s">
        <v>867</v>
      </c>
      <c r="S19" s="193">
        <f t="shared" si="1"/>
        <v>8</v>
      </c>
    </row>
    <row r="20" ht="15.75" hidden="1" customHeight="1">
      <c r="A20" s="341">
        <v>45881.0</v>
      </c>
      <c r="B20" s="342"/>
      <c r="C20" s="334">
        <v>0.0</v>
      </c>
      <c r="D20" s="334">
        <v>0.0</v>
      </c>
      <c r="E20" s="334">
        <v>0.0</v>
      </c>
      <c r="F20" s="334">
        <v>0.0</v>
      </c>
      <c r="G20" s="334">
        <v>0.0</v>
      </c>
      <c r="H20" s="334" t="s">
        <v>97</v>
      </c>
      <c r="I20" s="3" t="s">
        <v>97</v>
      </c>
      <c r="J20" s="3" t="s">
        <v>97</v>
      </c>
      <c r="K20" s="334">
        <v>0.0</v>
      </c>
      <c r="L20" s="334">
        <v>0.0</v>
      </c>
      <c r="M20" s="334" t="s">
        <v>97</v>
      </c>
      <c r="N20" s="334" t="s">
        <v>97</v>
      </c>
      <c r="O20" s="334"/>
      <c r="P20" s="334" t="s">
        <v>97</v>
      </c>
      <c r="Q20" s="340" t="s">
        <v>867</v>
      </c>
      <c r="R20" s="340" t="s">
        <v>867</v>
      </c>
      <c r="S20" s="193">
        <f t="shared" si="1"/>
        <v>8</v>
      </c>
    </row>
    <row r="21" ht="15.75" hidden="1" customHeight="1">
      <c r="A21" s="341">
        <v>45882.0</v>
      </c>
      <c r="B21" s="342"/>
      <c r="C21" s="334">
        <v>5.0</v>
      </c>
      <c r="D21" s="334">
        <v>0.0</v>
      </c>
      <c r="E21" s="334">
        <v>0.0</v>
      </c>
      <c r="F21" s="334">
        <v>6.0</v>
      </c>
      <c r="G21" s="334">
        <v>0.0</v>
      </c>
      <c r="H21" s="340" t="s">
        <v>143</v>
      </c>
      <c r="I21" s="3" t="s">
        <v>97</v>
      </c>
      <c r="J21" s="3" t="s">
        <v>867</v>
      </c>
      <c r="K21" s="334">
        <v>0.0</v>
      </c>
      <c r="L21" s="334">
        <v>0.0</v>
      </c>
      <c r="M21" s="334" t="s">
        <v>97</v>
      </c>
      <c r="N21" s="334" t="s">
        <v>97</v>
      </c>
      <c r="O21" s="334"/>
      <c r="P21" s="334" t="s">
        <v>97</v>
      </c>
      <c r="Q21" s="340" t="s">
        <v>867</v>
      </c>
      <c r="R21" s="340" t="s">
        <v>867</v>
      </c>
      <c r="S21" s="193">
        <f t="shared" si="1"/>
        <v>8</v>
      </c>
    </row>
    <row r="22" ht="15.75" hidden="1" customHeight="1">
      <c r="A22" s="341">
        <v>45883.0</v>
      </c>
      <c r="B22" s="342"/>
      <c r="C22" s="334">
        <v>2.0</v>
      </c>
      <c r="D22" s="334">
        <v>0.0</v>
      </c>
      <c r="E22" s="334">
        <v>0.0</v>
      </c>
      <c r="F22" s="334">
        <v>5.0</v>
      </c>
      <c r="G22" s="334">
        <v>0.0</v>
      </c>
      <c r="H22" s="340" t="s">
        <v>143</v>
      </c>
      <c r="I22" s="3" t="s">
        <v>97</v>
      </c>
      <c r="J22" s="3" t="s">
        <v>867</v>
      </c>
      <c r="K22" s="334">
        <v>0.0</v>
      </c>
      <c r="L22" s="334">
        <v>0.0</v>
      </c>
      <c r="M22" s="334" t="s">
        <v>97</v>
      </c>
      <c r="N22" s="334" t="s">
        <v>97</v>
      </c>
      <c r="O22" s="334"/>
      <c r="P22" s="334" t="s">
        <v>97</v>
      </c>
      <c r="Q22" s="340" t="s">
        <v>867</v>
      </c>
      <c r="R22" s="340" t="s">
        <v>867</v>
      </c>
      <c r="S22" s="193">
        <f t="shared" si="1"/>
        <v>8</v>
      </c>
    </row>
    <row r="23" ht="15.75" hidden="1" customHeight="1">
      <c r="A23" s="341">
        <v>45884.0</v>
      </c>
      <c r="B23" s="343">
        <v>3007600.0</v>
      </c>
      <c r="C23" s="334">
        <v>2.0</v>
      </c>
      <c r="D23" s="334">
        <v>1.0</v>
      </c>
      <c r="E23" s="334">
        <v>1.0</v>
      </c>
      <c r="F23" s="334">
        <v>8.0</v>
      </c>
      <c r="G23" s="334">
        <v>2.0</v>
      </c>
      <c r="H23" s="340" t="s">
        <v>868</v>
      </c>
      <c r="I23" s="3">
        <v>3007600.0</v>
      </c>
      <c r="J23" s="3">
        <v>1503800.0</v>
      </c>
      <c r="K23" s="334">
        <v>1.0</v>
      </c>
      <c r="L23" s="334">
        <v>1.0</v>
      </c>
      <c r="M23" s="334" t="s">
        <v>97</v>
      </c>
      <c r="N23" s="334" t="s">
        <v>97</v>
      </c>
      <c r="O23" s="340"/>
      <c r="P23" s="340" t="s">
        <v>866</v>
      </c>
      <c r="Q23" s="340" t="s">
        <v>867</v>
      </c>
      <c r="R23" s="340" t="s">
        <v>867</v>
      </c>
      <c r="S23" s="193">
        <f t="shared" si="1"/>
        <v>8</v>
      </c>
    </row>
    <row r="24" ht="15.75" hidden="1" customHeight="1">
      <c r="A24" s="341">
        <v>45885.0</v>
      </c>
      <c r="B24" s="342"/>
      <c r="C24" s="334">
        <v>0.0</v>
      </c>
      <c r="D24" s="334">
        <v>0.0</v>
      </c>
      <c r="E24" s="334">
        <v>0.0</v>
      </c>
      <c r="F24" s="334">
        <v>0.0</v>
      </c>
      <c r="G24" s="334">
        <v>0.0</v>
      </c>
      <c r="H24" s="340" t="s">
        <v>97</v>
      </c>
      <c r="I24" s="3" t="s">
        <v>97</v>
      </c>
      <c r="J24" s="3" t="s">
        <v>97</v>
      </c>
      <c r="K24" s="334">
        <v>0.0</v>
      </c>
      <c r="L24" s="334">
        <v>0.0</v>
      </c>
      <c r="M24" s="334" t="s">
        <v>97</v>
      </c>
      <c r="N24" s="334" t="s">
        <v>97</v>
      </c>
      <c r="O24" s="340"/>
      <c r="P24" s="340" t="s">
        <v>97</v>
      </c>
      <c r="Q24" s="340" t="s">
        <v>867</v>
      </c>
      <c r="R24" s="340" t="s">
        <v>867</v>
      </c>
      <c r="S24" s="193">
        <f t="shared" si="1"/>
        <v>8</v>
      </c>
    </row>
    <row r="25" ht="15.75" hidden="1" customHeight="1">
      <c r="A25" s="341">
        <v>45886.0</v>
      </c>
      <c r="B25" s="342"/>
      <c r="C25" s="334">
        <v>1.0</v>
      </c>
      <c r="D25" s="334">
        <v>0.0</v>
      </c>
      <c r="E25" s="334">
        <v>0.0</v>
      </c>
      <c r="F25" s="334">
        <v>6.0</v>
      </c>
      <c r="G25" s="334">
        <v>0.0</v>
      </c>
      <c r="H25" s="340" t="s">
        <v>143</v>
      </c>
      <c r="I25" s="3" t="s">
        <v>97</v>
      </c>
      <c r="J25" s="3" t="s">
        <v>867</v>
      </c>
      <c r="K25" s="334">
        <v>0.0</v>
      </c>
      <c r="L25" s="334">
        <v>0.0</v>
      </c>
      <c r="M25" s="334" t="s">
        <v>97</v>
      </c>
      <c r="N25" s="334" t="s">
        <v>97</v>
      </c>
      <c r="O25" s="340"/>
      <c r="P25" s="340" t="s">
        <v>97</v>
      </c>
      <c r="Q25" s="340" t="s">
        <v>867</v>
      </c>
      <c r="R25" s="340" t="s">
        <v>867</v>
      </c>
      <c r="S25" s="193">
        <f t="shared" si="1"/>
        <v>8</v>
      </c>
    </row>
    <row r="26" ht="15.75" hidden="1" customHeight="1">
      <c r="A26" s="341">
        <v>45887.0</v>
      </c>
      <c r="B26" s="342"/>
      <c r="C26" s="334">
        <v>1.0</v>
      </c>
      <c r="D26" s="334">
        <v>0.0</v>
      </c>
      <c r="E26" s="334">
        <v>0.0</v>
      </c>
      <c r="F26" s="334">
        <v>1.0</v>
      </c>
      <c r="G26" s="334">
        <v>0.0</v>
      </c>
      <c r="H26" s="340" t="s">
        <v>143</v>
      </c>
      <c r="I26" s="3" t="s">
        <v>97</v>
      </c>
      <c r="J26" s="3" t="s">
        <v>867</v>
      </c>
      <c r="K26" s="334">
        <v>0.0</v>
      </c>
      <c r="L26" s="334">
        <v>0.0</v>
      </c>
      <c r="M26" s="334" t="s">
        <v>97</v>
      </c>
      <c r="N26" s="334" t="s">
        <v>97</v>
      </c>
      <c r="O26" s="340"/>
      <c r="P26" s="340" t="s">
        <v>97</v>
      </c>
      <c r="Q26" s="340" t="s">
        <v>97</v>
      </c>
      <c r="R26" s="340" t="s">
        <v>97</v>
      </c>
      <c r="S26" s="193">
        <f t="shared" si="1"/>
        <v>8</v>
      </c>
    </row>
    <row r="27" ht="15.75" hidden="1" customHeight="1">
      <c r="A27" s="341">
        <v>45888.0</v>
      </c>
      <c r="B27" s="342"/>
      <c r="C27" s="334">
        <v>1.0</v>
      </c>
      <c r="D27" s="334">
        <v>0.0</v>
      </c>
      <c r="E27" s="334">
        <v>0.0</v>
      </c>
      <c r="F27" s="334">
        <v>1.0</v>
      </c>
      <c r="G27" s="334">
        <v>0.0</v>
      </c>
      <c r="H27" s="340" t="s">
        <v>143</v>
      </c>
      <c r="I27" s="3" t="s">
        <v>97</v>
      </c>
      <c r="J27" s="3" t="s">
        <v>867</v>
      </c>
      <c r="K27" s="334">
        <v>0.0</v>
      </c>
      <c r="L27" s="334">
        <v>0.0</v>
      </c>
      <c r="M27" s="334" t="s">
        <v>97</v>
      </c>
      <c r="N27" s="334" t="s">
        <v>97</v>
      </c>
      <c r="O27" s="340"/>
      <c r="P27" s="340" t="s">
        <v>97</v>
      </c>
      <c r="Q27" s="340" t="s">
        <v>97</v>
      </c>
      <c r="R27" s="340" t="s">
        <v>97</v>
      </c>
      <c r="S27" s="193">
        <f t="shared" si="1"/>
        <v>8</v>
      </c>
    </row>
    <row r="28" ht="15.75" hidden="1" customHeight="1">
      <c r="A28" s="341">
        <v>45889.0</v>
      </c>
      <c r="B28" s="342"/>
      <c r="C28" s="334">
        <v>0.0</v>
      </c>
      <c r="D28" s="334">
        <v>0.0</v>
      </c>
      <c r="E28" s="334">
        <v>0.0</v>
      </c>
      <c r="F28" s="334">
        <v>0.0</v>
      </c>
      <c r="G28" s="334">
        <v>0.0</v>
      </c>
      <c r="H28" s="340" t="s">
        <v>97</v>
      </c>
      <c r="I28" s="3" t="s">
        <v>97</v>
      </c>
      <c r="J28" s="3" t="s">
        <v>97</v>
      </c>
      <c r="K28" s="334">
        <v>0.0</v>
      </c>
      <c r="L28" s="334">
        <v>0.0</v>
      </c>
      <c r="M28" s="334" t="s">
        <v>97</v>
      </c>
      <c r="N28" s="334" t="s">
        <v>97</v>
      </c>
      <c r="O28" s="340"/>
      <c r="P28" s="340" t="s">
        <v>97</v>
      </c>
      <c r="Q28" s="340" t="s">
        <v>97</v>
      </c>
      <c r="R28" s="340" t="s">
        <v>97</v>
      </c>
      <c r="S28" s="193">
        <f t="shared" si="1"/>
        <v>8</v>
      </c>
    </row>
    <row r="29" ht="15.75" hidden="1" customHeight="1">
      <c r="A29" s="341">
        <v>45890.0</v>
      </c>
      <c r="B29" s="342"/>
      <c r="C29" s="334">
        <v>0.0</v>
      </c>
      <c r="D29" s="334">
        <v>0.0</v>
      </c>
      <c r="E29" s="334">
        <v>0.0</v>
      </c>
      <c r="F29" s="334">
        <v>0.0</v>
      </c>
      <c r="G29" s="334">
        <v>0.0</v>
      </c>
      <c r="H29" s="340" t="s">
        <v>97</v>
      </c>
      <c r="I29" s="3" t="s">
        <v>97</v>
      </c>
      <c r="J29" s="3" t="s">
        <v>97</v>
      </c>
      <c r="K29" s="334">
        <v>0.0</v>
      </c>
      <c r="L29" s="334">
        <v>0.0</v>
      </c>
      <c r="M29" s="334" t="s">
        <v>97</v>
      </c>
      <c r="N29" s="334" t="s">
        <v>97</v>
      </c>
      <c r="O29" s="340"/>
      <c r="P29" s="340" t="s">
        <v>97</v>
      </c>
      <c r="Q29" s="340" t="s">
        <v>97</v>
      </c>
      <c r="R29" s="340" t="s">
        <v>97</v>
      </c>
      <c r="S29" s="193">
        <f t="shared" si="1"/>
        <v>8</v>
      </c>
    </row>
    <row r="30" ht="15.75" hidden="1" customHeight="1">
      <c r="A30" s="341">
        <v>45891.0</v>
      </c>
      <c r="B30" s="342"/>
      <c r="C30" s="334">
        <v>1.0</v>
      </c>
      <c r="D30" s="334">
        <v>0.0</v>
      </c>
      <c r="E30" s="334">
        <v>0.0</v>
      </c>
      <c r="F30" s="334">
        <v>1.0</v>
      </c>
      <c r="G30" s="334">
        <v>0.0</v>
      </c>
      <c r="H30" s="340" t="s">
        <v>143</v>
      </c>
      <c r="I30" s="3" t="s">
        <v>97</v>
      </c>
      <c r="J30" s="3" t="s">
        <v>867</v>
      </c>
      <c r="K30" s="334">
        <v>1.0</v>
      </c>
      <c r="L30" s="334">
        <v>1.0</v>
      </c>
      <c r="M30" s="334" t="s">
        <v>97</v>
      </c>
      <c r="N30" s="334" t="s">
        <v>97</v>
      </c>
      <c r="O30" s="340"/>
      <c r="P30" s="340" t="s">
        <v>97</v>
      </c>
      <c r="Q30" s="340" t="s">
        <v>97</v>
      </c>
      <c r="R30" s="340" t="s">
        <v>97</v>
      </c>
      <c r="S30" s="193">
        <f t="shared" si="1"/>
        <v>8</v>
      </c>
    </row>
    <row r="31" ht="15.75" hidden="1" customHeight="1">
      <c r="A31" s="341">
        <v>45892.0</v>
      </c>
      <c r="B31" s="342"/>
      <c r="C31" s="334">
        <v>1.0</v>
      </c>
      <c r="D31" s="334">
        <v>0.0</v>
      </c>
      <c r="E31" s="334">
        <v>0.0</v>
      </c>
      <c r="F31" s="334">
        <v>7.0</v>
      </c>
      <c r="G31" s="334">
        <v>0.0</v>
      </c>
      <c r="H31" s="340" t="s">
        <v>143</v>
      </c>
      <c r="I31" s="3" t="s">
        <v>97</v>
      </c>
      <c r="J31" s="3" t="s">
        <v>867</v>
      </c>
      <c r="K31" s="334">
        <v>0.0</v>
      </c>
      <c r="L31" s="334">
        <v>0.0</v>
      </c>
      <c r="M31" s="334" t="s">
        <v>97</v>
      </c>
      <c r="N31" s="334" t="s">
        <v>97</v>
      </c>
      <c r="O31" s="340"/>
      <c r="P31" s="340" t="s">
        <v>97</v>
      </c>
      <c r="Q31" s="340" t="s">
        <v>97</v>
      </c>
      <c r="R31" s="340" t="s">
        <v>97</v>
      </c>
      <c r="S31" s="193">
        <f t="shared" si="1"/>
        <v>8</v>
      </c>
    </row>
    <row r="32" ht="15.75" hidden="1" customHeight="1">
      <c r="A32" s="341">
        <v>45893.0</v>
      </c>
      <c r="B32" s="342"/>
      <c r="C32" s="334">
        <v>2.0</v>
      </c>
      <c r="D32" s="334">
        <v>0.0</v>
      </c>
      <c r="E32" s="334">
        <v>0.0</v>
      </c>
      <c r="F32" s="334">
        <v>4.0</v>
      </c>
      <c r="G32" s="334">
        <v>0.0</v>
      </c>
      <c r="H32" s="340" t="s">
        <v>143</v>
      </c>
      <c r="I32" s="3" t="s">
        <v>97</v>
      </c>
      <c r="J32" s="3" t="s">
        <v>867</v>
      </c>
      <c r="K32" s="334">
        <v>0.0</v>
      </c>
      <c r="L32" s="334">
        <v>0.0</v>
      </c>
      <c r="M32" s="334" t="s">
        <v>97</v>
      </c>
      <c r="N32" s="334" t="s">
        <v>97</v>
      </c>
      <c r="O32" s="340"/>
      <c r="P32" s="340" t="s">
        <v>97</v>
      </c>
      <c r="Q32" s="340" t="s">
        <v>97</v>
      </c>
      <c r="R32" s="340" t="s">
        <v>97</v>
      </c>
      <c r="S32" s="193">
        <f t="shared" si="1"/>
        <v>8</v>
      </c>
    </row>
    <row r="33" ht="15.75" hidden="1" customHeight="1">
      <c r="A33" s="341">
        <v>45894.0</v>
      </c>
      <c r="B33" s="342"/>
      <c r="C33" s="334">
        <v>0.0</v>
      </c>
      <c r="D33" s="334">
        <v>0.0</v>
      </c>
      <c r="E33" s="334">
        <v>0.0</v>
      </c>
      <c r="F33" s="334">
        <v>0.0</v>
      </c>
      <c r="G33" s="334">
        <v>0.0</v>
      </c>
      <c r="H33" s="340" t="s">
        <v>97</v>
      </c>
      <c r="I33" s="3" t="s">
        <v>97</v>
      </c>
      <c r="J33" s="3" t="s">
        <v>97</v>
      </c>
      <c r="K33" s="334">
        <v>0.0</v>
      </c>
      <c r="L33" s="334">
        <v>0.0</v>
      </c>
      <c r="M33" s="334" t="s">
        <v>97</v>
      </c>
      <c r="N33" s="334" t="s">
        <v>97</v>
      </c>
      <c r="O33" s="340"/>
      <c r="P33" s="340" t="s">
        <v>97</v>
      </c>
      <c r="Q33" s="340" t="s">
        <v>97</v>
      </c>
      <c r="R33" s="340" t="s">
        <v>97</v>
      </c>
      <c r="S33" s="193">
        <f t="shared" si="1"/>
        <v>8</v>
      </c>
    </row>
    <row r="34" ht="15.75" hidden="1" customHeight="1">
      <c r="A34" s="341">
        <v>45895.0</v>
      </c>
      <c r="B34" s="342"/>
      <c r="C34" s="334">
        <v>0.0</v>
      </c>
      <c r="D34" s="334">
        <v>0.0</v>
      </c>
      <c r="E34" s="334">
        <v>0.0</v>
      </c>
      <c r="F34" s="334">
        <v>0.0</v>
      </c>
      <c r="G34" s="334">
        <v>0.0</v>
      </c>
      <c r="H34" s="340" t="s">
        <v>97</v>
      </c>
      <c r="I34" s="3" t="s">
        <v>97</v>
      </c>
      <c r="J34" s="3" t="s">
        <v>97</v>
      </c>
      <c r="K34" s="334">
        <v>0.0</v>
      </c>
      <c r="L34" s="334">
        <v>0.0</v>
      </c>
      <c r="M34" s="334" t="s">
        <v>97</v>
      </c>
      <c r="N34" s="334" t="s">
        <v>97</v>
      </c>
      <c r="O34" s="340"/>
      <c r="P34" s="340" t="s">
        <v>97</v>
      </c>
      <c r="Q34" s="340" t="s">
        <v>97</v>
      </c>
      <c r="R34" s="340" t="s">
        <v>97</v>
      </c>
      <c r="S34" s="193">
        <f t="shared" si="1"/>
        <v>8</v>
      </c>
    </row>
    <row r="35" ht="15.75" hidden="1" customHeight="1">
      <c r="A35" s="341">
        <v>45896.0</v>
      </c>
      <c r="B35" s="342"/>
      <c r="C35" s="334">
        <v>2.0</v>
      </c>
      <c r="D35" s="334">
        <v>0.0</v>
      </c>
      <c r="E35" s="334">
        <v>0.0</v>
      </c>
      <c r="F35" s="334">
        <v>4.0</v>
      </c>
      <c r="G35" s="334">
        <v>0.0</v>
      </c>
      <c r="H35" s="340" t="s">
        <v>143</v>
      </c>
      <c r="I35" s="3" t="s">
        <v>97</v>
      </c>
      <c r="J35" s="3" t="s">
        <v>867</v>
      </c>
      <c r="K35" s="334">
        <v>0.0</v>
      </c>
      <c r="L35" s="334">
        <v>0.0</v>
      </c>
      <c r="M35" s="334" t="s">
        <v>97</v>
      </c>
      <c r="N35" s="334" t="s">
        <v>97</v>
      </c>
      <c r="O35" s="340"/>
      <c r="P35" s="340" t="s">
        <v>97</v>
      </c>
      <c r="Q35" s="340" t="s">
        <v>97</v>
      </c>
      <c r="R35" s="340" t="s">
        <v>97</v>
      </c>
      <c r="S35" s="193">
        <f t="shared" si="1"/>
        <v>8</v>
      </c>
    </row>
    <row r="36" ht="15.75" hidden="1" customHeight="1">
      <c r="A36" s="341">
        <v>45897.0</v>
      </c>
      <c r="B36" s="342"/>
      <c r="C36" s="334">
        <v>0.0</v>
      </c>
      <c r="D36" s="334">
        <v>0.0</v>
      </c>
      <c r="E36" s="334">
        <v>0.0</v>
      </c>
      <c r="F36" s="334">
        <v>0.0</v>
      </c>
      <c r="G36" s="334">
        <v>0.0</v>
      </c>
      <c r="H36" s="340" t="s">
        <v>97</v>
      </c>
      <c r="I36" s="3" t="s">
        <v>97</v>
      </c>
      <c r="J36" s="3" t="s">
        <v>97</v>
      </c>
      <c r="K36" s="334">
        <v>0.0</v>
      </c>
      <c r="L36" s="334">
        <v>0.0</v>
      </c>
      <c r="M36" s="334" t="s">
        <v>97</v>
      </c>
      <c r="N36" s="334" t="s">
        <v>97</v>
      </c>
      <c r="O36" s="340"/>
      <c r="P36" s="340" t="s">
        <v>97</v>
      </c>
      <c r="Q36" s="340" t="s">
        <v>97</v>
      </c>
      <c r="R36" s="340" t="s">
        <v>97</v>
      </c>
      <c r="S36" s="193">
        <f t="shared" si="1"/>
        <v>8</v>
      </c>
    </row>
    <row r="37" ht="15.75" hidden="1" customHeight="1">
      <c r="A37" s="341">
        <v>45898.0</v>
      </c>
      <c r="B37" s="342"/>
      <c r="C37" s="334">
        <v>2.0</v>
      </c>
      <c r="D37" s="334">
        <v>0.0</v>
      </c>
      <c r="E37" s="334">
        <v>0.0</v>
      </c>
      <c r="F37" s="334">
        <v>9.0</v>
      </c>
      <c r="G37" s="334">
        <v>0.0</v>
      </c>
      <c r="H37" s="340" t="s">
        <v>143</v>
      </c>
      <c r="I37" s="3" t="s">
        <v>97</v>
      </c>
      <c r="J37" s="3" t="s">
        <v>867</v>
      </c>
      <c r="K37" s="334">
        <v>1.0</v>
      </c>
      <c r="L37" s="334">
        <v>1.0</v>
      </c>
      <c r="M37" s="334" t="s">
        <v>97</v>
      </c>
      <c r="N37" s="334" t="s">
        <v>97</v>
      </c>
      <c r="O37" s="340"/>
      <c r="P37" s="340" t="s">
        <v>97</v>
      </c>
      <c r="Q37" s="340" t="s">
        <v>97</v>
      </c>
      <c r="R37" s="340" t="s">
        <v>97</v>
      </c>
      <c r="S37" s="193">
        <f t="shared" si="1"/>
        <v>8</v>
      </c>
    </row>
    <row r="38" ht="15.75" hidden="1" customHeight="1">
      <c r="A38" s="341">
        <v>45899.0</v>
      </c>
      <c r="B38" s="342"/>
      <c r="C38" s="334"/>
      <c r="D38" s="334"/>
      <c r="E38" s="334"/>
      <c r="F38" s="334"/>
      <c r="G38" s="334"/>
      <c r="H38" s="340"/>
      <c r="I38" s="3"/>
      <c r="J38" s="3"/>
      <c r="K38" s="334"/>
      <c r="L38" s="334"/>
      <c r="M38" s="334"/>
      <c r="N38" s="334"/>
      <c r="O38" s="340"/>
      <c r="P38" s="340"/>
      <c r="Q38" s="340"/>
      <c r="R38" s="340"/>
      <c r="S38" s="193">
        <f t="shared" si="1"/>
        <v>8</v>
      </c>
    </row>
    <row r="39" ht="15.75" hidden="1" customHeight="1">
      <c r="A39" s="341">
        <v>45900.0</v>
      </c>
      <c r="B39" s="342"/>
      <c r="C39" s="334"/>
      <c r="D39" s="334"/>
      <c r="E39" s="334"/>
      <c r="F39" s="334"/>
      <c r="G39" s="334"/>
      <c r="H39" s="340"/>
      <c r="I39" s="3"/>
      <c r="J39" s="3"/>
      <c r="K39" s="334"/>
      <c r="L39" s="334"/>
      <c r="M39" s="334"/>
      <c r="N39" s="334"/>
      <c r="O39" s="340"/>
      <c r="P39" s="340"/>
      <c r="Q39" s="340"/>
      <c r="R39" s="340"/>
      <c r="S39" s="193">
        <f t="shared" si="1"/>
        <v>8</v>
      </c>
    </row>
    <row r="40" ht="15.75" hidden="1" customHeight="1">
      <c r="A40" s="341"/>
      <c r="B40" s="342"/>
      <c r="C40" s="334"/>
      <c r="D40" s="334"/>
      <c r="E40" s="334"/>
      <c r="F40" s="334"/>
      <c r="G40" s="334"/>
      <c r="H40" s="340"/>
      <c r="I40" s="3"/>
      <c r="J40" s="3"/>
      <c r="K40" s="334"/>
      <c r="L40" s="334"/>
      <c r="M40" s="334"/>
      <c r="N40" s="334"/>
      <c r="O40" s="340"/>
      <c r="P40" s="340"/>
      <c r="Q40" s="340"/>
      <c r="R40" s="340"/>
      <c r="S40" s="193"/>
    </row>
    <row r="41" ht="15.75" hidden="1" customHeight="1">
      <c r="A41" s="341"/>
      <c r="B41" s="342"/>
      <c r="C41" s="334"/>
      <c r="D41" s="334"/>
      <c r="E41" s="334"/>
      <c r="F41" s="334"/>
      <c r="G41" s="334"/>
      <c r="H41" s="340"/>
      <c r="I41" s="3"/>
      <c r="J41" s="3"/>
      <c r="K41" s="334"/>
      <c r="L41" s="334"/>
      <c r="M41" s="334"/>
      <c r="N41" s="334"/>
      <c r="O41" s="340"/>
      <c r="P41" s="340"/>
      <c r="Q41" s="340"/>
      <c r="R41" s="340"/>
      <c r="S41" s="193"/>
    </row>
    <row r="42" ht="15.75" hidden="1" customHeight="1">
      <c r="A42" s="341"/>
      <c r="B42" s="342"/>
      <c r="C42" s="334"/>
      <c r="D42" s="334"/>
      <c r="E42" s="334"/>
      <c r="F42" s="334"/>
      <c r="G42" s="334"/>
      <c r="H42" s="340"/>
      <c r="I42" s="3"/>
      <c r="J42" s="3"/>
      <c r="K42" s="334"/>
      <c r="L42" s="334"/>
      <c r="M42" s="334"/>
      <c r="N42" s="334"/>
      <c r="O42" s="340"/>
      <c r="P42" s="340"/>
      <c r="Q42" s="340"/>
      <c r="R42" s="340"/>
      <c r="S42" s="193"/>
    </row>
    <row r="43" ht="15.75" hidden="1" customHeight="1">
      <c r="A43" s="341"/>
      <c r="B43" s="342"/>
      <c r="C43" s="334"/>
      <c r="D43" s="334"/>
      <c r="E43" s="334"/>
      <c r="F43" s="334"/>
      <c r="G43" s="334"/>
      <c r="H43" s="340"/>
      <c r="I43" s="3"/>
      <c r="J43" s="3"/>
      <c r="K43" s="334"/>
      <c r="L43" s="334"/>
      <c r="M43" s="334"/>
      <c r="N43" s="334"/>
      <c r="O43" s="340"/>
      <c r="P43" s="340"/>
      <c r="Q43" s="340"/>
      <c r="R43" s="340"/>
      <c r="S43" s="193"/>
    </row>
    <row r="44" ht="15.75" hidden="1" customHeight="1">
      <c r="A44" s="344" t="s">
        <v>33</v>
      </c>
      <c r="B44" s="345" t="s">
        <v>848</v>
      </c>
      <c r="C44" s="344" t="s">
        <v>849</v>
      </c>
      <c r="D44" s="344" t="s">
        <v>850</v>
      </c>
      <c r="E44" s="344" t="s">
        <v>851</v>
      </c>
      <c r="F44" s="344" t="s">
        <v>852</v>
      </c>
      <c r="G44" s="344" t="s">
        <v>853</v>
      </c>
      <c r="H44" s="344" t="s">
        <v>78</v>
      </c>
      <c r="I44" s="346" t="s">
        <v>854</v>
      </c>
      <c r="J44" s="346" t="s">
        <v>855</v>
      </c>
      <c r="K44" s="344" t="s">
        <v>856</v>
      </c>
      <c r="L44" s="344" t="s">
        <v>857</v>
      </c>
      <c r="M44" s="344" t="s">
        <v>858</v>
      </c>
      <c r="N44" s="344" t="s">
        <v>859</v>
      </c>
      <c r="O44" s="344" t="s">
        <v>860</v>
      </c>
      <c r="P44" s="344" t="s">
        <v>861</v>
      </c>
      <c r="Q44" s="344" t="s">
        <v>862</v>
      </c>
      <c r="R44" s="344" t="s">
        <v>863</v>
      </c>
      <c r="S44" s="193" t="str">
        <f t="shared" ref="S44:S174" si="2">MONTH(A44)</f>
        <v>#VALUE!</v>
      </c>
    </row>
    <row r="45" ht="15.75" hidden="1" customHeight="1">
      <c r="A45" s="334" t="s">
        <v>869</v>
      </c>
      <c r="B45" s="343">
        <f>SUM(B47:B76)</f>
        <v>8155315</v>
      </c>
      <c r="C45" s="334">
        <v>127.0</v>
      </c>
      <c r="D45" s="334">
        <v>8.0</v>
      </c>
      <c r="E45" s="334">
        <v>10.0</v>
      </c>
      <c r="F45" s="334">
        <v>643.0</v>
      </c>
      <c r="G45" s="334">
        <v>12.0</v>
      </c>
      <c r="H45" s="340" t="s">
        <v>870</v>
      </c>
      <c r="I45" s="343">
        <v>1019414.0</v>
      </c>
      <c r="J45" s="343" t="s">
        <v>871</v>
      </c>
      <c r="K45" s="334">
        <v>14.0</v>
      </c>
      <c r="L45" s="334">
        <v>24.0</v>
      </c>
      <c r="M45" s="334">
        <v>9.0</v>
      </c>
      <c r="N45" s="334">
        <v>9.0</v>
      </c>
      <c r="O45" s="340" t="s">
        <v>872</v>
      </c>
      <c r="P45" s="340" t="s">
        <v>873</v>
      </c>
      <c r="Q45" s="334" t="s">
        <v>97</v>
      </c>
      <c r="R45" s="334" t="s">
        <v>97</v>
      </c>
      <c r="S45" s="193" t="str">
        <f t="shared" si="2"/>
        <v>#VALUE!</v>
      </c>
    </row>
    <row r="46" ht="15.75" hidden="1" customHeight="1">
      <c r="A46" s="334" t="s">
        <v>97</v>
      </c>
      <c r="B46" s="334" t="s">
        <v>97</v>
      </c>
      <c r="C46" s="334" t="s">
        <v>97</v>
      </c>
      <c r="D46" s="334" t="s">
        <v>97</v>
      </c>
      <c r="E46" s="334" t="s">
        <v>97</v>
      </c>
      <c r="F46" s="334" t="s">
        <v>97</v>
      </c>
      <c r="G46" s="334" t="s">
        <v>97</v>
      </c>
      <c r="H46" s="334" t="s">
        <v>97</v>
      </c>
      <c r="I46" s="3" t="s">
        <v>97</v>
      </c>
      <c r="J46" s="3" t="s">
        <v>97</v>
      </c>
      <c r="K46" s="334" t="s">
        <v>97</v>
      </c>
      <c r="L46" s="334" t="s">
        <v>97</v>
      </c>
      <c r="M46" s="334" t="s">
        <v>97</v>
      </c>
      <c r="N46" s="334" t="s">
        <v>97</v>
      </c>
      <c r="O46" s="334" t="s">
        <v>97</v>
      </c>
      <c r="P46" s="334" t="s">
        <v>97</v>
      </c>
      <c r="Q46" s="334" t="s">
        <v>97</v>
      </c>
      <c r="R46" s="334" t="s">
        <v>97</v>
      </c>
      <c r="S46" s="193" t="str">
        <f t="shared" si="2"/>
        <v>#VALUE!</v>
      </c>
    </row>
    <row r="47" ht="15.75" hidden="1" customHeight="1">
      <c r="A47" s="347">
        <v>45901.0</v>
      </c>
      <c r="B47" s="343">
        <v>4229600.0</v>
      </c>
      <c r="C47" s="334">
        <v>1.0</v>
      </c>
      <c r="D47" s="334">
        <v>1.0</v>
      </c>
      <c r="E47" s="334">
        <v>1.0</v>
      </c>
      <c r="F47" s="334">
        <v>5.0</v>
      </c>
      <c r="G47" s="334">
        <v>3.0</v>
      </c>
      <c r="H47" s="340" t="s">
        <v>874</v>
      </c>
      <c r="I47" s="3">
        <v>4229600.0</v>
      </c>
      <c r="J47" s="3" t="s">
        <v>875</v>
      </c>
      <c r="K47" s="334">
        <v>1.0</v>
      </c>
      <c r="L47" s="334">
        <v>1.0</v>
      </c>
      <c r="M47" s="334" t="s">
        <v>97</v>
      </c>
      <c r="N47" s="334" t="s">
        <v>97</v>
      </c>
      <c r="O47" s="340" t="s">
        <v>875</v>
      </c>
      <c r="P47" s="340" t="s">
        <v>876</v>
      </c>
      <c r="Q47" s="334" t="s">
        <v>97</v>
      </c>
      <c r="R47" s="334" t="s">
        <v>97</v>
      </c>
      <c r="S47" s="193">
        <f t="shared" si="2"/>
        <v>9</v>
      </c>
      <c r="T47" s="343">
        <v>4229600.0</v>
      </c>
      <c r="U47" s="334">
        <v>1.0</v>
      </c>
    </row>
    <row r="48" ht="15.75" hidden="1" customHeight="1">
      <c r="A48" s="347">
        <v>45902.0</v>
      </c>
      <c r="B48" s="343">
        <v>0.0</v>
      </c>
      <c r="C48" s="334">
        <v>1.0</v>
      </c>
      <c r="D48" s="334">
        <v>0.0</v>
      </c>
      <c r="E48" s="334">
        <v>0.0</v>
      </c>
      <c r="F48" s="334">
        <v>7.0</v>
      </c>
      <c r="G48" s="334">
        <v>0.0</v>
      </c>
      <c r="H48" s="340" t="s">
        <v>143</v>
      </c>
      <c r="I48" s="3" t="s">
        <v>97</v>
      </c>
      <c r="J48" s="3" t="s">
        <v>867</v>
      </c>
      <c r="K48" s="334">
        <v>1.0</v>
      </c>
      <c r="L48" s="334">
        <v>1.0</v>
      </c>
      <c r="M48" s="334" t="s">
        <v>97</v>
      </c>
      <c r="N48" s="334" t="s">
        <v>97</v>
      </c>
      <c r="O48" s="334" t="s">
        <v>97</v>
      </c>
      <c r="P48" s="334" t="s">
        <v>97</v>
      </c>
      <c r="Q48" s="334" t="s">
        <v>97</v>
      </c>
      <c r="R48" s="334" t="s">
        <v>97</v>
      </c>
      <c r="S48" s="193">
        <f t="shared" si="2"/>
        <v>9</v>
      </c>
      <c r="T48" s="343">
        <v>0.0</v>
      </c>
      <c r="U48" s="334">
        <v>0.0</v>
      </c>
    </row>
    <row r="49" ht="15.75" hidden="1" customHeight="1">
      <c r="A49" s="347">
        <v>45903.0</v>
      </c>
      <c r="B49" s="343">
        <v>0.0</v>
      </c>
      <c r="C49" s="334">
        <v>4.0</v>
      </c>
      <c r="D49" s="334">
        <v>0.0</v>
      </c>
      <c r="E49" s="334">
        <v>0.0</v>
      </c>
      <c r="F49" s="334">
        <v>5.0</v>
      </c>
      <c r="G49" s="334">
        <v>0.0</v>
      </c>
      <c r="H49" s="340" t="s">
        <v>143</v>
      </c>
      <c r="I49" s="3" t="s">
        <v>97</v>
      </c>
      <c r="J49" s="3" t="s">
        <v>867</v>
      </c>
      <c r="K49" s="334">
        <v>0.0</v>
      </c>
      <c r="L49" s="334">
        <v>0.0</v>
      </c>
      <c r="M49" s="334" t="s">
        <v>97</v>
      </c>
      <c r="N49" s="334" t="s">
        <v>97</v>
      </c>
      <c r="O49" s="334" t="s">
        <v>97</v>
      </c>
      <c r="P49" s="334" t="s">
        <v>97</v>
      </c>
      <c r="Q49" s="334" t="s">
        <v>97</v>
      </c>
      <c r="R49" s="334" t="s">
        <v>97</v>
      </c>
      <c r="S49" s="193">
        <f t="shared" si="2"/>
        <v>9</v>
      </c>
      <c r="T49" s="343">
        <v>0.0</v>
      </c>
      <c r="U49" s="334">
        <v>0.0</v>
      </c>
    </row>
    <row r="50" ht="15.75" hidden="1" customHeight="1">
      <c r="A50" s="347">
        <v>45904.0</v>
      </c>
      <c r="B50" s="343">
        <v>0.0</v>
      </c>
      <c r="C50" s="334">
        <v>3.0</v>
      </c>
      <c r="D50" s="334">
        <v>0.0</v>
      </c>
      <c r="E50" s="334">
        <v>0.0</v>
      </c>
      <c r="F50" s="334">
        <v>19.0</v>
      </c>
      <c r="G50" s="334">
        <v>0.0</v>
      </c>
      <c r="H50" s="340" t="s">
        <v>143</v>
      </c>
      <c r="I50" s="3" t="s">
        <v>97</v>
      </c>
      <c r="J50" s="3" t="s">
        <v>867</v>
      </c>
      <c r="K50" s="334">
        <v>0.0</v>
      </c>
      <c r="L50" s="334">
        <v>0.0</v>
      </c>
      <c r="M50" s="334" t="s">
        <v>97</v>
      </c>
      <c r="N50" s="334" t="s">
        <v>97</v>
      </c>
      <c r="O50" s="334" t="s">
        <v>97</v>
      </c>
      <c r="P50" s="334" t="s">
        <v>97</v>
      </c>
      <c r="Q50" s="334" t="s">
        <v>97</v>
      </c>
      <c r="R50" s="334" t="s">
        <v>97</v>
      </c>
      <c r="S50" s="193">
        <f t="shared" si="2"/>
        <v>9</v>
      </c>
      <c r="T50" s="343">
        <v>0.0</v>
      </c>
      <c r="U50" s="334">
        <v>0.0</v>
      </c>
    </row>
    <row r="51" ht="15.75" hidden="1" customHeight="1">
      <c r="A51" s="347">
        <v>45905.0</v>
      </c>
      <c r="B51" s="343">
        <v>0.0</v>
      </c>
      <c r="C51" s="334">
        <v>2.0</v>
      </c>
      <c r="D51" s="334">
        <v>0.0</v>
      </c>
      <c r="E51" s="334">
        <v>0.0</v>
      </c>
      <c r="F51" s="334">
        <v>12.0</v>
      </c>
      <c r="G51" s="334">
        <v>0.0</v>
      </c>
      <c r="H51" s="340" t="s">
        <v>143</v>
      </c>
      <c r="I51" s="3" t="s">
        <v>97</v>
      </c>
      <c r="J51" s="3" t="s">
        <v>867</v>
      </c>
      <c r="K51" s="334">
        <v>0.0</v>
      </c>
      <c r="L51" s="334">
        <v>0.0</v>
      </c>
      <c r="M51" s="334" t="s">
        <v>97</v>
      </c>
      <c r="N51" s="334" t="s">
        <v>97</v>
      </c>
      <c r="O51" s="334" t="s">
        <v>97</v>
      </c>
      <c r="P51" s="334" t="s">
        <v>97</v>
      </c>
      <c r="Q51" s="334" t="s">
        <v>97</v>
      </c>
      <c r="R51" s="334" t="s">
        <v>97</v>
      </c>
      <c r="S51" s="193">
        <f t="shared" si="2"/>
        <v>9</v>
      </c>
      <c r="T51" s="343">
        <v>0.0</v>
      </c>
      <c r="U51" s="334">
        <v>0.0</v>
      </c>
    </row>
    <row r="52" ht="15.75" hidden="1" customHeight="1">
      <c r="A52" s="347">
        <v>45906.0</v>
      </c>
      <c r="B52" s="343">
        <v>0.0</v>
      </c>
      <c r="C52" s="334">
        <v>2.0</v>
      </c>
      <c r="D52" s="334">
        <v>0.0</v>
      </c>
      <c r="E52" s="334">
        <v>0.0</v>
      </c>
      <c r="F52" s="334">
        <v>10.0</v>
      </c>
      <c r="G52" s="334">
        <v>0.0</v>
      </c>
      <c r="H52" s="340" t="s">
        <v>143</v>
      </c>
      <c r="I52" s="3" t="s">
        <v>97</v>
      </c>
      <c r="J52" s="3" t="s">
        <v>867</v>
      </c>
      <c r="K52" s="334">
        <v>0.0</v>
      </c>
      <c r="L52" s="334">
        <v>0.0</v>
      </c>
      <c r="M52" s="334" t="s">
        <v>97</v>
      </c>
      <c r="N52" s="334" t="s">
        <v>97</v>
      </c>
      <c r="O52" s="334" t="s">
        <v>97</v>
      </c>
      <c r="P52" s="334" t="s">
        <v>97</v>
      </c>
      <c r="Q52" s="334" t="s">
        <v>97</v>
      </c>
      <c r="R52" s="334" t="s">
        <v>97</v>
      </c>
      <c r="S52" s="193">
        <f t="shared" si="2"/>
        <v>9</v>
      </c>
      <c r="T52" s="343">
        <v>0.0</v>
      </c>
      <c r="U52" s="334">
        <v>0.0</v>
      </c>
    </row>
    <row r="53" ht="15.75" hidden="1" customHeight="1">
      <c r="A53" s="347">
        <v>45907.0</v>
      </c>
      <c r="B53" s="343">
        <v>0.0</v>
      </c>
      <c r="C53" s="334">
        <v>1.0</v>
      </c>
      <c r="D53" s="334">
        <v>0.0</v>
      </c>
      <c r="E53" s="334">
        <v>0.0</v>
      </c>
      <c r="F53" s="334">
        <v>1.0</v>
      </c>
      <c r="G53" s="334">
        <v>0.0</v>
      </c>
      <c r="H53" s="340" t="s">
        <v>143</v>
      </c>
      <c r="I53" s="3" t="s">
        <v>97</v>
      </c>
      <c r="J53" s="3" t="s">
        <v>867</v>
      </c>
      <c r="K53" s="334">
        <v>0.0</v>
      </c>
      <c r="L53" s="334">
        <v>0.0</v>
      </c>
      <c r="M53" s="334" t="s">
        <v>97</v>
      </c>
      <c r="N53" s="334" t="s">
        <v>97</v>
      </c>
      <c r="O53" s="334" t="s">
        <v>97</v>
      </c>
      <c r="P53" s="334" t="s">
        <v>97</v>
      </c>
      <c r="Q53" s="334" t="s">
        <v>97</v>
      </c>
      <c r="R53" s="334" t="s">
        <v>97</v>
      </c>
      <c r="S53" s="193">
        <f t="shared" si="2"/>
        <v>9</v>
      </c>
      <c r="T53" s="343">
        <v>0.0</v>
      </c>
      <c r="U53" s="334">
        <v>0.0</v>
      </c>
    </row>
    <row r="54" ht="15.75" hidden="1" customHeight="1">
      <c r="A54" s="347">
        <v>45908.0</v>
      </c>
      <c r="B54" s="343">
        <v>0.0</v>
      </c>
      <c r="C54" s="334">
        <v>8.0</v>
      </c>
      <c r="D54" s="334">
        <v>0.0</v>
      </c>
      <c r="E54" s="334">
        <v>0.0</v>
      </c>
      <c r="F54" s="334">
        <v>15.0</v>
      </c>
      <c r="G54" s="334">
        <v>0.0</v>
      </c>
      <c r="H54" s="340" t="s">
        <v>143</v>
      </c>
      <c r="I54" s="3" t="s">
        <v>97</v>
      </c>
      <c r="J54" s="3" t="s">
        <v>867</v>
      </c>
      <c r="K54" s="334">
        <v>0.0</v>
      </c>
      <c r="L54" s="334">
        <v>0.0</v>
      </c>
      <c r="M54" s="334" t="s">
        <v>97</v>
      </c>
      <c r="N54" s="334" t="s">
        <v>97</v>
      </c>
      <c r="O54" s="334" t="s">
        <v>97</v>
      </c>
      <c r="P54" s="334" t="s">
        <v>97</v>
      </c>
      <c r="Q54" s="334" t="s">
        <v>97</v>
      </c>
      <c r="R54" s="334" t="s">
        <v>97</v>
      </c>
      <c r="S54" s="193">
        <f t="shared" si="2"/>
        <v>9</v>
      </c>
      <c r="T54" s="343">
        <v>0.0</v>
      </c>
      <c r="U54" s="334">
        <v>0.0</v>
      </c>
    </row>
    <row r="55" ht="15.75" hidden="1" customHeight="1">
      <c r="A55" s="347">
        <v>45909.0</v>
      </c>
      <c r="B55" s="343">
        <v>644734.0</v>
      </c>
      <c r="C55" s="334">
        <v>10.0</v>
      </c>
      <c r="D55" s="334">
        <v>2.0</v>
      </c>
      <c r="E55" s="334">
        <v>2.0</v>
      </c>
      <c r="F55" s="334">
        <v>38.0</v>
      </c>
      <c r="G55" s="334">
        <v>2.0</v>
      </c>
      <c r="H55" s="340" t="s">
        <v>877</v>
      </c>
      <c r="I55" s="3">
        <v>322367.0</v>
      </c>
      <c r="J55" s="3" t="s">
        <v>878</v>
      </c>
      <c r="K55" s="334">
        <v>2.0</v>
      </c>
      <c r="L55" s="334">
        <v>2.0</v>
      </c>
      <c r="M55" s="334">
        <v>2.0</v>
      </c>
      <c r="N55" s="334">
        <v>2.0</v>
      </c>
      <c r="O55" s="334" t="s">
        <v>879</v>
      </c>
      <c r="P55" s="334" t="s">
        <v>880</v>
      </c>
      <c r="Q55" s="334" t="s">
        <v>97</v>
      </c>
      <c r="R55" s="334" t="s">
        <v>97</v>
      </c>
      <c r="S55" s="193">
        <f t="shared" si="2"/>
        <v>9</v>
      </c>
      <c r="T55" s="343">
        <v>644734.0</v>
      </c>
      <c r="U55" s="334">
        <v>2.0</v>
      </c>
    </row>
    <row r="56" ht="15.75" hidden="1" customHeight="1">
      <c r="A56" s="347">
        <v>45910.0</v>
      </c>
      <c r="B56" s="343">
        <v>0.0</v>
      </c>
      <c r="C56" s="334">
        <v>12.0</v>
      </c>
      <c r="D56" s="334">
        <v>0.0</v>
      </c>
      <c r="E56" s="334">
        <v>0.0</v>
      </c>
      <c r="F56" s="334">
        <v>19.0</v>
      </c>
      <c r="G56" s="334">
        <v>0.0</v>
      </c>
      <c r="H56" s="340" t="s">
        <v>143</v>
      </c>
      <c r="I56" s="3" t="s">
        <v>97</v>
      </c>
      <c r="J56" s="3" t="s">
        <v>867</v>
      </c>
      <c r="K56" s="334">
        <v>0.0</v>
      </c>
      <c r="L56" s="334">
        <v>0.0</v>
      </c>
      <c r="M56" s="334" t="s">
        <v>97</v>
      </c>
      <c r="N56" s="334" t="s">
        <v>97</v>
      </c>
      <c r="O56" s="334" t="s">
        <v>97</v>
      </c>
      <c r="P56" s="334" t="s">
        <v>97</v>
      </c>
      <c r="Q56" s="334" t="s">
        <v>97</v>
      </c>
      <c r="R56" s="334" t="s">
        <v>97</v>
      </c>
      <c r="S56" s="193">
        <f t="shared" si="2"/>
        <v>9</v>
      </c>
      <c r="T56" s="343">
        <v>0.0</v>
      </c>
      <c r="U56" s="334">
        <v>0.0</v>
      </c>
    </row>
    <row r="57" ht="15.75" hidden="1" customHeight="1">
      <c r="A57" s="347">
        <v>45911.0</v>
      </c>
      <c r="B57" s="343">
        <v>1193727.0</v>
      </c>
      <c r="C57" s="334">
        <v>13.0</v>
      </c>
      <c r="D57" s="334">
        <v>2.0</v>
      </c>
      <c r="E57" s="334">
        <v>2.0</v>
      </c>
      <c r="F57" s="334">
        <v>71.0</v>
      </c>
      <c r="G57" s="334">
        <v>2.0</v>
      </c>
      <c r="H57" s="340" t="s">
        <v>881</v>
      </c>
      <c r="I57" s="3">
        <v>596863.0</v>
      </c>
      <c r="J57" s="3" t="s">
        <v>882</v>
      </c>
      <c r="K57" s="334">
        <v>3.0</v>
      </c>
      <c r="L57" s="334">
        <v>12.0</v>
      </c>
      <c r="M57" s="334">
        <v>2.0</v>
      </c>
      <c r="N57" s="334">
        <v>2.0</v>
      </c>
      <c r="O57" s="334" t="s">
        <v>883</v>
      </c>
      <c r="P57" s="334" t="s">
        <v>880</v>
      </c>
      <c r="Q57" s="334" t="s">
        <v>97</v>
      </c>
      <c r="R57" s="334" t="s">
        <v>97</v>
      </c>
      <c r="S57" s="193">
        <f t="shared" si="2"/>
        <v>9</v>
      </c>
      <c r="T57" s="343">
        <v>1193727.0</v>
      </c>
      <c r="U57" s="334">
        <v>2.0</v>
      </c>
    </row>
    <row r="58" ht="15.75" hidden="1" customHeight="1">
      <c r="A58" s="347">
        <v>45912.0</v>
      </c>
      <c r="B58" s="343">
        <v>0.0</v>
      </c>
      <c r="C58" s="334">
        <v>17.0</v>
      </c>
      <c r="D58" s="334">
        <v>0.0</v>
      </c>
      <c r="E58" s="334">
        <v>0.0</v>
      </c>
      <c r="F58" s="334">
        <v>160.0</v>
      </c>
      <c r="G58" s="334">
        <v>0.0</v>
      </c>
      <c r="H58" s="340" t="s">
        <v>143</v>
      </c>
      <c r="I58" s="3" t="s">
        <v>97</v>
      </c>
      <c r="J58" s="3" t="s">
        <v>867</v>
      </c>
      <c r="K58" s="334">
        <v>2.0</v>
      </c>
      <c r="L58" s="334">
        <v>3.0</v>
      </c>
      <c r="M58" s="334" t="s">
        <v>97</v>
      </c>
      <c r="N58" s="334" t="s">
        <v>97</v>
      </c>
      <c r="O58" s="334" t="s">
        <v>97</v>
      </c>
      <c r="P58" s="334" t="s">
        <v>97</v>
      </c>
      <c r="Q58" s="334" t="s">
        <v>97</v>
      </c>
      <c r="R58" s="334" t="s">
        <v>97</v>
      </c>
      <c r="S58" s="193">
        <f t="shared" si="2"/>
        <v>9</v>
      </c>
      <c r="T58" s="343">
        <v>0.0</v>
      </c>
      <c r="U58" s="334">
        <v>0.0</v>
      </c>
    </row>
    <row r="59" ht="15.75" hidden="1" customHeight="1">
      <c r="A59" s="347">
        <v>45913.0</v>
      </c>
      <c r="B59" s="343">
        <v>0.0</v>
      </c>
      <c r="C59" s="334">
        <v>12.0</v>
      </c>
      <c r="D59" s="334">
        <v>0.0</v>
      </c>
      <c r="E59" s="334">
        <v>0.0</v>
      </c>
      <c r="F59" s="334">
        <v>32.0</v>
      </c>
      <c r="G59" s="334">
        <v>0.0</v>
      </c>
      <c r="H59" s="340" t="s">
        <v>143</v>
      </c>
      <c r="I59" s="3" t="s">
        <v>97</v>
      </c>
      <c r="J59" s="3" t="s">
        <v>867</v>
      </c>
      <c r="K59" s="334">
        <v>2.0</v>
      </c>
      <c r="L59" s="334">
        <v>2.0</v>
      </c>
      <c r="M59" s="334" t="s">
        <v>97</v>
      </c>
      <c r="N59" s="334" t="s">
        <v>97</v>
      </c>
      <c r="O59" s="334" t="s">
        <v>97</v>
      </c>
      <c r="P59" s="334" t="s">
        <v>97</v>
      </c>
      <c r="Q59" s="334" t="s">
        <v>97</v>
      </c>
      <c r="R59" s="334" t="s">
        <v>97</v>
      </c>
      <c r="S59" s="193">
        <f t="shared" si="2"/>
        <v>9</v>
      </c>
      <c r="T59" s="343">
        <v>0.0</v>
      </c>
      <c r="U59" s="334">
        <v>0.0</v>
      </c>
    </row>
    <row r="60" ht="15.75" hidden="1" customHeight="1">
      <c r="A60" s="347">
        <v>45914.0</v>
      </c>
      <c r="B60" s="343">
        <v>0.0</v>
      </c>
      <c r="C60" s="334">
        <v>12.0</v>
      </c>
      <c r="D60" s="334">
        <v>0.0</v>
      </c>
      <c r="E60" s="334">
        <v>0.0</v>
      </c>
      <c r="F60" s="334">
        <v>16.0</v>
      </c>
      <c r="G60" s="334">
        <v>0.0</v>
      </c>
      <c r="H60" s="340" t="s">
        <v>143</v>
      </c>
      <c r="I60" s="3" t="s">
        <v>97</v>
      </c>
      <c r="J60" s="3" t="s">
        <v>867</v>
      </c>
      <c r="K60" s="334">
        <v>0.0</v>
      </c>
      <c r="L60" s="334">
        <v>0.0</v>
      </c>
      <c r="M60" s="334" t="s">
        <v>97</v>
      </c>
      <c r="N60" s="334" t="s">
        <v>97</v>
      </c>
      <c r="O60" s="334" t="s">
        <v>97</v>
      </c>
      <c r="P60" s="334" t="s">
        <v>97</v>
      </c>
      <c r="Q60" s="334" t="s">
        <v>97</v>
      </c>
      <c r="R60" s="334" t="s">
        <v>97</v>
      </c>
      <c r="S60" s="193">
        <f t="shared" si="2"/>
        <v>9</v>
      </c>
      <c r="T60" s="343">
        <v>0.0</v>
      </c>
      <c r="U60" s="334">
        <v>0.0</v>
      </c>
    </row>
    <row r="61" ht="15.75" hidden="1" customHeight="1">
      <c r="A61" s="347">
        <v>45915.0</v>
      </c>
      <c r="B61" s="343">
        <v>537600.0</v>
      </c>
      <c r="C61" s="334">
        <v>12.0</v>
      </c>
      <c r="D61" s="334">
        <v>1.0</v>
      </c>
      <c r="E61" s="334">
        <v>1.0</v>
      </c>
      <c r="F61" s="334">
        <v>53.0</v>
      </c>
      <c r="G61" s="334">
        <v>1.0</v>
      </c>
      <c r="H61" s="340" t="s">
        <v>633</v>
      </c>
      <c r="I61" s="3">
        <v>537600.0</v>
      </c>
      <c r="J61" s="3" t="s">
        <v>884</v>
      </c>
      <c r="K61" s="334">
        <v>0.0</v>
      </c>
      <c r="L61" s="334">
        <v>0.0</v>
      </c>
      <c r="M61" s="334">
        <v>2.0</v>
      </c>
      <c r="N61" s="334">
        <v>2.0</v>
      </c>
      <c r="O61" s="334" t="s">
        <v>885</v>
      </c>
      <c r="P61" s="334" t="s">
        <v>880</v>
      </c>
      <c r="Q61" s="334" t="s">
        <v>97</v>
      </c>
      <c r="R61" s="334" t="s">
        <v>97</v>
      </c>
      <c r="S61" s="193">
        <f t="shared" si="2"/>
        <v>9</v>
      </c>
      <c r="T61" s="343">
        <v>537600.0</v>
      </c>
      <c r="U61" s="334">
        <v>1.0</v>
      </c>
    </row>
    <row r="62" ht="15.75" hidden="1" customHeight="1">
      <c r="A62" s="347">
        <v>45916.0</v>
      </c>
      <c r="B62" s="343">
        <v>0.0</v>
      </c>
      <c r="C62" s="109">
        <v>4.0</v>
      </c>
      <c r="D62" s="109">
        <v>0.0</v>
      </c>
      <c r="E62" s="109">
        <v>0.0</v>
      </c>
      <c r="F62" s="109">
        <v>15.0</v>
      </c>
      <c r="G62" s="109">
        <v>0.0</v>
      </c>
      <c r="H62" s="109" t="s">
        <v>143</v>
      </c>
      <c r="I62" s="3" t="s">
        <v>97</v>
      </c>
      <c r="J62" s="3" t="s">
        <v>867</v>
      </c>
      <c r="K62" s="3">
        <v>0.0</v>
      </c>
      <c r="L62" s="109">
        <v>0.0</v>
      </c>
      <c r="M62" s="109" t="s">
        <v>97</v>
      </c>
      <c r="N62" s="109" t="s">
        <v>97</v>
      </c>
      <c r="O62" s="109" t="s">
        <v>97</v>
      </c>
      <c r="P62" s="109" t="s">
        <v>97</v>
      </c>
      <c r="Q62" s="109" t="s">
        <v>97</v>
      </c>
      <c r="R62" s="109" t="s">
        <v>97</v>
      </c>
      <c r="S62" s="193">
        <f t="shared" si="2"/>
        <v>9</v>
      </c>
      <c r="T62" s="343">
        <v>0.0</v>
      </c>
      <c r="U62" s="109">
        <v>0.0</v>
      </c>
    </row>
    <row r="63" ht="15.75" hidden="1" customHeight="1">
      <c r="A63" s="347">
        <v>45917.0</v>
      </c>
      <c r="B63" s="343">
        <v>0.0</v>
      </c>
      <c r="C63" s="109">
        <v>7.0</v>
      </c>
      <c r="D63" s="109">
        <v>0.0</v>
      </c>
      <c r="E63" s="109">
        <v>0.0</v>
      </c>
      <c r="F63" s="109">
        <v>28.0</v>
      </c>
      <c r="G63" s="109">
        <v>0.0</v>
      </c>
      <c r="H63" s="109" t="s">
        <v>143</v>
      </c>
      <c r="I63" s="3" t="s">
        <v>97</v>
      </c>
      <c r="J63" s="109" t="s">
        <v>867</v>
      </c>
      <c r="K63" s="109">
        <v>0.0</v>
      </c>
      <c r="L63" s="109">
        <v>0.0</v>
      </c>
      <c r="M63" s="109" t="s">
        <v>97</v>
      </c>
      <c r="N63" s="109" t="s">
        <v>97</v>
      </c>
      <c r="O63" s="109" t="s">
        <v>97</v>
      </c>
      <c r="P63" s="109" t="s">
        <v>97</v>
      </c>
      <c r="Q63" s="109" t="s">
        <v>97</v>
      </c>
      <c r="R63" s="109" t="s">
        <v>97</v>
      </c>
      <c r="S63" s="193">
        <f t="shared" si="2"/>
        <v>9</v>
      </c>
      <c r="T63" s="343">
        <v>0.0</v>
      </c>
      <c r="U63" s="109">
        <v>0.0</v>
      </c>
    </row>
    <row r="64" ht="15.75" hidden="1" customHeight="1">
      <c r="A64" s="347">
        <v>45918.0</v>
      </c>
      <c r="B64" s="343">
        <v>0.0</v>
      </c>
      <c r="C64" s="109">
        <v>10.0</v>
      </c>
      <c r="D64" s="109">
        <v>0.0</v>
      </c>
      <c r="E64" s="109">
        <v>0.0</v>
      </c>
      <c r="F64" s="109">
        <v>29.0</v>
      </c>
      <c r="G64" s="109">
        <v>0.0</v>
      </c>
      <c r="H64" s="109" t="s">
        <v>143</v>
      </c>
      <c r="I64" s="3" t="s">
        <v>97</v>
      </c>
      <c r="J64" s="109" t="s">
        <v>867</v>
      </c>
      <c r="K64" s="109">
        <v>0.0</v>
      </c>
      <c r="L64" s="109">
        <v>0.0</v>
      </c>
      <c r="M64" s="109" t="s">
        <v>97</v>
      </c>
      <c r="N64" s="109" t="s">
        <v>97</v>
      </c>
      <c r="O64" s="109" t="s">
        <v>97</v>
      </c>
      <c r="P64" s="109" t="s">
        <v>97</v>
      </c>
      <c r="Q64" s="109" t="s">
        <v>97</v>
      </c>
      <c r="R64" s="109" t="s">
        <v>97</v>
      </c>
      <c r="S64" s="193">
        <f t="shared" si="2"/>
        <v>9</v>
      </c>
      <c r="T64" s="343">
        <v>0.0</v>
      </c>
      <c r="U64" s="109">
        <v>0.0</v>
      </c>
    </row>
    <row r="65" ht="15.75" hidden="1" customHeight="1">
      <c r="A65" s="347">
        <v>45919.0</v>
      </c>
      <c r="B65" s="343">
        <v>0.0</v>
      </c>
      <c r="C65" s="109">
        <v>6.0</v>
      </c>
      <c r="D65" s="109">
        <v>0.0</v>
      </c>
      <c r="E65" s="109">
        <v>0.0</v>
      </c>
      <c r="F65" s="109">
        <v>9.0</v>
      </c>
      <c r="G65" s="109">
        <v>0.0</v>
      </c>
      <c r="H65" s="109" t="s">
        <v>143</v>
      </c>
      <c r="I65" s="3" t="s">
        <v>97</v>
      </c>
      <c r="J65" s="109" t="s">
        <v>867</v>
      </c>
      <c r="K65" s="109">
        <v>1.0</v>
      </c>
      <c r="L65" s="109">
        <v>1.0</v>
      </c>
      <c r="M65" s="109" t="s">
        <v>97</v>
      </c>
      <c r="N65" s="109" t="s">
        <v>97</v>
      </c>
      <c r="O65" s="109" t="s">
        <v>97</v>
      </c>
      <c r="P65" s="109" t="s">
        <v>97</v>
      </c>
      <c r="Q65" s="109" t="s">
        <v>97</v>
      </c>
      <c r="R65" s="109" t="s">
        <v>97</v>
      </c>
      <c r="S65" s="193">
        <f t="shared" si="2"/>
        <v>9</v>
      </c>
      <c r="T65" s="343">
        <v>0.0</v>
      </c>
      <c r="U65" s="109">
        <v>0.0</v>
      </c>
    </row>
    <row r="66" ht="15.75" hidden="1" customHeight="1">
      <c r="A66" s="347">
        <v>45920.0</v>
      </c>
      <c r="B66" s="343">
        <v>345600.0</v>
      </c>
      <c r="C66" s="109">
        <v>7.0</v>
      </c>
      <c r="D66" s="109">
        <v>1.0</v>
      </c>
      <c r="E66" s="109">
        <v>1.0</v>
      </c>
      <c r="F66" s="109">
        <v>20.0</v>
      </c>
      <c r="G66" s="109">
        <v>1.0</v>
      </c>
      <c r="H66" s="109" t="s">
        <v>886</v>
      </c>
      <c r="I66" s="3">
        <v>345600.0</v>
      </c>
      <c r="J66" s="109" t="s">
        <v>887</v>
      </c>
      <c r="K66" s="109">
        <v>0.0</v>
      </c>
      <c r="L66" s="109">
        <v>0.0</v>
      </c>
      <c r="M66" s="109" t="s">
        <v>97</v>
      </c>
      <c r="N66" s="109" t="s">
        <v>97</v>
      </c>
      <c r="O66" s="109" t="s">
        <v>888</v>
      </c>
      <c r="P66" s="109" t="s">
        <v>880</v>
      </c>
      <c r="Q66" s="109" t="s">
        <v>97</v>
      </c>
      <c r="R66" s="109" t="s">
        <v>97</v>
      </c>
      <c r="S66" s="193">
        <f t="shared" si="2"/>
        <v>9</v>
      </c>
      <c r="T66" s="343">
        <v>345600.0</v>
      </c>
      <c r="U66" s="109">
        <v>1.0</v>
      </c>
    </row>
    <row r="67" ht="15.75" hidden="1" customHeight="1">
      <c r="A67" s="347">
        <v>45921.0</v>
      </c>
      <c r="B67" s="343">
        <v>0.0</v>
      </c>
      <c r="C67" s="109">
        <v>3.0</v>
      </c>
      <c r="D67" s="109">
        <v>0.0</v>
      </c>
      <c r="E67" s="109">
        <v>0.0</v>
      </c>
      <c r="F67" s="109">
        <v>6.0</v>
      </c>
      <c r="G67" s="109">
        <v>0.0</v>
      </c>
      <c r="H67" s="109" t="s">
        <v>143</v>
      </c>
      <c r="I67" s="3" t="s">
        <v>97</v>
      </c>
      <c r="J67" s="109" t="s">
        <v>867</v>
      </c>
      <c r="K67" s="109">
        <v>1.0</v>
      </c>
      <c r="L67" s="109">
        <v>1.0</v>
      </c>
      <c r="M67" s="109" t="s">
        <v>97</v>
      </c>
      <c r="N67" s="109" t="s">
        <v>97</v>
      </c>
      <c r="O67" s="109" t="s">
        <v>97</v>
      </c>
      <c r="P67" s="109" t="s">
        <v>97</v>
      </c>
      <c r="Q67" s="109" t="s">
        <v>97</v>
      </c>
      <c r="R67" s="109" t="s">
        <v>97</v>
      </c>
      <c r="S67" s="193">
        <f t="shared" si="2"/>
        <v>9</v>
      </c>
      <c r="T67" s="343">
        <v>0.0</v>
      </c>
      <c r="U67" s="109">
        <v>0.0</v>
      </c>
    </row>
    <row r="68" ht="15.75" hidden="1" customHeight="1">
      <c r="A68" s="347">
        <v>45922.0</v>
      </c>
      <c r="B68" s="343">
        <v>345600.0</v>
      </c>
      <c r="C68" s="109">
        <v>4.0</v>
      </c>
      <c r="D68" s="109">
        <v>1.0</v>
      </c>
      <c r="E68" s="109">
        <v>1.0</v>
      </c>
      <c r="F68" s="109">
        <v>10.0</v>
      </c>
      <c r="G68" s="109">
        <v>1.0</v>
      </c>
      <c r="H68" s="109" t="s">
        <v>889</v>
      </c>
      <c r="I68" s="3">
        <v>345600.0</v>
      </c>
      <c r="J68" s="109" t="s">
        <v>890</v>
      </c>
      <c r="K68" s="109">
        <v>0.0</v>
      </c>
      <c r="L68" s="109">
        <v>0.0</v>
      </c>
      <c r="M68" s="109">
        <v>1.0</v>
      </c>
      <c r="N68" s="109">
        <v>1.0</v>
      </c>
      <c r="O68" s="109" t="s">
        <v>888</v>
      </c>
      <c r="P68" s="109" t="s">
        <v>880</v>
      </c>
      <c r="Q68" s="109" t="s">
        <v>97</v>
      </c>
      <c r="R68" s="109" t="s">
        <v>97</v>
      </c>
      <c r="S68" s="193">
        <f t="shared" si="2"/>
        <v>9</v>
      </c>
      <c r="T68" s="343">
        <v>345600.0</v>
      </c>
      <c r="U68" s="109">
        <v>1.0</v>
      </c>
    </row>
    <row r="69" ht="15.75" hidden="1" customHeight="1">
      <c r="A69" s="347">
        <v>45923.0</v>
      </c>
      <c r="B69" s="343">
        <v>0.0</v>
      </c>
      <c r="C69" s="109">
        <v>5.0</v>
      </c>
      <c r="D69" s="109">
        <v>0.0</v>
      </c>
      <c r="E69" s="109">
        <v>0.0</v>
      </c>
      <c r="F69" s="109">
        <v>7.0</v>
      </c>
      <c r="G69" s="109">
        <v>0.0</v>
      </c>
      <c r="H69" s="109" t="s">
        <v>143</v>
      </c>
      <c r="I69" s="3" t="s">
        <v>97</v>
      </c>
      <c r="J69" s="109" t="s">
        <v>867</v>
      </c>
      <c r="K69" s="109">
        <v>0.0</v>
      </c>
      <c r="L69" s="109">
        <v>0.0</v>
      </c>
      <c r="M69" s="109" t="s">
        <v>97</v>
      </c>
      <c r="N69" s="109" t="s">
        <v>97</v>
      </c>
      <c r="O69" s="109" t="s">
        <v>97</v>
      </c>
      <c r="P69" s="109" t="s">
        <v>97</v>
      </c>
      <c r="Q69" s="109" t="s">
        <v>97</v>
      </c>
      <c r="R69" s="109" t="s">
        <v>97</v>
      </c>
      <c r="S69" s="193">
        <f t="shared" si="2"/>
        <v>9</v>
      </c>
      <c r="T69" s="343">
        <v>0.0</v>
      </c>
      <c r="U69" s="109">
        <v>0.0</v>
      </c>
    </row>
    <row r="70" ht="15.75" hidden="1" customHeight="1">
      <c r="A70" s="347">
        <v>45924.0</v>
      </c>
      <c r="B70" s="343">
        <v>401800.0</v>
      </c>
      <c r="C70" s="109">
        <v>3.0</v>
      </c>
      <c r="D70" s="109">
        <v>1.0</v>
      </c>
      <c r="E70" s="109">
        <v>1.0</v>
      </c>
      <c r="F70" s="109">
        <v>6.0</v>
      </c>
      <c r="G70" s="109">
        <v>1.0</v>
      </c>
      <c r="H70" s="109" t="s">
        <v>891</v>
      </c>
      <c r="I70" s="3">
        <v>401800.0</v>
      </c>
      <c r="J70" s="109" t="s">
        <v>892</v>
      </c>
      <c r="K70" s="109">
        <v>1.0</v>
      </c>
      <c r="L70" s="109">
        <v>1.0</v>
      </c>
      <c r="M70" s="109">
        <v>1.0</v>
      </c>
      <c r="N70" s="109">
        <v>1.0</v>
      </c>
      <c r="O70" s="109" t="s">
        <v>893</v>
      </c>
      <c r="P70" s="109" t="s">
        <v>880</v>
      </c>
      <c r="Q70" s="109" t="s">
        <v>97</v>
      </c>
      <c r="R70" s="109" t="s">
        <v>97</v>
      </c>
      <c r="S70" s="193">
        <f t="shared" si="2"/>
        <v>9</v>
      </c>
      <c r="T70" s="343">
        <v>401800.0</v>
      </c>
      <c r="U70" s="109">
        <v>1.0</v>
      </c>
    </row>
    <row r="71" ht="15.75" hidden="1" customHeight="1">
      <c r="A71" s="347">
        <v>45925.0</v>
      </c>
      <c r="B71" s="343">
        <v>0.0</v>
      </c>
      <c r="C71" s="109">
        <v>2.0</v>
      </c>
      <c r="D71" s="109">
        <v>0.0</v>
      </c>
      <c r="E71" s="109">
        <v>0.0</v>
      </c>
      <c r="F71" s="109">
        <v>3.0</v>
      </c>
      <c r="G71" s="109">
        <v>0.0</v>
      </c>
      <c r="H71" s="109" t="s">
        <v>143</v>
      </c>
      <c r="I71" s="3" t="s">
        <v>97</v>
      </c>
      <c r="J71" s="109" t="s">
        <v>867</v>
      </c>
      <c r="K71" s="109">
        <v>0.0</v>
      </c>
      <c r="L71" s="109">
        <v>0.0</v>
      </c>
      <c r="M71" s="109" t="s">
        <v>97</v>
      </c>
      <c r="N71" s="109" t="s">
        <v>97</v>
      </c>
      <c r="O71" s="109" t="s">
        <v>97</v>
      </c>
      <c r="P71" s="109" t="s">
        <v>97</v>
      </c>
      <c r="Q71" s="109" t="s">
        <v>97</v>
      </c>
      <c r="R71" s="109" t="s">
        <v>97</v>
      </c>
      <c r="S71" s="193">
        <f t="shared" si="2"/>
        <v>9</v>
      </c>
      <c r="T71" s="343">
        <v>0.0</v>
      </c>
      <c r="U71" s="109">
        <v>0.0</v>
      </c>
    </row>
    <row r="72" ht="15.75" hidden="1" customHeight="1">
      <c r="A72" s="347">
        <v>45926.0</v>
      </c>
      <c r="B72" s="343">
        <v>0.0</v>
      </c>
      <c r="C72" s="109">
        <v>4.0</v>
      </c>
      <c r="D72" s="109">
        <v>0.0</v>
      </c>
      <c r="E72" s="109">
        <v>0.0</v>
      </c>
      <c r="F72" s="109">
        <v>9.0</v>
      </c>
      <c r="G72" s="109">
        <v>0.0</v>
      </c>
      <c r="H72" s="109" t="s">
        <v>143</v>
      </c>
      <c r="I72" s="3" t="s">
        <v>97</v>
      </c>
      <c r="J72" s="109" t="s">
        <v>867</v>
      </c>
      <c r="K72" s="109">
        <v>0.0</v>
      </c>
      <c r="L72" s="109">
        <v>0.0</v>
      </c>
      <c r="M72" s="109" t="s">
        <v>97</v>
      </c>
      <c r="N72" s="109" t="s">
        <v>97</v>
      </c>
      <c r="O72" s="109" t="s">
        <v>97</v>
      </c>
      <c r="P72" s="109" t="s">
        <v>97</v>
      </c>
      <c r="Q72" s="109" t="s">
        <v>97</v>
      </c>
      <c r="R72" s="109" t="s">
        <v>97</v>
      </c>
      <c r="S72" s="193">
        <f t="shared" si="2"/>
        <v>9</v>
      </c>
      <c r="T72" s="343">
        <v>0.0</v>
      </c>
      <c r="U72" s="109">
        <v>0.0</v>
      </c>
    </row>
    <row r="73" ht="15.75" hidden="1" customHeight="1">
      <c r="A73" s="348">
        <v>45927.0</v>
      </c>
      <c r="B73" s="349">
        <v>456654.0</v>
      </c>
      <c r="C73" s="350">
        <v>3.0</v>
      </c>
      <c r="D73" s="350">
        <v>1.0</v>
      </c>
      <c r="E73" s="350">
        <v>1.0</v>
      </c>
      <c r="F73" s="350">
        <v>22.0</v>
      </c>
      <c r="G73" s="350">
        <v>1.0</v>
      </c>
      <c r="H73" s="350" t="s">
        <v>891</v>
      </c>
      <c r="I73" s="351">
        <v>456654.0</v>
      </c>
      <c r="J73" s="350" t="s">
        <v>894</v>
      </c>
      <c r="K73" s="350">
        <v>0.0</v>
      </c>
      <c r="L73" s="350">
        <v>0.0</v>
      </c>
      <c r="M73" s="350" t="s">
        <v>97</v>
      </c>
      <c r="N73" s="350" t="s">
        <v>97</v>
      </c>
      <c r="O73" s="350" t="s">
        <v>895</v>
      </c>
      <c r="P73" s="350" t="s">
        <v>880</v>
      </c>
      <c r="Q73" s="350" t="s">
        <v>97</v>
      </c>
      <c r="R73" s="350" t="s">
        <v>97</v>
      </c>
      <c r="S73" s="350">
        <f t="shared" si="2"/>
        <v>9</v>
      </c>
      <c r="T73" s="349">
        <v>456654.0</v>
      </c>
      <c r="U73" s="350">
        <v>1.0</v>
      </c>
      <c r="V73" s="350"/>
      <c r="W73" s="350"/>
      <c r="X73" s="350"/>
      <c r="Y73" s="350"/>
      <c r="Z73" s="350"/>
    </row>
    <row r="74" ht="15.75" hidden="1" customHeight="1">
      <c r="A74" s="347">
        <v>45931.0</v>
      </c>
      <c r="B74" s="343">
        <f t="shared" ref="B74:B104" si="3">T74-Q74</f>
        <v>0</v>
      </c>
      <c r="C74" s="334">
        <v>1.0</v>
      </c>
      <c r="D74" s="334">
        <v>0.0</v>
      </c>
      <c r="E74" s="334">
        <v>0.0</v>
      </c>
      <c r="F74" s="334">
        <v>3.0</v>
      </c>
      <c r="G74" s="334">
        <v>0.0</v>
      </c>
      <c r="H74" s="340" t="s">
        <v>143</v>
      </c>
      <c r="I74" s="343">
        <v>0.0</v>
      </c>
      <c r="J74" s="340">
        <v>0.0</v>
      </c>
      <c r="K74" s="334">
        <v>0.0</v>
      </c>
      <c r="L74" s="334">
        <v>0.0</v>
      </c>
      <c r="M74" s="340">
        <v>0.0</v>
      </c>
      <c r="N74" s="340">
        <v>0.0</v>
      </c>
      <c r="O74" s="340">
        <v>0.0</v>
      </c>
      <c r="P74" s="340">
        <v>0.0</v>
      </c>
      <c r="Q74" s="340">
        <v>0.0</v>
      </c>
      <c r="R74" s="340">
        <v>0.0</v>
      </c>
      <c r="S74" s="193">
        <f t="shared" si="2"/>
        <v>10</v>
      </c>
      <c r="T74" s="343">
        <v>0.0</v>
      </c>
      <c r="U74" s="334">
        <v>0.0</v>
      </c>
    </row>
    <row r="75" ht="15.75" hidden="1" customHeight="1">
      <c r="A75" s="347">
        <v>45932.0</v>
      </c>
      <c r="B75" s="343">
        <f t="shared" si="3"/>
        <v>0</v>
      </c>
      <c r="C75" s="334">
        <v>5.0</v>
      </c>
      <c r="D75" s="334">
        <v>0.0</v>
      </c>
      <c r="E75" s="334">
        <v>0.0</v>
      </c>
      <c r="F75" s="334">
        <v>8.0</v>
      </c>
      <c r="G75" s="334">
        <v>0.0</v>
      </c>
      <c r="H75" s="340" t="s">
        <v>143</v>
      </c>
      <c r="I75" s="343">
        <v>0.0</v>
      </c>
      <c r="J75" s="340">
        <v>0.0</v>
      </c>
      <c r="K75" s="334">
        <v>0.0</v>
      </c>
      <c r="L75" s="334">
        <v>0.0</v>
      </c>
      <c r="M75" s="340">
        <v>0.0</v>
      </c>
      <c r="N75" s="340">
        <v>0.0</v>
      </c>
      <c r="O75" s="340">
        <v>0.0</v>
      </c>
      <c r="P75" s="340">
        <v>0.0</v>
      </c>
      <c r="Q75" s="340">
        <v>0.0</v>
      </c>
      <c r="R75" s="340">
        <v>0.0</v>
      </c>
      <c r="S75" s="193">
        <f t="shared" si="2"/>
        <v>10</v>
      </c>
      <c r="T75" s="343">
        <v>0.0</v>
      </c>
      <c r="U75" s="334">
        <v>0.0</v>
      </c>
    </row>
    <row r="76" ht="15.75" hidden="1" customHeight="1">
      <c r="A76" s="347">
        <v>45933.0</v>
      </c>
      <c r="B76" s="343">
        <f t="shared" si="3"/>
        <v>0</v>
      </c>
      <c r="C76" s="334">
        <v>6.0</v>
      </c>
      <c r="D76" s="334">
        <v>0.0</v>
      </c>
      <c r="E76" s="334">
        <v>0.0</v>
      </c>
      <c r="F76" s="334">
        <v>9.0</v>
      </c>
      <c r="G76" s="334">
        <v>0.0</v>
      </c>
      <c r="H76" s="340" t="s">
        <v>143</v>
      </c>
      <c r="I76" s="343">
        <v>0.0</v>
      </c>
      <c r="J76" s="340">
        <v>0.0</v>
      </c>
      <c r="K76" s="334">
        <v>0.0</v>
      </c>
      <c r="L76" s="334">
        <v>0.0</v>
      </c>
      <c r="M76" s="340">
        <v>0.0</v>
      </c>
      <c r="N76" s="340">
        <v>0.0</v>
      </c>
      <c r="O76" s="340">
        <v>0.0</v>
      </c>
      <c r="P76" s="340">
        <v>0.0</v>
      </c>
      <c r="Q76" s="340">
        <v>0.0</v>
      </c>
      <c r="R76" s="340">
        <v>0.0</v>
      </c>
      <c r="S76" s="193">
        <f t="shared" si="2"/>
        <v>10</v>
      </c>
      <c r="T76" s="343">
        <v>0.0</v>
      </c>
      <c r="U76" s="334">
        <v>0.0</v>
      </c>
    </row>
    <row r="77" ht="15.75" hidden="1" customHeight="1">
      <c r="A77" s="347">
        <v>45934.0</v>
      </c>
      <c r="B77" s="343">
        <f t="shared" si="3"/>
        <v>0</v>
      </c>
      <c r="C77" s="334">
        <v>1.0</v>
      </c>
      <c r="D77" s="334">
        <v>0.0</v>
      </c>
      <c r="E77" s="334">
        <v>0.0</v>
      </c>
      <c r="F77" s="334">
        <v>3.0</v>
      </c>
      <c r="G77" s="334">
        <v>0.0</v>
      </c>
      <c r="H77" s="340" t="s">
        <v>143</v>
      </c>
      <c r="I77" s="343">
        <v>0.0</v>
      </c>
      <c r="J77" s="340">
        <v>0.0</v>
      </c>
      <c r="K77" s="334">
        <v>1.0</v>
      </c>
      <c r="L77" s="334">
        <v>1.0</v>
      </c>
      <c r="M77" s="340">
        <v>0.0</v>
      </c>
      <c r="N77" s="340">
        <v>0.0</v>
      </c>
      <c r="O77" s="340">
        <v>0.0</v>
      </c>
      <c r="P77" s="340">
        <v>0.0</v>
      </c>
      <c r="Q77" s="340">
        <v>0.0</v>
      </c>
      <c r="R77" s="340">
        <v>0.0</v>
      </c>
      <c r="S77" s="193">
        <f t="shared" si="2"/>
        <v>10</v>
      </c>
      <c r="T77" s="343">
        <v>0.0</v>
      </c>
      <c r="U77" s="334">
        <v>0.0</v>
      </c>
    </row>
    <row r="78" ht="15.75" hidden="1" customHeight="1">
      <c r="A78" s="347">
        <v>45935.0</v>
      </c>
      <c r="B78" s="343">
        <f t="shared" si="3"/>
        <v>0</v>
      </c>
      <c r="C78" s="334">
        <v>6.0</v>
      </c>
      <c r="D78" s="334">
        <v>0.0</v>
      </c>
      <c r="E78" s="334">
        <v>0.0</v>
      </c>
      <c r="F78" s="334">
        <v>6.0</v>
      </c>
      <c r="G78" s="334">
        <v>0.0</v>
      </c>
      <c r="H78" s="340" t="s">
        <v>143</v>
      </c>
      <c r="I78" s="343">
        <v>0.0</v>
      </c>
      <c r="J78" s="340">
        <v>0.0</v>
      </c>
      <c r="K78" s="334">
        <v>0.0</v>
      </c>
      <c r="L78" s="334">
        <v>0.0</v>
      </c>
      <c r="M78" s="340">
        <v>0.0</v>
      </c>
      <c r="N78" s="340">
        <v>0.0</v>
      </c>
      <c r="O78" s="340">
        <v>0.0</v>
      </c>
      <c r="P78" s="340">
        <v>0.0</v>
      </c>
      <c r="Q78" s="340">
        <v>0.0</v>
      </c>
      <c r="R78" s="340">
        <v>0.0</v>
      </c>
      <c r="S78" s="193">
        <f t="shared" si="2"/>
        <v>10</v>
      </c>
      <c r="T78" s="343">
        <v>0.0</v>
      </c>
      <c r="U78" s="334">
        <v>0.0</v>
      </c>
    </row>
    <row r="79" ht="15.75" hidden="1" customHeight="1">
      <c r="A79" s="347">
        <v>45936.0</v>
      </c>
      <c r="B79" s="343">
        <f t="shared" si="3"/>
        <v>0</v>
      </c>
      <c r="C79" s="334">
        <v>5.0</v>
      </c>
      <c r="D79" s="334">
        <v>0.0</v>
      </c>
      <c r="E79" s="334">
        <v>0.0</v>
      </c>
      <c r="F79" s="334">
        <v>5.0</v>
      </c>
      <c r="G79" s="334">
        <v>0.0</v>
      </c>
      <c r="H79" s="340" t="s">
        <v>143</v>
      </c>
      <c r="I79" s="343">
        <v>0.0</v>
      </c>
      <c r="J79" s="340">
        <v>0.0</v>
      </c>
      <c r="K79" s="334">
        <v>0.0</v>
      </c>
      <c r="L79" s="334">
        <v>0.0</v>
      </c>
      <c r="M79" s="340">
        <v>0.0</v>
      </c>
      <c r="N79" s="340">
        <v>0.0</v>
      </c>
      <c r="O79" s="340">
        <v>0.0</v>
      </c>
      <c r="P79" s="340">
        <v>0.0</v>
      </c>
      <c r="Q79" s="340">
        <v>0.0</v>
      </c>
      <c r="R79" s="340">
        <v>0.0</v>
      </c>
      <c r="S79" s="193">
        <f t="shared" si="2"/>
        <v>10</v>
      </c>
      <c r="T79" s="343">
        <v>0.0</v>
      </c>
      <c r="U79" s="334">
        <v>0.0</v>
      </c>
    </row>
    <row r="80" ht="15.75" hidden="1" customHeight="1">
      <c r="A80" s="347">
        <v>45937.0</v>
      </c>
      <c r="B80" s="343">
        <f t="shared" si="3"/>
        <v>0</v>
      </c>
      <c r="C80" s="334">
        <v>7.0</v>
      </c>
      <c r="D80" s="334">
        <v>0.0</v>
      </c>
      <c r="E80" s="334">
        <v>0.0</v>
      </c>
      <c r="F80" s="334">
        <v>9.0</v>
      </c>
      <c r="G80" s="334">
        <v>0.0</v>
      </c>
      <c r="H80" s="340" t="s">
        <v>143</v>
      </c>
      <c r="I80" s="343">
        <v>0.0</v>
      </c>
      <c r="J80" s="340">
        <v>0.0</v>
      </c>
      <c r="K80" s="334">
        <v>0.0</v>
      </c>
      <c r="L80" s="334">
        <v>0.0</v>
      </c>
      <c r="M80" s="340">
        <v>0.0</v>
      </c>
      <c r="N80" s="340">
        <v>0.0</v>
      </c>
      <c r="O80" s="340">
        <v>0.0</v>
      </c>
      <c r="P80" s="340">
        <v>0.0</v>
      </c>
      <c r="Q80" s="340">
        <v>0.0</v>
      </c>
      <c r="R80" s="340">
        <v>0.0</v>
      </c>
      <c r="S80" s="193">
        <f t="shared" si="2"/>
        <v>10</v>
      </c>
      <c r="T80" s="343">
        <v>0.0</v>
      </c>
      <c r="U80" s="334">
        <v>0.0</v>
      </c>
    </row>
    <row r="81" ht="15.75" hidden="1" customHeight="1">
      <c r="A81" s="347">
        <v>45938.0</v>
      </c>
      <c r="B81" s="343">
        <f t="shared" si="3"/>
        <v>0</v>
      </c>
      <c r="C81" s="334">
        <v>7.0</v>
      </c>
      <c r="D81" s="334">
        <v>0.0</v>
      </c>
      <c r="E81" s="334">
        <v>0.0</v>
      </c>
      <c r="F81" s="334">
        <v>7.0</v>
      </c>
      <c r="G81" s="334">
        <v>0.0</v>
      </c>
      <c r="H81" s="340" t="s">
        <v>143</v>
      </c>
      <c r="I81" s="343">
        <v>0.0</v>
      </c>
      <c r="J81" s="340">
        <v>0.0</v>
      </c>
      <c r="K81" s="334">
        <v>0.0</v>
      </c>
      <c r="L81" s="334">
        <v>0.0</v>
      </c>
      <c r="M81" s="340">
        <v>0.0</v>
      </c>
      <c r="N81" s="340">
        <v>0.0</v>
      </c>
      <c r="O81" s="340">
        <v>0.0</v>
      </c>
      <c r="P81" s="340">
        <v>0.0</v>
      </c>
      <c r="Q81" s="340">
        <v>0.0</v>
      </c>
      <c r="R81" s="340">
        <v>0.0</v>
      </c>
      <c r="S81" s="193">
        <f t="shared" si="2"/>
        <v>10</v>
      </c>
      <c r="T81" s="343">
        <v>0.0</v>
      </c>
      <c r="U81" s="334">
        <v>0.0</v>
      </c>
    </row>
    <row r="82" ht="15.75" hidden="1" customHeight="1">
      <c r="A82" s="347">
        <v>45939.0</v>
      </c>
      <c r="B82" s="343">
        <f t="shared" si="3"/>
        <v>459532</v>
      </c>
      <c r="C82" s="334">
        <v>14.0</v>
      </c>
      <c r="D82" s="334">
        <v>1.0</v>
      </c>
      <c r="E82" s="334">
        <v>1.0</v>
      </c>
      <c r="F82" s="334">
        <v>42.0</v>
      </c>
      <c r="G82" s="334">
        <v>1.0</v>
      </c>
      <c r="H82" s="340" t="s">
        <v>896</v>
      </c>
      <c r="I82" s="343">
        <v>459532.0</v>
      </c>
      <c r="J82" s="340" t="s">
        <v>897</v>
      </c>
      <c r="K82" s="334">
        <v>2.0</v>
      </c>
      <c r="L82" s="334">
        <v>2.0</v>
      </c>
      <c r="M82" s="334">
        <v>1.0</v>
      </c>
      <c r="N82" s="334">
        <v>1.0</v>
      </c>
      <c r="O82" s="340">
        <v>459532.0</v>
      </c>
      <c r="P82" s="340">
        <v>1.0</v>
      </c>
      <c r="Q82" s="340">
        <v>0.0</v>
      </c>
      <c r="R82" s="340">
        <v>0.0</v>
      </c>
      <c r="S82" s="193">
        <f t="shared" si="2"/>
        <v>10</v>
      </c>
      <c r="T82" s="343">
        <v>459532.0</v>
      </c>
      <c r="U82" s="334">
        <v>1.0</v>
      </c>
    </row>
    <row r="83" ht="15.75" hidden="1" customHeight="1">
      <c r="A83" s="347">
        <v>45940.0</v>
      </c>
      <c r="B83" s="343">
        <f t="shared" si="3"/>
        <v>1767630</v>
      </c>
      <c r="C83" s="334">
        <v>6.0</v>
      </c>
      <c r="D83" s="334">
        <v>1.0</v>
      </c>
      <c r="E83" s="334">
        <v>1.0</v>
      </c>
      <c r="F83" s="334">
        <v>23.0</v>
      </c>
      <c r="G83" s="334">
        <v>4.0</v>
      </c>
      <c r="H83" s="340" t="s">
        <v>898</v>
      </c>
      <c r="I83" s="343">
        <v>1767630.0</v>
      </c>
      <c r="J83" s="340">
        <v>294605.0</v>
      </c>
      <c r="K83" s="334">
        <v>1.0</v>
      </c>
      <c r="L83" s="334">
        <v>4.0</v>
      </c>
      <c r="M83" s="334">
        <v>1.0</v>
      </c>
      <c r="N83" s="334">
        <v>1.0</v>
      </c>
      <c r="O83" s="340">
        <v>1767630.0</v>
      </c>
      <c r="P83" s="340">
        <v>4.0</v>
      </c>
      <c r="Q83" s="340">
        <v>0.0</v>
      </c>
      <c r="R83" s="340">
        <v>0.0</v>
      </c>
      <c r="S83" s="193">
        <f t="shared" si="2"/>
        <v>10</v>
      </c>
      <c r="T83" s="343">
        <v>1767630.0</v>
      </c>
      <c r="U83" s="334">
        <v>1.0</v>
      </c>
    </row>
    <row r="84" ht="15.75" hidden="1" customHeight="1">
      <c r="A84" s="347">
        <v>45941.0</v>
      </c>
      <c r="B84" s="343">
        <f t="shared" si="3"/>
        <v>0</v>
      </c>
      <c r="C84" s="334">
        <v>16.0</v>
      </c>
      <c r="D84" s="334">
        <v>1.0</v>
      </c>
      <c r="E84" s="334">
        <v>1.0</v>
      </c>
      <c r="F84" s="334">
        <v>18.0</v>
      </c>
      <c r="G84" s="334">
        <v>1.0</v>
      </c>
      <c r="H84" s="340" t="s">
        <v>899</v>
      </c>
      <c r="I84" s="343">
        <v>180200.0</v>
      </c>
      <c r="J84" s="340" t="s">
        <v>900</v>
      </c>
      <c r="K84" s="334">
        <v>0.0</v>
      </c>
      <c r="L84" s="334">
        <v>0.0</v>
      </c>
      <c r="M84" s="334">
        <v>1.0</v>
      </c>
      <c r="N84" s="334">
        <v>1.0</v>
      </c>
      <c r="O84" s="340">
        <v>180200.0</v>
      </c>
      <c r="P84" s="340">
        <v>1.0</v>
      </c>
      <c r="Q84" s="342">
        <v>180200.0</v>
      </c>
      <c r="R84" s="340">
        <v>0.0</v>
      </c>
      <c r="S84" s="193">
        <f t="shared" si="2"/>
        <v>10</v>
      </c>
      <c r="T84" s="343">
        <v>180200.0</v>
      </c>
      <c r="U84" s="334">
        <v>1.0</v>
      </c>
    </row>
    <row r="85" ht="15.75" hidden="1" customHeight="1">
      <c r="A85" s="347">
        <v>45942.0</v>
      </c>
      <c r="B85" s="343">
        <f t="shared" si="3"/>
        <v>470032</v>
      </c>
      <c r="C85" s="334">
        <v>55.0</v>
      </c>
      <c r="D85" s="334">
        <v>1.0</v>
      </c>
      <c r="E85" s="334">
        <v>1.0</v>
      </c>
      <c r="F85" s="334">
        <v>76.0</v>
      </c>
      <c r="G85" s="334">
        <v>1.0</v>
      </c>
      <c r="H85" s="340" t="s">
        <v>548</v>
      </c>
      <c r="I85" s="343">
        <v>470032.0</v>
      </c>
      <c r="J85" s="352">
        <v>2427494.0</v>
      </c>
      <c r="K85" s="334">
        <v>0.0</v>
      </c>
      <c r="L85" s="334">
        <v>0.0</v>
      </c>
      <c r="M85" s="334">
        <v>1.0</v>
      </c>
      <c r="N85" s="334">
        <v>1.0</v>
      </c>
      <c r="O85" s="340">
        <v>470032.0</v>
      </c>
      <c r="P85" s="340">
        <v>1.0</v>
      </c>
      <c r="Q85" s="342">
        <v>0.0</v>
      </c>
      <c r="R85" s="340">
        <v>0.0</v>
      </c>
      <c r="S85" s="193">
        <f t="shared" si="2"/>
        <v>10</v>
      </c>
      <c r="T85" s="343">
        <v>470032.0</v>
      </c>
      <c r="U85" s="334">
        <v>1.0</v>
      </c>
    </row>
    <row r="86" ht="15.75" hidden="1" customHeight="1">
      <c r="A86" s="347">
        <v>45943.0</v>
      </c>
      <c r="B86" s="343">
        <f t="shared" si="3"/>
        <v>0</v>
      </c>
      <c r="C86" s="334">
        <v>52.0</v>
      </c>
      <c r="D86" s="334">
        <v>0.0</v>
      </c>
      <c r="E86" s="334">
        <v>0.0</v>
      </c>
      <c r="F86" s="334">
        <v>70.0</v>
      </c>
      <c r="G86" s="334">
        <v>0.0</v>
      </c>
      <c r="H86" s="340" t="s">
        <v>143</v>
      </c>
      <c r="I86" s="343">
        <v>0.0</v>
      </c>
      <c r="J86" s="340">
        <v>0.0</v>
      </c>
      <c r="K86" s="334">
        <v>0.0</v>
      </c>
      <c r="L86" s="334">
        <v>0.0</v>
      </c>
      <c r="M86" s="334">
        <v>0.0</v>
      </c>
      <c r="N86" s="334">
        <v>0.0</v>
      </c>
      <c r="O86" s="334">
        <v>0.0</v>
      </c>
      <c r="P86" s="334">
        <v>0.0</v>
      </c>
      <c r="Q86" s="342">
        <v>0.0</v>
      </c>
      <c r="R86" s="340">
        <v>0.0</v>
      </c>
      <c r="S86" s="193">
        <f t="shared" si="2"/>
        <v>10</v>
      </c>
      <c r="T86" s="343">
        <v>0.0</v>
      </c>
      <c r="U86" s="334">
        <v>0.0</v>
      </c>
    </row>
    <row r="87" ht="15.75" hidden="1" customHeight="1">
      <c r="A87" s="347">
        <v>45944.0</v>
      </c>
      <c r="B87" s="343">
        <f t="shared" si="3"/>
        <v>0</v>
      </c>
      <c r="C87" s="334">
        <v>136.0</v>
      </c>
      <c r="D87" s="334">
        <v>0.0</v>
      </c>
      <c r="E87" s="334">
        <v>0.0</v>
      </c>
      <c r="F87" s="334">
        <v>199.0</v>
      </c>
      <c r="G87" s="334">
        <v>0.0</v>
      </c>
      <c r="H87" s="340" t="s">
        <v>143</v>
      </c>
      <c r="I87" s="343">
        <v>0.0</v>
      </c>
      <c r="J87" s="340">
        <v>0.0</v>
      </c>
      <c r="K87" s="334">
        <v>2.0</v>
      </c>
      <c r="L87" s="334">
        <v>2.0</v>
      </c>
      <c r="M87" s="334">
        <v>0.0</v>
      </c>
      <c r="N87" s="334">
        <v>0.0</v>
      </c>
      <c r="O87" s="334">
        <v>0.0</v>
      </c>
      <c r="P87" s="334">
        <v>0.0</v>
      </c>
      <c r="Q87" s="342">
        <v>0.0</v>
      </c>
      <c r="R87" s="340">
        <v>0.0</v>
      </c>
      <c r="S87" s="193">
        <f t="shared" si="2"/>
        <v>10</v>
      </c>
      <c r="T87" s="343">
        <v>0.0</v>
      </c>
      <c r="U87" s="334">
        <v>0.0</v>
      </c>
    </row>
    <row r="88" ht="15.75" hidden="1" customHeight="1">
      <c r="A88" s="347">
        <v>45945.0</v>
      </c>
      <c r="B88" s="343">
        <f t="shared" si="3"/>
        <v>526760</v>
      </c>
      <c r="C88" s="334">
        <v>94.0</v>
      </c>
      <c r="D88" s="334">
        <v>1.0</v>
      </c>
      <c r="E88" s="334">
        <v>1.0</v>
      </c>
      <c r="F88" s="334">
        <v>138.0</v>
      </c>
      <c r="G88" s="334">
        <v>1.0</v>
      </c>
      <c r="H88" s="340" t="s">
        <v>589</v>
      </c>
      <c r="I88" s="343">
        <v>526760.0</v>
      </c>
      <c r="J88" s="340" t="s">
        <v>901</v>
      </c>
      <c r="K88" s="334">
        <v>1.0</v>
      </c>
      <c r="L88" s="334">
        <v>1.0</v>
      </c>
      <c r="M88" s="334">
        <v>1.0</v>
      </c>
      <c r="N88" s="334">
        <v>1.0</v>
      </c>
      <c r="O88" s="340">
        <v>526760.0</v>
      </c>
      <c r="P88" s="340">
        <v>1.0</v>
      </c>
      <c r="Q88" s="342">
        <v>0.0</v>
      </c>
      <c r="R88" s="340">
        <v>0.0</v>
      </c>
      <c r="S88" s="193">
        <f t="shared" si="2"/>
        <v>10</v>
      </c>
      <c r="T88" s="343">
        <v>526760.0</v>
      </c>
      <c r="U88" s="334">
        <v>1.0</v>
      </c>
    </row>
    <row r="89" ht="15.75" hidden="1" customHeight="1">
      <c r="A89" s="347">
        <v>45946.0</v>
      </c>
      <c r="B89" s="343">
        <f t="shared" si="3"/>
        <v>0</v>
      </c>
      <c r="C89" s="334">
        <v>51.0</v>
      </c>
      <c r="D89" s="334">
        <v>0.0</v>
      </c>
      <c r="E89" s="334">
        <v>0.0</v>
      </c>
      <c r="F89" s="334">
        <v>83.0</v>
      </c>
      <c r="G89" s="334">
        <v>0.0</v>
      </c>
      <c r="H89" s="340" t="s">
        <v>143</v>
      </c>
      <c r="I89" s="343">
        <v>0.0</v>
      </c>
      <c r="J89" s="340">
        <v>0.0</v>
      </c>
      <c r="K89" s="334">
        <v>0.0</v>
      </c>
      <c r="L89" s="334">
        <v>0.0</v>
      </c>
      <c r="M89" s="334">
        <v>0.0</v>
      </c>
      <c r="N89" s="334">
        <v>0.0</v>
      </c>
      <c r="O89" s="334">
        <v>0.0</v>
      </c>
      <c r="P89" s="334">
        <v>0.0</v>
      </c>
      <c r="Q89" s="340">
        <v>0.0</v>
      </c>
      <c r="R89" s="340">
        <v>0.0</v>
      </c>
      <c r="S89" s="193">
        <f t="shared" si="2"/>
        <v>10</v>
      </c>
      <c r="T89" s="340">
        <v>0.0</v>
      </c>
      <c r="U89" s="334">
        <v>0.0</v>
      </c>
    </row>
    <row r="90" ht="15.75" hidden="1" customHeight="1">
      <c r="A90" s="347">
        <v>45947.0</v>
      </c>
      <c r="B90" s="343">
        <f t="shared" si="3"/>
        <v>0</v>
      </c>
      <c r="C90" s="334">
        <v>5.0</v>
      </c>
      <c r="D90" s="334">
        <v>0.0</v>
      </c>
      <c r="E90" s="334">
        <v>0.0</v>
      </c>
      <c r="F90" s="334">
        <v>21.0</v>
      </c>
      <c r="G90" s="334">
        <v>0.0</v>
      </c>
      <c r="H90" s="340" t="s">
        <v>143</v>
      </c>
      <c r="I90" s="343">
        <v>0.0</v>
      </c>
      <c r="J90" s="340">
        <v>0.0</v>
      </c>
      <c r="K90" s="334">
        <v>1.0</v>
      </c>
      <c r="L90" s="334">
        <v>1.0</v>
      </c>
      <c r="M90" s="334">
        <v>0.0</v>
      </c>
      <c r="N90" s="334">
        <v>0.0</v>
      </c>
      <c r="O90" s="334">
        <v>0.0</v>
      </c>
      <c r="P90" s="334">
        <v>0.0</v>
      </c>
      <c r="Q90" s="340">
        <v>0.0</v>
      </c>
      <c r="R90" s="340">
        <v>0.0</v>
      </c>
      <c r="S90" s="193">
        <f t="shared" si="2"/>
        <v>10</v>
      </c>
      <c r="T90" s="340">
        <v>0.0</v>
      </c>
      <c r="U90" s="334">
        <v>0.0</v>
      </c>
    </row>
    <row r="91" ht="15.75" hidden="1" customHeight="1">
      <c r="A91" s="347">
        <v>45948.0</v>
      </c>
      <c r="B91" s="343">
        <f t="shared" si="3"/>
        <v>728050</v>
      </c>
      <c r="C91" s="334">
        <v>28.0</v>
      </c>
      <c r="D91" s="334">
        <v>1.0</v>
      </c>
      <c r="E91" s="334">
        <v>1.0</v>
      </c>
      <c r="F91" s="334">
        <v>33.0</v>
      </c>
      <c r="G91" s="334">
        <v>1.0</v>
      </c>
      <c r="H91" s="340" t="s">
        <v>902</v>
      </c>
      <c r="I91" s="343">
        <v>728050.0</v>
      </c>
      <c r="J91" s="340" t="s">
        <v>903</v>
      </c>
      <c r="K91" s="334">
        <v>1.0</v>
      </c>
      <c r="L91" s="334">
        <v>1.0</v>
      </c>
      <c r="M91" s="334">
        <v>1.0</v>
      </c>
      <c r="N91" s="334">
        <v>1.0</v>
      </c>
      <c r="O91" s="340">
        <v>728050.0</v>
      </c>
      <c r="P91" s="340">
        <v>1.0</v>
      </c>
      <c r="Q91" s="340">
        <v>0.0</v>
      </c>
      <c r="R91" s="340">
        <v>0.0</v>
      </c>
      <c r="S91" s="193">
        <f t="shared" si="2"/>
        <v>10</v>
      </c>
      <c r="T91" s="340">
        <v>728050.0</v>
      </c>
      <c r="U91" s="334">
        <v>1.0</v>
      </c>
    </row>
    <row r="92" ht="15.75" hidden="1" customHeight="1">
      <c r="A92" s="347">
        <v>45949.0</v>
      </c>
      <c r="B92" s="343">
        <f t="shared" si="3"/>
        <v>1222910</v>
      </c>
      <c r="C92" s="334">
        <v>134.0</v>
      </c>
      <c r="D92" s="334">
        <v>2.0</v>
      </c>
      <c r="E92" s="334">
        <v>3.0</v>
      </c>
      <c r="F92" s="334">
        <v>247.0</v>
      </c>
      <c r="G92" s="334">
        <v>3.0</v>
      </c>
      <c r="H92" s="340" t="s">
        <v>904</v>
      </c>
      <c r="I92" s="343">
        <v>611455.0</v>
      </c>
      <c r="J92" s="340" t="s">
        <v>905</v>
      </c>
      <c r="K92" s="334">
        <v>1.0</v>
      </c>
      <c r="L92" s="334">
        <v>2.0</v>
      </c>
      <c r="M92" s="334">
        <v>1.0</v>
      </c>
      <c r="N92" s="334">
        <v>1.0</v>
      </c>
      <c r="O92" s="340" t="s">
        <v>906</v>
      </c>
      <c r="P92" s="340">
        <v>1.0</v>
      </c>
      <c r="Q92" s="340">
        <v>0.0</v>
      </c>
      <c r="R92" s="340">
        <v>0.0</v>
      </c>
      <c r="S92" s="193">
        <f t="shared" si="2"/>
        <v>10</v>
      </c>
      <c r="T92" s="340">
        <v>1222910.0</v>
      </c>
      <c r="U92" s="334">
        <v>3.0</v>
      </c>
    </row>
    <row r="93" ht="15.75" hidden="1" customHeight="1">
      <c r="A93" s="347">
        <v>45950.0</v>
      </c>
      <c r="B93" s="343">
        <f t="shared" si="3"/>
        <v>660600</v>
      </c>
      <c r="C93" s="334">
        <v>253.0</v>
      </c>
      <c r="D93" s="334">
        <v>1.0</v>
      </c>
      <c r="E93" s="334">
        <v>1.0</v>
      </c>
      <c r="F93" s="334">
        <v>377.0</v>
      </c>
      <c r="G93" s="334">
        <v>1.0</v>
      </c>
      <c r="H93" s="340" t="s">
        <v>907</v>
      </c>
      <c r="I93" s="343">
        <v>660600.0</v>
      </c>
      <c r="J93" s="352">
        <v>259870.0</v>
      </c>
      <c r="K93" s="334">
        <v>1.0</v>
      </c>
      <c r="L93" s="334">
        <v>2.0</v>
      </c>
      <c r="M93" s="334">
        <v>0.0</v>
      </c>
      <c r="N93" s="334">
        <v>0.0</v>
      </c>
      <c r="O93" s="340">
        <v>660600.0</v>
      </c>
      <c r="P93" s="340">
        <v>1.0</v>
      </c>
      <c r="Q93" s="340">
        <v>0.0</v>
      </c>
      <c r="R93" s="340">
        <v>0.0</v>
      </c>
      <c r="S93" s="193">
        <f t="shared" si="2"/>
        <v>10</v>
      </c>
      <c r="T93" s="340">
        <v>660600.0</v>
      </c>
      <c r="U93" s="334">
        <v>1.0</v>
      </c>
    </row>
    <row r="94" ht="15.75" hidden="1" customHeight="1">
      <c r="A94" s="347">
        <v>45951.0</v>
      </c>
      <c r="B94" s="343">
        <f t="shared" si="3"/>
        <v>-526760</v>
      </c>
      <c r="C94" s="334">
        <v>99.0</v>
      </c>
      <c r="D94" s="334">
        <v>0.0</v>
      </c>
      <c r="E94" s="334">
        <v>0.0</v>
      </c>
      <c r="F94" s="334">
        <v>151.0</v>
      </c>
      <c r="G94" s="334">
        <v>0.0</v>
      </c>
      <c r="H94" s="340" t="s">
        <v>143</v>
      </c>
      <c r="I94" s="343">
        <v>0.0</v>
      </c>
      <c r="J94" s="340">
        <v>0.0</v>
      </c>
      <c r="K94" s="334">
        <v>0.0</v>
      </c>
      <c r="L94" s="334">
        <v>0.0</v>
      </c>
      <c r="M94" s="334">
        <v>0.0</v>
      </c>
      <c r="N94" s="334">
        <v>0.0</v>
      </c>
      <c r="O94" s="334">
        <v>0.0</v>
      </c>
      <c r="P94" s="334">
        <v>0.0</v>
      </c>
      <c r="Q94" s="340">
        <v>526760.0</v>
      </c>
      <c r="R94" s="340">
        <v>0.0</v>
      </c>
      <c r="S94" s="193">
        <f t="shared" si="2"/>
        <v>10</v>
      </c>
      <c r="T94" s="340">
        <v>0.0</v>
      </c>
      <c r="U94" s="334">
        <v>0.0</v>
      </c>
    </row>
    <row r="95" ht="15.75" hidden="1" customHeight="1">
      <c r="A95" s="347">
        <v>45952.0</v>
      </c>
      <c r="B95" s="343">
        <f t="shared" si="3"/>
        <v>1218750</v>
      </c>
      <c r="C95" s="334">
        <v>91.0</v>
      </c>
      <c r="D95" s="334">
        <v>2.0</v>
      </c>
      <c r="E95" s="334">
        <v>2.0</v>
      </c>
      <c r="F95" s="334">
        <v>166.0</v>
      </c>
      <c r="G95" s="334">
        <v>2.0</v>
      </c>
      <c r="H95" s="340" t="s">
        <v>908</v>
      </c>
      <c r="I95" s="343">
        <v>609375.0</v>
      </c>
      <c r="J95" s="340" t="s">
        <v>909</v>
      </c>
      <c r="K95" s="334">
        <v>3.0</v>
      </c>
      <c r="L95" s="334">
        <v>3.0</v>
      </c>
      <c r="M95" s="334">
        <v>2.0</v>
      </c>
      <c r="N95" s="334">
        <v>2.0</v>
      </c>
      <c r="O95" s="340">
        <v>609375.0</v>
      </c>
      <c r="P95" s="340">
        <v>1.0</v>
      </c>
      <c r="Q95" s="340">
        <v>0.0</v>
      </c>
      <c r="R95" s="340">
        <v>0.0</v>
      </c>
      <c r="S95" s="193">
        <f t="shared" si="2"/>
        <v>10</v>
      </c>
      <c r="T95" s="340">
        <v>1218750.0</v>
      </c>
      <c r="U95" s="334">
        <v>2.0</v>
      </c>
    </row>
    <row r="96" ht="15.75" hidden="1" customHeight="1">
      <c r="A96" s="347">
        <v>45953.0</v>
      </c>
      <c r="B96" s="343">
        <f t="shared" si="3"/>
        <v>0</v>
      </c>
      <c r="C96" s="334">
        <v>198.0</v>
      </c>
      <c r="D96" s="334">
        <v>0.0</v>
      </c>
      <c r="E96" s="334">
        <v>0.0</v>
      </c>
      <c r="F96" s="334">
        <v>262.0</v>
      </c>
      <c r="G96" s="334">
        <v>0.0</v>
      </c>
      <c r="H96" s="340" t="s">
        <v>143</v>
      </c>
      <c r="I96" s="343">
        <v>0.0</v>
      </c>
      <c r="J96" s="340">
        <v>0.0</v>
      </c>
      <c r="K96" s="334">
        <v>1.0</v>
      </c>
      <c r="L96" s="334">
        <v>1.0</v>
      </c>
      <c r="M96" s="334">
        <v>0.0</v>
      </c>
      <c r="N96" s="334">
        <v>0.0</v>
      </c>
      <c r="O96" s="334">
        <v>0.0</v>
      </c>
      <c r="P96" s="334">
        <v>0.0</v>
      </c>
      <c r="Q96" s="340">
        <v>0.0</v>
      </c>
      <c r="R96" s="340">
        <v>0.0</v>
      </c>
      <c r="S96" s="193">
        <f t="shared" si="2"/>
        <v>10</v>
      </c>
      <c r="T96" s="340">
        <v>0.0</v>
      </c>
      <c r="U96" s="334">
        <v>0.0</v>
      </c>
    </row>
    <row r="97" ht="15.75" hidden="1" customHeight="1">
      <c r="A97" s="347">
        <v>45954.0</v>
      </c>
      <c r="B97" s="343">
        <f t="shared" si="3"/>
        <v>0</v>
      </c>
      <c r="C97" s="334">
        <v>202.0</v>
      </c>
      <c r="D97" s="334">
        <v>0.0</v>
      </c>
      <c r="E97" s="334">
        <v>0.0</v>
      </c>
      <c r="F97" s="334">
        <v>282.0</v>
      </c>
      <c r="G97" s="334">
        <v>0.0</v>
      </c>
      <c r="H97" s="340" t="s">
        <v>143</v>
      </c>
      <c r="I97" s="343">
        <v>0.0</v>
      </c>
      <c r="J97" s="340">
        <v>0.0</v>
      </c>
      <c r="K97" s="334">
        <v>1.0</v>
      </c>
      <c r="L97" s="334">
        <v>1.0</v>
      </c>
      <c r="M97" s="334">
        <v>0.0</v>
      </c>
      <c r="N97" s="334">
        <v>0.0</v>
      </c>
      <c r="O97" s="334">
        <v>0.0</v>
      </c>
      <c r="P97" s="334">
        <v>0.0</v>
      </c>
      <c r="Q97" s="340">
        <v>0.0</v>
      </c>
      <c r="R97" s="340">
        <v>0.0</v>
      </c>
      <c r="S97" s="193">
        <f t="shared" si="2"/>
        <v>10</v>
      </c>
      <c r="T97" s="340">
        <v>0.0</v>
      </c>
      <c r="U97" s="334">
        <v>0.0</v>
      </c>
    </row>
    <row r="98" ht="15.75" hidden="1" customHeight="1">
      <c r="A98" s="347">
        <v>45955.0</v>
      </c>
      <c r="B98" s="343">
        <f t="shared" si="3"/>
        <v>1229413</v>
      </c>
      <c r="C98" s="334">
        <v>169.0</v>
      </c>
      <c r="D98" s="334">
        <v>1.0</v>
      </c>
      <c r="E98" s="334">
        <v>1.0</v>
      </c>
      <c r="F98" s="334">
        <v>254.0</v>
      </c>
      <c r="G98" s="334">
        <v>1.0</v>
      </c>
      <c r="H98" s="340" t="s">
        <v>910</v>
      </c>
      <c r="I98" s="343">
        <v>1229413.0</v>
      </c>
      <c r="J98" s="340" t="s">
        <v>911</v>
      </c>
      <c r="K98" s="334">
        <v>3.0</v>
      </c>
      <c r="L98" s="334">
        <v>3.0</v>
      </c>
      <c r="M98" s="334">
        <v>1.0</v>
      </c>
      <c r="N98" s="334">
        <v>1.0</v>
      </c>
      <c r="O98" s="340">
        <v>1229413.0</v>
      </c>
      <c r="P98" s="340">
        <v>1.0</v>
      </c>
      <c r="Q98" s="340">
        <v>0.0</v>
      </c>
      <c r="R98" s="340">
        <v>0.0</v>
      </c>
      <c r="S98" s="193">
        <f t="shared" si="2"/>
        <v>10</v>
      </c>
      <c r="T98" s="340">
        <v>1229413.0</v>
      </c>
      <c r="U98" s="334">
        <v>1.0</v>
      </c>
    </row>
    <row r="99" ht="15.75" hidden="1" customHeight="1">
      <c r="A99" s="347">
        <v>45956.0</v>
      </c>
      <c r="B99" s="343">
        <f t="shared" si="3"/>
        <v>0</v>
      </c>
      <c r="C99" s="334">
        <v>180.0</v>
      </c>
      <c r="D99" s="334">
        <v>0.0</v>
      </c>
      <c r="E99" s="334">
        <v>0.0</v>
      </c>
      <c r="F99" s="334">
        <v>262.0</v>
      </c>
      <c r="G99" s="334">
        <v>0.0</v>
      </c>
      <c r="H99" s="340" t="s">
        <v>143</v>
      </c>
      <c r="I99" s="343">
        <v>0.0</v>
      </c>
      <c r="J99" s="340">
        <v>0.0</v>
      </c>
      <c r="K99" s="334">
        <v>4.0</v>
      </c>
      <c r="L99" s="334">
        <v>4.0</v>
      </c>
      <c r="M99" s="334">
        <v>0.0</v>
      </c>
      <c r="N99" s="334">
        <v>0.0</v>
      </c>
      <c r="O99" s="334">
        <v>0.0</v>
      </c>
      <c r="P99" s="334">
        <v>0.0</v>
      </c>
      <c r="Q99" s="340">
        <v>0.0</v>
      </c>
      <c r="R99" s="340">
        <v>0.0</v>
      </c>
      <c r="S99" s="193">
        <f t="shared" si="2"/>
        <v>10</v>
      </c>
      <c r="T99" s="340">
        <v>0.0</v>
      </c>
      <c r="U99" s="334">
        <v>0.0</v>
      </c>
    </row>
    <row r="100" ht="15.75" hidden="1" customHeight="1">
      <c r="A100" s="347">
        <v>45957.0</v>
      </c>
      <c r="B100" s="343">
        <f t="shared" si="3"/>
        <v>0</v>
      </c>
      <c r="C100" s="334">
        <v>205.0</v>
      </c>
      <c r="D100" s="334">
        <v>0.0</v>
      </c>
      <c r="E100" s="334">
        <v>0.0</v>
      </c>
      <c r="F100" s="334">
        <v>270.0</v>
      </c>
      <c r="G100" s="334">
        <v>0.0</v>
      </c>
      <c r="H100" s="340" t="s">
        <v>143</v>
      </c>
      <c r="I100" s="343">
        <v>0.0</v>
      </c>
      <c r="J100" s="340">
        <v>0.0</v>
      </c>
      <c r="K100" s="334">
        <v>0.0</v>
      </c>
      <c r="L100" s="334">
        <v>0.0</v>
      </c>
      <c r="M100" s="334">
        <v>1.0</v>
      </c>
      <c r="N100" s="334">
        <v>1.0</v>
      </c>
      <c r="O100" s="334">
        <v>0.0</v>
      </c>
      <c r="P100" s="334">
        <v>0.0</v>
      </c>
      <c r="Q100" s="340">
        <v>0.0</v>
      </c>
      <c r="R100" s="340">
        <v>0.0</v>
      </c>
      <c r="S100" s="193">
        <f t="shared" si="2"/>
        <v>10</v>
      </c>
      <c r="T100" s="340">
        <v>0.0</v>
      </c>
      <c r="U100" s="334">
        <v>0.0</v>
      </c>
    </row>
    <row r="101" ht="15.75" hidden="1" customHeight="1">
      <c r="A101" s="347">
        <v>45958.0</v>
      </c>
      <c r="B101" s="343">
        <f t="shared" si="3"/>
        <v>0</v>
      </c>
      <c r="C101" s="334">
        <v>38.0</v>
      </c>
      <c r="D101" s="334">
        <v>0.0</v>
      </c>
      <c r="E101" s="334">
        <v>0.0</v>
      </c>
      <c r="F101" s="334">
        <v>47.0</v>
      </c>
      <c r="G101" s="334">
        <v>0.0</v>
      </c>
      <c r="H101" s="340" t="s">
        <v>143</v>
      </c>
      <c r="I101" s="343">
        <v>0.0</v>
      </c>
      <c r="J101" s="340">
        <v>0.0</v>
      </c>
      <c r="K101" s="334">
        <v>0.0</v>
      </c>
      <c r="L101" s="334">
        <v>0.0</v>
      </c>
      <c r="M101" s="334">
        <v>0.0</v>
      </c>
      <c r="N101" s="334">
        <v>0.0</v>
      </c>
      <c r="O101" s="334">
        <v>0.0</v>
      </c>
      <c r="P101" s="334">
        <v>0.0</v>
      </c>
      <c r="Q101" s="340">
        <v>0.0</v>
      </c>
      <c r="R101" s="340">
        <v>0.0</v>
      </c>
      <c r="S101" s="193">
        <f t="shared" si="2"/>
        <v>10</v>
      </c>
      <c r="T101" s="340">
        <v>0.0</v>
      </c>
      <c r="U101" s="334">
        <v>0.0</v>
      </c>
    </row>
    <row r="102" ht="15.75" hidden="1" customHeight="1">
      <c r="A102" s="347">
        <v>45959.0</v>
      </c>
      <c r="B102" s="343">
        <f t="shared" si="3"/>
        <v>-1229413</v>
      </c>
      <c r="C102" s="334">
        <v>4.0</v>
      </c>
      <c r="D102" s="334">
        <v>0.0</v>
      </c>
      <c r="E102" s="334">
        <v>0.0</v>
      </c>
      <c r="F102" s="334">
        <v>7.0</v>
      </c>
      <c r="G102" s="334">
        <v>0.0</v>
      </c>
      <c r="H102" s="340" t="s">
        <v>143</v>
      </c>
      <c r="I102" s="343">
        <v>0.0</v>
      </c>
      <c r="J102" s="340">
        <v>0.0</v>
      </c>
      <c r="K102" s="334">
        <v>0.0</v>
      </c>
      <c r="L102" s="334">
        <v>0.0</v>
      </c>
      <c r="M102" s="334">
        <v>0.0</v>
      </c>
      <c r="N102" s="334">
        <v>0.0</v>
      </c>
      <c r="O102" s="334">
        <v>0.0</v>
      </c>
      <c r="P102" s="334">
        <v>0.0</v>
      </c>
      <c r="Q102" s="340">
        <v>1229413.0</v>
      </c>
      <c r="R102" s="340">
        <v>0.0</v>
      </c>
      <c r="S102" s="193">
        <f t="shared" si="2"/>
        <v>10</v>
      </c>
      <c r="T102" s="340">
        <v>0.0</v>
      </c>
      <c r="U102" s="334">
        <v>0.0</v>
      </c>
    </row>
    <row r="103" ht="15.75" hidden="1" customHeight="1">
      <c r="A103" s="347">
        <v>45960.0</v>
      </c>
      <c r="B103" s="343">
        <f t="shared" si="3"/>
        <v>0</v>
      </c>
      <c r="I103" s="216"/>
      <c r="S103" s="193">
        <f t="shared" si="2"/>
        <v>10</v>
      </c>
    </row>
    <row r="104" ht="15.75" hidden="1" customHeight="1">
      <c r="A104" s="347">
        <v>45961.0</v>
      </c>
      <c r="B104" s="343">
        <f t="shared" si="3"/>
        <v>0</v>
      </c>
      <c r="I104" s="216"/>
      <c r="S104" s="193">
        <f t="shared" si="2"/>
        <v>10</v>
      </c>
    </row>
    <row r="105" ht="15.75" hidden="1" customHeight="1">
      <c r="A105" s="347">
        <v>45962.0</v>
      </c>
      <c r="B105" s="353">
        <v>0.0</v>
      </c>
      <c r="C105" s="354">
        <v>6.0</v>
      </c>
      <c r="D105" s="354">
        <v>0.0</v>
      </c>
      <c r="E105" s="354">
        <v>0.0</v>
      </c>
      <c r="F105" s="354">
        <v>6.0</v>
      </c>
      <c r="G105" s="354">
        <v>0.0</v>
      </c>
      <c r="H105" s="355">
        <v>0.0</v>
      </c>
      <c r="I105" s="356" t="s">
        <v>97</v>
      </c>
      <c r="J105" s="353">
        <v>0.0</v>
      </c>
      <c r="K105" s="354">
        <v>0.0</v>
      </c>
      <c r="L105" s="354">
        <v>0.0</v>
      </c>
      <c r="M105" s="354" t="s">
        <v>97</v>
      </c>
      <c r="N105" s="354" t="s">
        <v>97</v>
      </c>
      <c r="O105" s="354" t="s">
        <v>97</v>
      </c>
      <c r="P105" s="354" t="s">
        <v>97</v>
      </c>
      <c r="Q105" s="353">
        <v>0.0</v>
      </c>
      <c r="R105" s="353">
        <v>0.0</v>
      </c>
      <c r="S105" s="193">
        <f t="shared" si="2"/>
        <v>11</v>
      </c>
    </row>
    <row r="106" ht="15.75" hidden="1" customHeight="1">
      <c r="A106" s="347">
        <v>45963.0</v>
      </c>
      <c r="B106" s="353">
        <v>0.0</v>
      </c>
      <c r="C106" s="354">
        <v>5.0</v>
      </c>
      <c r="D106" s="354">
        <v>0.0</v>
      </c>
      <c r="E106" s="354">
        <v>0.0</v>
      </c>
      <c r="F106" s="354">
        <v>9.0</v>
      </c>
      <c r="G106" s="354">
        <v>0.0</v>
      </c>
      <c r="H106" s="355">
        <v>0.0</v>
      </c>
      <c r="I106" s="356" t="s">
        <v>97</v>
      </c>
      <c r="J106" s="353">
        <v>0.0</v>
      </c>
      <c r="K106" s="354">
        <v>0.0</v>
      </c>
      <c r="L106" s="354">
        <v>0.0</v>
      </c>
      <c r="M106" s="354" t="s">
        <v>97</v>
      </c>
      <c r="N106" s="354" t="s">
        <v>97</v>
      </c>
      <c r="O106" s="354" t="s">
        <v>97</v>
      </c>
      <c r="P106" s="354" t="s">
        <v>97</v>
      </c>
      <c r="Q106" s="353">
        <v>0.0</v>
      </c>
      <c r="R106" s="353">
        <v>0.0</v>
      </c>
      <c r="S106" s="193">
        <f t="shared" si="2"/>
        <v>11</v>
      </c>
    </row>
    <row r="107" ht="15.75" hidden="1" customHeight="1">
      <c r="A107" s="347">
        <v>45964.0</v>
      </c>
      <c r="B107" s="353">
        <v>0.0</v>
      </c>
      <c r="C107" s="354">
        <v>6.0</v>
      </c>
      <c r="D107" s="354">
        <v>0.0</v>
      </c>
      <c r="E107" s="354">
        <v>0.0</v>
      </c>
      <c r="F107" s="354">
        <v>13.0</v>
      </c>
      <c r="G107" s="354">
        <v>0.0</v>
      </c>
      <c r="H107" s="355">
        <v>0.0</v>
      </c>
      <c r="I107" s="356" t="s">
        <v>97</v>
      </c>
      <c r="J107" s="353">
        <v>0.0</v>
      </c>
      <c r="K107" s="354">
        <v>1.0</v>
      </c>
      <c r="L107" s="354">
        <v>2.0</v>
      </c>
      <c r="M107" s="354" t="s">
        <v>97</v>
      </c>
      <c r="N107" s="354" t="s">
        <v>97</v>
      </c>
      <c r="O107" s="354" t="s">
        <v>97</v>
      </c>
      <c r="P107" s="354" t="s">
        <v>97</v>
      </c>
      <c r="Q107" s="353">
        <v>0.0</v>
      </c>
      <c r="R107" s="353">
        <v>0.0</v>
      </c>
      <c r="S107" s="193">
        <f t="shared" si="2"/>
        <v>11</v>
      </c>
    </row>
    <row r="108" ht="15.75" hidden="1" customHeight="1">
      <c r="A108" s="347">
        <v>45965.0</v>
      </c>
      <c r="B108" s="353">
        <v>0.0</v>
      </c>
      <c r="C108" s="354">
        <v>5.0</v>
      </c>
      <c r="D108" s="354">
        <v>0.0</v>
      </c>
      <c r="E108" s="354">
        <v>0.0</v>
      </c>
      <c r="F108" s="354">
        <v>8.0</v>
      </c>
      <c r="G108" s="354">
        <v>0.0</v>
      </c>
      <c r="H108" s="355">
        <v>0.0</v>
      </c>
      <c r="I108" s="356" t="s">
        <v>97</v>
      </c>
      <c r="J108" s="353">
        <v>0.0</v>
      </c>
      <c r="K108" s="354">
        <v>1.0</v>
      </c>
      <c r="L108" s="354">
        <v>1.0</v>
      </c>
      <c r="M108" s="354" t="s">
        <v>97</v>
      </c>
      <c r="N108" s="354" t="s">
        <v>97</v>
      </c>
      <c r="O108" s="354" t="s">
        <v>97</v>
      </c>
      <c r="P108" s="354" t="s">
        <v>97</v>
      </c>
      <c r="Q108" s="353">
        <v>0.0</v>
      </c>
      <c r="R108" s="353">
        <v>0.0</v>
      </c>
      <c r="S108" s="193">
        <f t="shared" si="2"/>
        <v>11</v>
      </c>
    </row>
    <row r="109" ht="15.75" hidden="1" customHeight="1">
      <c r="A109" s="347">
        <v>45966.0</v>
      </c>
      <c r="B109" s="353">
        <v>0.0</v>
      </c>
      <c r="C109" s="354">
        <v>4.0</v>
      </c>
      <c r="D109" s="354">
        <v>0.0</v>
      </c>
      <c r="E109" s="354">
        <v>0.0</v>
      </c>
      <c r="F109" s="354">
        <v>4.0</v>
      </c>
      <c r="G109" s="354">
        <v>0.0</v>
      </c>
      <c r="H109" s="355">
        <v>0.0</v>
      </c>
      <c r="I109" s="356" t="s">
        <v>97</v>
      </c>
      <c r="J109" s="353">
        <v>0.0</v>
      </c>
      <c r="K109" s="354">
        <v>0.0</v>
      </c>
      <c r="L109" s="354">
        <v>0.0</v>
      </c>
      <c r="M109" s="354" t="s">
        <v>97</v>
      </c>
      <c r="N109" s="354" t="s">
        <v>97</v>
      </c>
      <c r="O109" s="354" t="s">
        <v>97</v>
      </c>
      <c r="P109" s="354" t="s">
        <v>97</v>
      </c>
      <c r="Q109" s="353">
        <v>0.0</v>
      </c>
      <c r="R109" s="353">
        <v>0.0</v>
      </c>
      <c r="S109" s="193">
        <f t="shared" si="2"/>
        <v>11</v>
      </c>
    </row>
    <row r="110" ht="15.75" hidden="1" customHeight="1">
      <c r="A110" s="347">
        <v>45967.0</v>
      </c>
      <c r="B110" s="353">
        <v>0.0</v>
      </c>
      <c r="C110" s="354">
        <v>2.0</v>
      </c>
      <c r="D110" s="354">
        <v>0.0</v>
      </c>
      <c r="E110" s="354">
        <v>0.0</v>
      </c>
      <c r="F110" s="354">
        <v>4.0</v>
      </c>
      <c r="G110" s="354">
        <v>0.0</v>
      </c>
      <c r="H110" s="355">
        <v>0.0</v>
      </c>
      <c r="I110" s="356" t="s">
        <v>97</v>
      </c>
      <c r="J110" s="353">
        <v>0.0</v>
      </c>
      <c r="K110" s="354">
        <v>0.0</v>
      </c>
      <c r="L110" s="354">
        <v>0.0</v>
      </c>
      <c r="M110" s="354" t="s">
        <v>97</v>
      </c>
      <c r="N110" s="354" t="s">
        <v>97</v>
      </c>
      <c r="O110" s="354" t="s">
        <v>97</v>
      </c>
      <c r="P110" s="354" t="s">
        <v>97</v>
      </c>
      <c r="Q110" s="353">
        <v>0.0</v>
      </c>
      <c r="R110" s="353">
        <v>0.0</v>
      </c>
      <c r="S110" s="193">
        <f t="shared" si="2"/>
        <v>11</v>
      </c>
    </row>
    <row r="111" ht="15.75" hidden="1" customHeight="1">
      <c r="A111" s="347">
        <v>45968.0</v>
      </c>
      <c r="B111" s="353">
        <v>1010800.0</v>
      </c>
      <c r="C111" s="354">
        <v>48.0</v>
      </c>
      <c r="D111" s="354">
        <v>1.0</v>
      </c>
      <c r="E111" s="354">
        <v>1.0</v>
      </c>
      <c r="F111" s="354">
        <v>62.0</v>
      </c>
      <c r="G111" s="354">
        <v>2.0</v>
      </c>
      <c r="H111" s="355">
        <v>0.0208</v>
      </c>
      <c r="I111" s="357">
        <v>1010800.0</v>
      </c>
      <c r="J111" s="353">
        <v>21058.33</v>
      </c>
      <c r="K111" s="354">
        <v>0.0</v>
      </c>
      <c r="L111" s="354">
        <v>0.0</v>
      </c>
      <c r="M111" s="354">
        <v>2.0</v>
      </c>
      <c r="N111" s="354">
        <v>1.0</v>
      </c>
      <c r="O111" s="353">
        <v>1010800.0</v>
      </c>
      <c r="P111" s="353">
        <v>2.0</v>
      </c>
      <c r="Q111" s="353">
        <v>0.0</v>
      </c>
      <c r="R111" s="353">
        <v>0.0</v>
      </c>
      <c r="S111" s="193">
        <f t="shared" si="2"/>
        <v>11</v>
      </c>
    </row>
    <row r="112" ht="15.75" hidden="1" customHeight="1">
      <c r="A112" s="347">
        <v>45969.0</v>
      </c>
      <c r="B112" s="358">
        <v>0.0</v>
      </c>
      <c r="C112" s="358">
        <v>295.0</v>
      </c>
      <c r="D112" s="358">
        <v>0.0</v>
      </c>
      <c r="E112" s="358">
        <v>0.0</v>
      </c>
      <c r="F112" s="358">
        <v>507.0</v>
      </c>
      <c r="G112" s="358">
        <v>0.0</v>
      </c>
      <c r="H112" s="359">
        <v>0.0</v>
      </c>
      <c r="I112" s="216" t="s">
        <v>97</v>
      </c>
      <c r="J112" s="358">
        <v>0.0</v>
      </c>
      <c r="K112" s="358">
        <v>1.0</v>
      </c>
      <c r="L112" s="358">
        <v>1.0</v>
      </c>
      <c r="M112" s="358" t="s">
        <v>97</v>
      </c>
      <c r="N112" s="358" t="s">
        <v>97</v>
      </c>
      <c r="O112" s="358" t="s">
        <v>97</v>
      </c>
      <c r="P112" s="358" t="s">
        <v>97</v>
      </c>
      <c r="Q112" s="358">
        <v>0.0</v>
      </c>
      <c r="R112" s="358">
        <v>0.0</v>
      </c>
      <c r="S112" s="193">
        <f t="shared" si="2"/>
        <v>11</v>
      </c>
    </row>
    <row r="113" ht="15.75" hidden="1" customHeight="1">
      <c r="A113" s="347">
        <v>45970.0</v>
      </c>
      <c r="B113" s="358">
        <v>0.0</v>
      </c>
      <c r="C113" s="358">
        <v>121.0</v>
      </c>
      <c r="D113" s="358">
        <v>0.0</v>
      </c>
      <c r="E113" s="358">
        <v>0.0</v>
      </c>
      <c r="F113" s="358">
        <v>167.0</v>
      </c>
      <c r="G113" s="358">
        <v>0.0</v>
      </c>
      <c r="H113" s="359">
        <v>0.0</v>
      </c>
      <c r="I113" s="216" t="s">
        <v>97</v>
      </c>
      <c r="J113" s="358">
        <v>0.0</v>
      </c>
      <c r="K113" s="358">
        <v>1.0</v>
      </c>
      <c r="L113" s="358">
        <v>2.0</v>
      </c>
      <c r="M113" s="358" t="s">
        <v>97</v>
      </c>
      <c r="N113" s="358" t="s">
        <v>97</v>
      </c>
      <c r="O113" s="358" t="s">
        <v>97</v>
      </c>
      <c r="P113" s="358" t="s">
        <v>97</v>
      </c>
      <c r="Q113" s="358">
        <v>0.0</v>
      </c>
      <c r="R113" s="358">
        <v>0.0</v>
      </c>
      <c r="S113" s="193">
        <f t="shared" si="2"/>
        <v>11</v>
      </c>
    </row>
    <row r="114" ht="15.75" hidden="1" customHeight="1">
      <c r="A114" s="347">
        <v>45971.0</v>
      </c>
      <c r="B114" s="358">
        <v>2806452.0</v>
      </c>
      <c r="C114" s="358">
        <v>13.0</v>
      </c>
      <c r="D114" s="358">
        <v>3.0</v>
      </c>
      <c r="E114" s="358">
        <v>3.0</v>
      </c>
      <c r="F114" s="358">
        <v>36.0</v>
      </c>
      <c r="G114" s="358">
        <v>4.0</v>
      </c>
      <c r="H114" s="359">
        <v>0.2308</v>
      </c>
      <c r="I114" s="216">
        <v>935484.0</v>
      </c>
      <c r="J114" s="358">
        <v>215880.92</v>
      </c>
      <c r="K114" s="358">
        <v>1.0</v>
      </c>
      <c r="L114" s="358">
        <v>2.0</v>
      </c>
      <c r="M114" s="358">
        <v>1.0</v>
      </c>
      <c r="N114" s="358">
        <v>1.0</v>
      </c>
      <c r="O114" s="358">
        <v>935484.0</v>
      </c>
      <c r="P114" s="358">
        <v>1.33</v>
      </c>
      <c r="Q114" s="358">
        <v>0.0</v>
      </c>
      <c r="R114" s="358">
        <v>0.0</v>
      </c>
      <c r="S114" s="193">
        <f t="shared" si="2"/>
        <v>11</v>
      </c>
    </row>
    <row r="115" ht="15.75" hidden="1" customHeight="1">
      <c r="A115" s="347">
        <v>45972.0</v>
      </c>
      <c r="B115" s="358">
        <v>910647.0</v>
      </c>
      <c r="C115" s="358">
        <v>31.0</v>
      </c>
      <c r="D115" s="358">
        <v>2.0</v>
      </c>
      <c r="E115" s="358">
        <v>2.0</v>
      </c>
      <c r="F115" s="358">
        <v>74.0</v>
      </c>
      <c r="G115" s="358">
        <v>2.0</v>
      </c>
      <c r="H115" s="359">
        <v>0.0645</v>
      </c>
      <c r="I115" s="216">
        <v>455323.5</v>
      </c>
      <c r="J115" s="358">
        <v>29375.71</v>
      </c>
      <c r="K115" s="358">
        <v>1.0</v>
      </c>
      <c r="L115" s="358">
        <v>1.0</v>
      </c>
      <c r="M115" s="358">
        <v>1.0</v>
      </c>
      <c r="N115" s="358">
        <v>1.0</v>
      </c>
      <c r="O115" s="358">
        <v>455323.5</v>
      </c>
      <c r="P115" s="358">
        <v>1.0</v>
      </c>
      <c r="Q115" s="358">
        <v>0.0</v>
      </c>
      <c r="R115" s="358">
        <v>0.0</v>
      </c>
      <c r="S115" s="193">
        <f t="shared" si="2"/>
        <v>11</v>
      </c>
    </row>
    <row r="116" ht="15.75" hidden="1" customHeight="1">
      <c r="A116" s="347">
        <v>45973.0</v>
      </c>
      <c r="B116" s="358">
        <v>0.0</v>
      </c>
      <c r="C116" s="358">
        <v>28.0</v>
      </c>
      <c r="D116" s="358">
        <v>0.0</v>
      </c>
      <c r="E116" s="358">
        <v>0.0</v>
      </c>
      <c r="F116" s="358">
        <v>46.0</v>
      </c>
      <c r="G116" s="358">
        <v>0.0</v>
      </c>
      <c r="H116" s="359">
        <v>0.0</v>
      </c>
      <c r="I116" s="216" t="s">
        <v>97</v>
      </c>
      <c r="J116" s="358">
        <v>0.0</v>
      </c>
      <c r="K116" s="358">
        <v>1.0</v>
      </c>
      <c r="L116" s="358">
        <v>1.0</v>
      </c>
      <c r="M116" s="358" t="s">
        <v>97</v>
      </c>
      <c r="N116" s="358" t="s">
        <v>97</v>
      </c>
      <c r="O116" s="358" t="s">
        <v>97</v>
      </c>
      <c r="P116" s="358" t="s">
        <v>97</v>
      </c>
      <c r="Q116" s="358">
        <v>0.0</v>
      </c>
      <c r="R116" s="358">
        <v>0.0</v>
      </c>
      <c r="S116" s="193">
        <f t="shared" si="2"/>
        <v>11</v>
      </c>
    </row>
    <row r="117" ht="15.75" hidden="1" customHeight="1">
      <c r="A117" s="347">
        <v>45974.0</v>
      </c>
      <c r="B117" s="358">
        <v>447115.0</v>
      </c>
      <c r="C117" s="358">
        <v>113.0</v>
      </c>
      <c r="D117" s="358">
        <v>1.0</v>
      </c>
      <c r="E117" s="358">
        <v>1.0</v>
      </c>
      <c r="F117" s="358">
        <v>168.0</v>
      </c>
      <c r="G117" s="358">
        <v>1.0</v>
      </c>
      <c r="H117" s="359">
        <v>0.0088</v>
      </c>
      <c r="I117" s="216">
        <v>447115.0</v>
      </c>
      <c r="J117" s="358">
        <v>3956.77</v>
      </c>
      <c r="K117" s="358">
        <v>2.0</v>
      </c>
      <c r="L117" s="358">
        <v>3.0</v>
      </c>
      <c r="M117" s="358">
        <v>1.0</v>
      </c>
      <c r="N117" s="358">
        <v>1.0</v>
      </c>
      <c r="O117" s="358">
        <v>447115.0</v>
      </c>
      <c r="P117" s="358">
        <v>1.0</v>
      </c>
      <c r="Q117" s="358">
        <v>447115.0</v>
      </c>
      <c r="R117" s="358">
        <v>0.0</v>
      </c>
      <c r="S117" s="193">
        <f t="shared" si="2"/>
        <v>11</v>
      </c>
    </row>
    <row r="118" ht="15.75" hidden="1" customHeight="1">
      <c r="A118" s="347">
        <v>45975.0</v>
      </c>
      <c r="B118" s="358">
        <v>1263433.0</v>
      </c>
      <c r="C118" s="358">
        <v>7.0</v>
      </c>
      <c r="D118" s="358">
        <v>1.0</v>
      </c>
      <c r="E118" s="358">
        <v>1.0</v>
      </c>
      <c r="F118" s="358">
        <v>33.0</v>
      </c>
      <c r="G118" s="358">
        <v>1.0</v>
      </c>
      <c r="H118" s="359">
        <v>0.1429</v>
      </c>
      <c r="I118" s="216">
        <v>1263433.0</v>
      </c>
      <c r="J118" s="358">
        <v>180490.43</v>
      </c>
      <c r="K118" s="358">
        <v>0.0</v>
      </c>
      <c r="L118" s="358">
        <v>0.0</v>
      </c>
      <c r="M118" s="358" t="s">
        <v>97</v>
      </c>
      <c r="N118" s="358" t="s">
        <v>97</v>
      </c>
      <c r="O118" s="358">
        <v>1263433.0</v>
      </c>
      <c r="P118" s="358">
        <v>1.0</v>
      </c>
      <c r="Q118" s="358">
        <v>0.0</v>
      </c>
      <c r="R118" s="358">
        <v>0.0</v>
      </c>
      <c r="S118" s="193">
        <f t="shared" si="2"/>
        <v>11</v>
      </c>
    </row>
    <row r="119" ht="15.75" hidden="1" customHeight="1">
      <c r="A119" s="347">
        <v>45976.0</v>
      </c>
      <c r="I119" s="216"/>
      <c r="S119" s="193">
        <f t="shared" si="2"/>
        <v>11</v>
      </c>
    </row>
    <row r="120" ht="15.75" hidden="1" customHeight="1">
      <c r="A120" s="347">
        <v>45977.0</v>
      </c>
      <c r="I120" s="216"/>
      <c r="S120" s="193">
        <f t="shared" si="2"/>
        <v>11</v>
      </c>
    </row>
    <row r="121" ht="15.75" hidden="1" customHeight="1">
      <c r="A121" s="347">
        <v>45978.0</v>
      </c>
      <c r="I121" s="216"/>
      <c r="S121" s="193">
        <f t="shared" si="2"/>
        <v>11</v>
      </c>
    </row>
    <row r="122" ht="15.75" hidden="1" customHeight="1">
      <c r="A122" s="347">
        <v>45979.0</v>
      </c>
      <c r="I122" s="216"/>
      <c r="S122" s="193">
        <f t="shared" si="2"/>
        <v>11</v>
      </c>
    </row>
    <row r="123" ht="15.75" hidden="1" customHeight="1">
      <c r="A123" s="347">
        <v>45980.0</v>
      </c>
      <c r="I123" s="216"/>
      <c r="S123" s="193">
        <f t="shared" si="2"/>
        <v>11</v>
      </c>
    </row>
    <row r="124" ht="15.75" hidden="1" customHeight="1">
      <c r="A124" s="347">
        <v>45981.0</v>
      </c>
      <c r="I124" s="216"/>
      <c r="S124" s="193">
        <f t="shared" si="2"/>
        <v>11</v>
      </c>
    </row>
    <row r="125" ht="15.75" hidden="1" customHeight="1">
      <c r="A125" s="347">
        <v>45982.0</v>
      </c>
      <c r="I125" s="216"/>
      <c r="S125" s="193">
        <f t="shared" si="2"/>
        <v>11</v>
      </c>
    </row>
    <row r="126" ht="15.75" hidden="1" customHeight="1">
      <c r="A126" s="347">
        <v>45983.0</v>
      </c>
      <c r="I126" s="216"/>
      <c r="S126" s="193">
        <f t="shared" si="2"/>
        <v>11</v>
      </c>
    </row>
    <row r="127" ht="15.75" hidden="1" customHeight="1">
      <c r="A127" s="347">
        <v>45984.0</v>
      </c>
      <c r="I127" s="216"/>
      <c r="S127" s="193">
        <f t="shared" si="2"/>
        <v>11</v>
      </c>
    </row>
    <row r="128" ht="15.75" hidden="1" customHeight="1">
      <c r="A128" s="347">
        <v>45985.0</v>
      </c>
      <c r="I128" s="216"/>
      <c r="S128" s="193">
        <f t="shared" si="2"/>
        <v>11</v>
      </c>
    </row>
    <row r="129" ht="15.75" hidden="1" customHeight="1">
      <c r="A129" s="347">
        <v>45986.0</v>
      </c>
      <c r="I129" s="216"/>
      <c r="S129" s="193">
        <f t="shared" si="2"/>
        <v>11</v>
      </c>
    </row>
    <row r="130" ht="15.75" hidden="1" customHeight="1">
      <c r="A130" s="347">
        <v>45987.0</v>
      </c>
      <c r="I130" s="216"/>
      <c r="S130" s="193">
        <f t="shared" si="2"/>
        <v>11</v>
      </c>
    </row>
    <row r="131" ht="15.75" hidden="1" customHeight="1">
      <c r="A131" s="347">
        <v>45988.0</v>
      </c>
      <c r="I131" s="216"/>
      <c r="S131" s="193">
        <f t="shared" si="2"/>
        <v>11</v>
      </c>
    </row>
    <row r="132" ht="15.75" hidden="1" customHeight="1">
      <c r="A132" s="347">
        <v>45989.0</v>
      </c>
      <c r="I132" s="216"/>
      <c r="S132" s="193">
        <f t="shared" si="2"/>
        <v>11</v>
      </c>
    </row>
    <row r="133" ht="15.75" hidden="1" customHeight="1">
      <c r="A133" s="347">
        <v>45990.0</v>
      </c>
      <c r="I133" s="216"/>
      <c r="S133" s="193">
        <f t="shared" si="2"/>
        <v>11</v>
      </c>
    </row>
    <row r="134" ht="15.75" hidden="1" customHeight="1">
      <c r="A134" s="347">
        <v>45991.0</v>
      </c>
      <c r="I134" s="216"/>
      <c r="S134" s="193">
        <f t="shared" si="2"/>
        <v>11</v>
      </c>
    </row>
    <row r="135" ht="15.75" customHeight="1">
      <c r="A135" s="360">
        <v>45992.0</v>
      </c>
      <c r="B135" s="361">
        <f t="shared" ref="B135:B196" si="4">T135-Q135</f>
        <v>0</v>
      </c>
      <c r="C135" s="361">
        <v>1.0</v>
      </c>
      <c r="D135" s="361">
        <v>0.0</v>
      </c>
      <c r="E135" s="361">
        <v>0.0</v>
      </c>
      <c r="F135" s="361">
        <v>4.0</v>
      </c>
      <c r="G135" s="361">
        <v>0.0</v>
      </c>
      <c r="H135" s="361" t="s">
        <v>143</v>
      </c>
      <c r="I135" s="362" t="s">
        <v>97</v>
      </c>
      <c r="J135" s="361">
        <v>0.0</v>
      </c>
      <c r="K135" s="361">
        <v>0.0</v>
      </c>
      <c r="L135" s="361">
        <v>0.0</v>
      </c>
      <c r="M135" s="361" t="s">
        <v>97</v>
      </c>
      <c r="N135" s="361" t="s">
        <v>97</v>
      </c>
      <c r="O135" s="361" t="s">
        <v>97</v>
      </c>
      <c r="P135" s="361" t="s">
        <v>97</v>
      </c>
      <c r="Q135" s="361">
        <v>0.0</v>
      </c>
      <c r="R135" s="361">
        <v>0.0</v>
      </c>
      <c r="S135" s="193">
        <f t="shared" si="2"/>
        <v>12</v>
      </c>
      <c r="T135" s="361">
        <v>0.0</v>
      </c>
      <c r="U135" s="361"/>
      <c r="V135" s="361"/>
      <c r="W135" s="361"/>
      <c r="X135" s="361"/>
      <c r="Y135" s="361"/>
      <c r="Z135" s="361"/>
    </row>
    <row r="136" ht="15.75" customHeight="1">
      <c r="A136" s="347">
        <v>45993.0</v>
      </c>
      <c r="B136" s="361">
        <f t="shared" si="4"/>
        <v>0</v>
      </c>
      <c r="C136" s="358">
        <v>2.0</v>
      </c>
      <c r="D136" s="358">
        <v>0.0</v>
      </c>
      <c r="E136" s="358">
        <v>0.0</v>
      </c>
      <c r="F136" s="358">
        <v>5.0</v>
      </c>
      <c r="G136" s="358">
        <v>0.0</v>
      </c>
      <c r="H136" s="358" t="s">
        <v>143</v>
      </c>
      <c r="I136" s="216" t="s">
        <v>97</v>
      </c>
      <c r="J136" s="358">
        <v>0.0</v>
      </c>
      <c r="K136" s="358">
        <v>0.0</v>
      </c>
      <c r="L136" s="358">
        <v>0.0</v>
      </c>
      <c r="M136" s="358" t="s">
        <v>97</v>
      </c>
      <c r="N136" s="358" t="s">
        <v>97</v>
      </c>
      <c r="O136" s="358" t="s">
        <v>97</v>
      </c>
      <c r="P136" s="358" t="s">
        <v>97</v>
      </c>
      <c r="Q136" s="358">
        <v>0.0</v>
      </c>
      <c r="R136" s="358">
        <v>0.0</v>
      </c>
      <c r="S136" s="193">
        <f t="shared" si="2"/>
        <v>12</v>
      </c>
      <c r="T136" s="358">
        <v>0.0</v>
      </c>
    </row>
    <row r="137" ht="15.75" customHeight="1">
      <c r="A137" s="347">
        <v>45994.0</v>
      </c>
      <c r="B137" s="361">
        <f t="shared" si="4"/>
        <v>0</v>
      </c>
      <c r="C137" s="358">
        <v>6.0</v>
      </c>
      <c r="D137" s="358">
        <v>0.0</v>
      </c>
      <c r="E137" s="358">
        <v>0.0</v>
      </c>
      <c r="F137" s="358">
        <v>8.0</v>
      </c>
      <c r="G137" s="358">
        <v>0.0</v>
      </c>
      <c r="H137" s="358" t="s">
        <v>143</v>
      </c>
      <c r="I137" s="216" t="s">
        <v>97</v>
      </c>
      <c r="J137" s="358">
        <v>0.0</v>
      </c>
      <c r="K137" s="358">
        <v>0.0</v>
      </c>
      <c r="L137" s="358">
        <v>0.0</v>
      </c>
      <c r="M137" s="358" t="s">
        <v>97</v>
      </c>
      <c r="N137" s="358" t="s">
        <v>97</v>
      </c>
      <c r="O137" s="358" t="s">
        <v>97</v>
      </c>
      <c r="P137" s="358" t="s">
        <v>97</v>
      </c>
      <c r="Q137" s="358">
        <v>0.0</v>
      </c>
      <c r="R137" s="358">
        <v>0.0</v>
      </c>
      <c r="S137" s="193">
        <f t="shared" si="2"/>
        <v>12</v>
      </c>
      <c r="T137" s="358">
        <v>0.0</v>
      </c>
    </row>
    <row r="138" ht="15.75" customHeight="1">
      <c r="A138" s="347">
        <v>45995.0</v>
      </c>
      <c r="B138" s="361">
        <f t="shared" si="4"/>
        <v>0</v>
      </c>
      <c r="C138" s="358">
        <v>7.0</v>
      </c>
      <c r="D138" s="358">
        <v>0.0</v>
      </c>
      <c r="E138" s="358">
        <v>0.0</v>
      </c>
      <c r="F138" s="358">
        <v>13.0</v>
      </c>
      <c r="G138" s="358">
        <v>0.0</v>
      </c>
      <c r="H138" s="358" t="s">
        <v>143</v>
      </c>
      <c r="I138" s="216" t="s">
        <v>97</v>
      </c>
      <c r="J138" s="358">
        <v>0.0</v>
      </c>
      <c r="K138" s="358">
        <v>0.0</v>
      </c>
      <c r="L138" s="358">
        <v>0.0</v>
      </c>
      <c r="M138" s="358" t="s">
        <v>97</v>
      </c>
      <c r="N138" s="358" t="s">
        <v>97</v>
      </c>
      <c r="O138" s="358" t="s">
        <v>97</v>
      </c>
      <c r="P138" s="358" t="s">
        <v>97</v>
      </c>
      <c r="Q138" s="358">
        <v>0.0</v>
      </c>
      <c r="R138" s="358">
        <v>0.0</v>
      </c>
      <c r="S138" s="193">
        <f t="shared" si="2"/>
        <v>12</v>
      </c>
      <c r="T138" s="358">
        <v>0.0</v>
      </c>
    </row>
    <row r="139" ht="15.75" customHeight="1">
      <c r="A139" s="347">
        <v>45996.0</v>
      </c>
      <c r="B139" s="361">
        <f t="shared" si="4"/>
        <v>0</v>
      </c>
      <c r="C139" s="358">
        <v>9.0</v>
      </c>
      <c r="D139" s="358">
        <v>0.0</v>
      </c>
      <c r="E139" s="358">
        <v>0.0</v>
      </c>
      <c r="F139" s="358">
        <v>22.0</v>
      </c>
      <c r="G139" s="358">
        <v>0.0</v>
      </c>
      <c r="H139" s="358" t="s">
        <v>143</v>
      </c>
      <c r="I139" s="216" t="s">
        <v>97</v>
      </c>
      <c r="J139" s="358">
        <v>0.0</v>
      </c>
      <c r="K139" s="358">
        <v>0.0</v>
      </c>
      <c r="L139" s="358">
        <v>0.0</v>
      </c>
      <c r="M139" s="358" t="s">
        <v>97</v>
      </c>
      <c r="N139" s="358" t="s">
        <v>97</v>
      </c>
      <c r="O139" s="358" t="s">
        <v>97</v>
      </c>
      <c r="P139" s="358" t="s">
        <v>97</v>
      </c>
      <c r="Q139" s="358">
        <v>0.0</v>
      </c>
      <c r="R139" s="358">
        <v>0.0</v>
      </c>
      <c r="S139" s="193">
        <f t="shared" si="2"/>
        <v>12</v>
      </c>
      <c r="T139" s="358">
        <v>0.0</v>
      </c>
    </row>
    <row r="140" ht="15.75" customHeight="1">
      <c r="A140" s="347">
        <v>45997.0</v>
      </c>
      <c r="B140" s="361">
        <f t="shared" si="4"/>
        <v>0</v>
      </c>
      <c r="C140" s="358">
        <v>13.0</v>
      </c>
      <c r="D140" s="358">
        <v>0.0</v>
      </c>
      <c r="E140" s="358">
        <v>0.0</v>
      </c>
      <c r="F140" s="358">
        <v>26.0</v>
      </c>
      <c r="G140" s="358">
        <v>0.0</v>
      </c>
      <c r="H140" s="358" t="s">
        <v>143</v>
      </c>
      <c r="I140" s="216" t="s">
        <v>97</v>
      </c>
      <c r="J140" s="358">
        <v>0.0</v>
      </c>
      <c r="K140" s="358">
        <v>0.0</v>
      </c>
      <c r="L140" s="358">
        <v>0.0</v>
      </c>
      <c r="M140" s="358" t="s">
        <v>97</v>
      </c>
      <c r="N140" s="358" t="s">
        <v>97</v>
      </c>
      <c r="O140" s="358" t="s">
        <v>97</v>
      </c>
      <c r="P140" s="358" t="s">
        <v>97</v>
      </c>
      <c r="Q140" s="358">
        <v>0.0</v>
      </c>
      <c r="R140" s="358">
        <v>0.0</v>
      </c>
      <c r="S140" s="193">
        <f t="shared" si="2"/>
        <v>12</v>
      </c>
      <c r="T140" s="358">
        <v>0.0</v>
      </c>
    </row>
    <row r="141" ht="15.75" customHeight="1">
      <c r="A141" s="347">
        <v>45998.0</v>
      </c>
      <c r="B141" s="361">
        <f t="shared" si="4"/>
        <v>0</v>
      </c>
      <c r="C141" s="358">
        <v>89.0</v>
      </c>
      <c r="D141" s="358">
        <v>0.0</v>
      </c>
      <c r="E141" s="358">
        <v>0.0</v>
      </c>
      <c r="F141" s="358">
        <v>100.0</v>
      </c>
      <c r="G141" s="358">
        <v>0.0</v>
      </c>
      <c r="H141" s="358" t="s">
        <v>143</v>
      </c>
      <c r="I141" s="216" t="s">
        <v>97</v>
      </c>
      <c r="J141" s="358">
        <v>0.0</v>
      </c>
      <c r="K141" s="358">
        <v>1.0</v>
      </c>
      <c r="L141" s="358">
        <v>1.0</v>
      </c>
      <c r="M141" s="358" t="s">
        <v>97</v>
      </c>
      <c r="N141" s="358" t="s">
        <v>97</v>
      </c>
      <c r="O141" s="358" t="s">
        <v>97</v>
      </c>
      <c r="P141" s="358" t="s">
        <v>97</v>
      </c>
      <c r="Q141" s="358">
        <v>0.0</v>
      </c>
      <c r="R141" s="358">
        <v>0.0</v>
      </c>
      <c r="S141" s="193">
        <f t="shared" si="2"/>
        <v>12</v>
      </c>
      <c r="T141" s="358">
        <v>0.0</v>
      </c>
    </row>
    <row r="142" ht="15.75" customHeight="1">
      <c r="A142" s="347">
        <v>45999.0</v>
      </c>
      <c r="B142" s="361">
        <f t="shared" si="4"/>
        <v>0</v>
      </c>
      <c r="C142" s="358">
        <v>67.0</v>
      </c>
      <c r="D142" s="358">
        <v>0.0</v>
      </c>
      <c r="E142" s="358">
        <v>0.0</v>
      </c>
      <c r="F142" s="358">
        <v>111.0</v>
      </c>
      <c r="G142" s="358">
        <v>0.0</v>
      </c>
      <c r="H142" s="358" t="s">
        <v>143</v>
      </c>
      <c r="I142" s="216" t="s">
        <v>97</v>
      </c>
      <c r="J142" s="358">
        <v>0.0</v>
      </c>
      <c r="K142" s="358">
        <v>0.0</v>
      </c>
      <c r="L142" s="358">
        <v>0.0</v>
      </c>
      <c r="M142" s="358" t="s">
        <v>97</v>
      </c>
      <c r="N142" s="358" t="s">
        <v>97</v>
      </c>
      <c r="O142" s="358" t="s">
        <v>97</v>
      </c>
      <c r="P142" s="358" t="s">
        <v>97</v>
      </c>
      <c r="Q142" s="358">
        <v>0.0</v>
      </c>
      <c r="R142" s="358">
        <v>0.0</v>
      </c>
      <c r="S142" s="193">
        <f t="shared" si="2"/>
        <v>12</v>
      </c>
      <c r="T142" s="358">
        <v>0.0</v>
      </c>
    </row>
    <row r="143" ht="15.75" customHeight="1">
      <c r="A143" s="347">
        <v>46000.0</v>
      </c>
      <c r="B143" s="361">
        <f t="shared" si="4"/>
        <v>0</v>
      </c>
      <c r="C143" s="358">
        <v>52.0</v>
      </c>
      <c r="D143" s="358">
        <v>1.0</v>
      </c>
      <c r="E143" s="358">
        <v>1.0</v>
      </c>
      <c r="F143" s="358">
        <v>111.0</v>
      </c>
      <c r="G143" s="358">
        <v>1.0</v>
      </c>
      <c r="H143" s="358" t="s">
        <v>123</v>
      </c>
      <c r="I143" s="216">
        <v>166500.0</v>
      </c>
      <c r="J143" s="358" t="s">
        <v>912</v>
      </c>
      <c r="K143" s="358">
        <v>3.0</v>
      </c>
      <c r="L143" s="358">
        <v>3.0</v>
      </c>
      <c r="M143" s="358">
        <v>1.0</v>
      </c>
      <c r="N143" s="358">
        <v>1.0</v>
      </c>
      <c r="O143" s="358">
        <v>166500.0</v>
      </c>
      <c r="P143" s="358">
        <v>1.0</v>
      </c>
      <c r="Q143" s="358">
        <v>166500.0</v>
      </c>
      <c r="R143" s="358">
        <v>0.0</v>
      </c>
      <c r="S143" s="193">
        <f t="shared" si="2"/>
        <v>12</v>
      </c>
      <c r="T143" s="358">
        <v>166500.0</v>
      </c>
    </row>
    <row r="144" ht="15.75" customHeight="1">
      <c r="A144" s="347">
        <v>46001.0</v>
      </c>
      <c r="B144" s="361">
        <f t="shared" si="4"/>
        <v>0</v>
      </c>
      <c r="C144" s="358">
        <v>193.0</v>
      </c>
      <c r="D144" s="358">
        <v>0.0</v>
      </c>
      <c r="E144" s="358">
        <v>0.0</v>
      </c>
      <c r="F144" s="358">
        <v>263.0</v>
      </c>
      <c r="G144" s="358">
        <v>0.0</v>
      </c>
      <c r="H144" s="358" t="s">
        <v>143</v>
      </c>
      <c r="I144" s="216" t="s">
        <v>97</v>
      </c>
      <c r="J144" s="358">
        <v>0.0</v>
      </c>
      <c r="K144" s="358">
        <v>4.0</v>
      </c>
      <c r="L144" s="358">
        <v>4.0</v>
      </c>
      <c r="M144" s="358" t="s">
        <v>97</v>
      </c>
      <c r="N144" s="358" t="s">
        <v>97</v>
      </c>
      <c r="O144" s="358" t="s">
        <v>97</v>
      </c>
      <c r="P144" s="358" t="s">
        <v>97</v>
      </c>
      <c r="Q144" s="358">
        <v>0.0</v>
      </c>
      <c r="R144" s="358">
        <v>0.0</v>
      </c>
      <c r="S144" s="193">
        <f t="shared" si="2"/>
        <v>12</v>
      </c>
      <c r="T144" s="358">
        <v>0.0</v>
      </c>
    </row>
    <row r="145" ht="15.75" customHeight="1">
      <c r="A145" s="347">
        <v>46002.0</v>
      </c>
      <c r="B145" s="361">
        <f t="shared" si="4"/>
        <v>875162</v>
      </c>
      <c r="C145" s="358">
        <v>218.0</v>
      </c>
      <c r="D145" s="358">
        <v>2.0</v>
      </c>
      <c r="E145" s="358">
        <v>2.0</v>
      </c>
      <c r="F145" s="358">
        <v>320.0</v>
      </c>
      <c r="G145" s="358">
        <v>3.0</v>
      </c>
      <c r="H145" s="358" t="s">
        <v>913</v>
      </c>
      <c r="I145" s="216">
        <v>437581.0</v>
      </c>
      <c r="J145" s="363">
        <v>772245.0</v>
      </c>
      <c r="K145" s="358">
        <v>2.0</v>
      </c>
      <c r="L145" s="358">
        <v>3.0</v>
      </c>
      <c r="M145" s="358">
        <v>1.0</v>
      </c>
      <c r="N145" s="358">
        <v>1.0</v>
      </c>
      <c r="O145" s="358">
        <v>437581.0</v>
      </c>
      <c r="P145" s="364">
        <v>45778.0</v>
      </c>
      <c r="Q145" s="358">
        <v>0.0</v>
      </c>
      <c r="R145" s="358">
        <v>0.0</v>
      </c>
      <c r="S145" s="193">
        <f t="shared" si="2"/>
        <v>12</v>
      </c>
      <c r="T145" s="358">
        <v>875162.0</v>
      </c>
    </row>
    <row r="146" ht="15.75" customHeight="1">
      <c r="A146" s="347">
        <v>46003.0</v>
      </c>
      <c r="B146" s="361">
        <f t="shared" si="4"/>
        <v>3399347</v>
      </c>
      <c r="C146" s="358">
        <v>154.0</v>
      </c>
      <c r="D146" s="358">
        <v>4.0</v>
      </c>
      <c r="E146" s="358">
        <v>4.0</v>
      </c>
      <c r="F146" s="358">
        <v>291.0</v>
      </c>
      <c r="G146" s="358">
        <v>7.0</v>
      </c>
      <c r="H146" s="358" t="s">
        <v>914</v>
      </c>
      <c r="I146" s="216" t="s">
        <v>915</v>
      </c>
      <c r="J146" s="358" t="s">
        <v>916</v>
      </c>
      <c r="K146" s="358">
        <v>5.0</v>
      </c>
      <c r="L146" s="358">
        <v>18.0</v>
      </c>
      <c r="M146" s="358">
        <v>2.0</v>
      </c>
      <c r="N146" s="358">
        <v>2.0</v>
      </c>
      <c r="O146" s="358" t="s">
        <v>915</v>
      </c>
      <c r="P146" s="358" t="s">
        <v>917</v>
      </c>
      <c r="Q146" s="358">
        <v>231786.0</v>
      </c>
      <c r="R146" s="358">
        <v>0.0</v>
      </c>
      <c r="S146" s="193">
        <f t="shared" si="2"/>
        <v>12</v>
      </c>
      <c r="T146" s="358">
        <v>3631133.0</v>
      </c>
    </row>
    <row r="147" ht="15.75" customHeight="1">
      <c r="A147" s="347">
        <v>46004.0</v>
      </c>
      <c r="B147" s="361">
        <f t="shared" si="4"/>
        <v>0</v>
      </c>
      <c r="C147" s="358">
        <v>153.0</v>
      </c>
      <c r="D147" s="358">
        <v>0.0</v>
      </c>
      <c r="E147" s="358">
        <v>0.0</v>
      </c>
      <c r="F147" s="358">
        <v>207.0</v>
      </c>
      <c r="G147" s="358">
        <v>0.0</v>
      </c>
      <c r="H147" s="358" t="s">
        <v>143</v>
      </c>
      <c r="I147" s="216" t="s">
        <v>97</v>
      </c>
      <c r="J147" s="358">
        <v>0.0</v>
      </c>
      <c r="K147" s="358">
        <v>1.0</v>
      </c>
      <c r="L147" s="358">
        <v>2.0</v>
      </c>
      <c r="M147" s="358">
        <v>1.0</v>
      </c>
      <c r="N147" s="358">
        <v>1.0</v>
      </c>
      <c r="O147" s="358" t="s">
        <v>97</v>
      </c>
      <c r="P147" s="358" t="s">
        <v>97</v>
      </c>
      <c r="Q147" s="358">
        <v>0.0</v>
      </c>
      <c r="R147" s="358">
        <v>0.0</v>
      </c>
      <c r="S147" s="193">
        <f t="shared" si="2"/>
        <v>12</v>
      </c>
      <c r="T147" s="358">
        <v>0.0</v>
      </c>
    </row>
    <row r="148" ht="15.75" customHeight="1">
      <c r="A148" s="347">
        <v>46005.0</v>
      </c>
      <c r="B148" s="361">
        <f t="shared" si="4"/>
        <v>0</v>
      </c>
      <c r="C148" s="358">
        <v>169.0</v>
      </c>
      <c r="D148" s="358">
        <v>0.0</v>
      </c>
      <c r="E148" s="358">
        <v>0.0</v>
      </c>
      <c r="F148" s="358">
        <v>244.0</v>
      </c>
      <c r="G148" s="358">
        <v>0.0</v>
      </c>
      <c r="H148" s="358" t="s">
        <v>143</v>
      </c>
      <c r="I148" s="216" t="s">
        <v>97</v>
      </c>
      <c r="J148" s="358">
        <v>0.0</v>
      </c>
      <c r="K148" s="358">
        <v>2.0</v>
      </c>
      <c r="L148" s="358">
        <v>2.0</v>
      </c>
      <c r="M148" s="358" t="s">
        <v>97</v>
      </c>
      <c r="N148" s="358" t="s">
        <v>97</v>
      </c>
      <c r="O148" s="358" t="s">
        <v>97</v>
      </c>
      <c r="P148" s="358" t="s">
        <v>97</v>
      </c>
      <c r="Q148" s="358">
        <v>0.0</v>
      </c>
      <c r="R148" s="358">
        <v>0.0</v>
      </c>
      <c r="S148" s="193">
        <f t="shared" si="2"/>
        <v>12</v>
      </c>
      <c r="T148" s="358">
        <v>0.0</v>
      </c>
    </row>
    <row r="149" ht="15.75" customHeight="1">
      <c r="A149" s="347">
        <v>46006.0</v>
      </c>
      <c r="B149" s="361">
        <f t="shared" si="4"/>
        <v>550200</v>
      </c>
      <c r="C149" s="358">
        <v>97.0</v>
      </c>
      <c r="D149" s="358">
        <v>1.0</v>
      </c>
      <c r="E149" s="358">
        <v>1.0</v>
      </c>
      <c r="F149" s="358">
        <v>113.0</v>
      </c>
      <c r="G149" s="358">
        <v>1.0</v>
      </c>
      <c r="H149" s="358" t="s">
        <v>918</v>
      </c>
      <c r="I149" s="216">
        <v>550200.0</v>
      </c>
      <c r="J149" s="358" t="s">
        <v>919</v>
      </c>
      <c r="K149" s="358">
        <v>0.0</v>
      </c>
      <c r="L149" s="358">
        <v>0.0</v>
      </c>
      <c r="M149" s="358">
        <v>1.0</v>
      </c>
      <c r="N149" s="358">
        <v>1.0</v>
      </c>
      <c r="O149" s="358">
        <v>550200.0</v>
      </c>
      <c r="P149" s="358">
        <v>1.0</v>
      </c>
      <c r="Q149" s="358">
        <v>0.0</v>
      </c>
      <c r="R149" s="358">
        <v>0.0</v>
      </c>
      <c r="S149" s="193">
        <f t="shared" si="2"/>
        <v>12</v>
      </c>
      <c r="T149" s="358">
        <v>550200.0</v>
      </c>
    </row>
    <row r="150" ht="15.75" customHeight="1">
      <c r="A150" s="347">
        <v>46007.0</v>
      </c>
      <c r="B150" s="361">
        <f t="shared" si="4"/>
        <v>0</v>
      </c>
      <c r="C150" s="358">
        <v>99.0</v>
      </c>
      <c r="D150" s="358">
        <v>0.0</v>
      </c>
      <c r="E150" s="358">
        <v>0.0</v>
      </c>
      <c r="F150" s="358">
        <v>135.0</v>
      </c>
      <c r="G150" s="358">
        <v>0.0</v>
      </c>
      <c r="H150" s="358" t="s">
        <v>143</v>
      </c>
      <c r="I150" s="216" t="s">
        <v>97</v>
      </c>
      <c r="J150" s="358">
        <v>0.0</v>
      </c>
      <c r="K150" s="358">
        <v>0.0</v>
      </c>
      <c r="L150" s="358">
        <v>0.0</v>
      </c>
      <c r="M150" s="358" t="s">
        <v>97</v>
      </c>
      <c r="N150" s="358" t="s">
        <v>97</v>
      </c>
      <c r="O150" s="358" t="s">
        <v>97</v>
      </c>
      <c r="P150" s="358" t="s">
        <v>97</v>
      </c>
      <c r="Q150" s="358">
        <v>0.0</v>
      </c>
      <c r="R150" s="358">
        <v>0.0</v>
      </c>
      <c r="S150" s="193">
        <f t="shared" si="2"/>
        <v>12</v>
      </c>
      <c r="T150" s="358">
        <v>0.0</v>
      </c>
    </row>
    <row r="151" ht="15.75" customHeight="1">
      <c r="A151" s="347">
        <v>46008.0</v>
      </c>
      <c r="B151" s="361">
        <f t="shared" si="4"/>
        <v>0</v>
      </c>
      <c r="C151" s="358">
        <v>71.0</v>
      </c>
      <c r="D151" s="358">
        <v>0.0</v>
      </c>
      <c r="E151" s="358">
        <v>0.0</v>
      </c>
      <c r="F151" s="358">
        <v>111.0</v>
      </c>
      <c r="G151" s="358">
        <v>0.0</v>
      </c>
      <c r="H151" s="358" t="s">
        <v>143</v>
      </c>
      <c r="I151" s="216" t="s">
        <v>97</v>
      </c>
      <c r="J151" s="358">
        <v>0.0</v>
      </c>
      <c r="K151" s="358">
        <v>0.0</v>
      </c>
      <c r="L151" s="358">
        <v>0.0</v>
      </c>
      <c r="M151" s="358">
        <v>1.0</v>
      </c>
      <c r="N151" s="358">
        <v>1.0</v>
      </c>
      <c r="O151" s="358" t="s">
        <v>97</v>
      </c>
      <c r="P151" s="358" t="s">
        <v>97</v>
      </c>
      <c r="Q151" s="358">
        <v>0.0</v>
      </c>
      <c r="R151" s="358">
        <v>0.0</v>
      </c>
      <c r="S151" s="193">
        <f t="shared" si="2"/>
        <v>12</v>
      </c>
      <c r="T151" s="358">
        <v>0.0</v>
      </c>
    </row>
    <row r="152" ht="15.75" customHeight="1">
      <c r="A152" s="347">
        <v>46009.0</v>
      </c>
      <c r="B152" s="361">
        <f t="shared" si="4"/>
        <v>0</v>
      </c>
      <c r="C152" s="358">
        <v>119.0</v>
      </c>
      <c r="D152" s="358">
        <v>0.0</v>
      </c>
      <c r="E152" s="358">
        <v>0.0</v>
      </c>
      <c r="F152" s="358">
        <v>146.0</v>
      </c>
      <c r="G152" s="358">
        <v>0.0</v>
      </c>
      <c r="H152" s="358" t="s">
        <v>143</v>
      </c>
      <c r="I152" s="216" t="s">
        <v>97</v>
      </c>
      <c r="J152" s="358">
        <v>0.0</v>
      </c>
      <c r="K152" s="358">
        <v>2.0</v>
      </c>
      <c r="L152" s="358">
        <v>2.0</v>
      </c>
      <c r="M152" s="358" t="s">
        <v>97</v>
      </c>
      <c r="N152" s="358" t="s">
        <v>97</v>
      </c>
      <c r="O152" s="358" t="s">
        <v>97</v>
      </c>
      <c r="P152" s="358" t="s">
        <v>97</v>
      </c>
      <c r="Q152" s="358">
        <v>0.0</v>
      </c>
      <c r="R152" s="358">
        <v>0.0</v>
      </c>
      <c r="S152" s="193">
        <f t="shared" si="2"/>
        <v>12</v>
      </c>
      <c r="T152" s="358">
        <v>0.0</v>
      </c>
    </row>
    <row r="153" ht="15.75" customHeight="1">
      <c r="A153" s="347">
        <v>46010.0</v>
      </c>
      <c r="B153" s="361">
        <f t="shared" si="4"/>
        <v>0</v>
      </c>
      <c r="C153" s="358">
        <v>70.0</v>
      </c>
      <c r="D153" s="358">
        <v>0.0</v>
      </c>
      <c r="E153" s="358">
        <v>0.0</v>
      </c>
      <c r="F153" s="358">
        <v>79.0</v>
      </c>
      <c r="G153" s="358">
        <v>0.0</v>
      </c>
      <c r="H153" s="358" t="s">
        <v>143</v>
      </c>
      <c r="I153" s="216" t="s">
        <v>97</v>
      </c>
      <c r="J153" s="358">
        <v>0.0</v>
      </c>
      <c r="K153" s="358">
        <v>0.0</v>
      </c>
      <c r="L153" s="358">
        <v>0.0</v>
      </c>
      <c r="M153" s="358" t="s">
        <v>97</v>
      </c>
      <c r="N153" s="358" t="s">
        <v>97</v>
      </c>
      <c r="O153" s="358" t="s">
        <v>97</v>
      </c>
      <c r="P153" s="358" t="s">
        <v>97</v>
      </c>
      <c r="Q153" s="358">
        <v>0.0</v>
      </c>
      <c r="R153" s="358">
        <v>0.0</v>
      </c>
      <c r="S153" s="193">
        <f t="shared" si="2"/>
        <v>12</v>
      </c>
      <c r="T153" s="358">
        <v>0.0</v>
      </c>
    </row>
    <row r="154" ht="15.75" customHeight="1">
      <c r="A154" s="347">
        <v>46011.0</v>
      </c>
      <c r="B154" s="361">
        <f t="shared" si="4"/>
        <v>0</v>
      </c>
      <c r="C154" s="358">
        <v>113.0</v>
      </c>
      <c r="D154" s="358">
        <v>0.0</v>
      </c>
      <c r="E154" s="358">
        <v>0.0</v>
      </c>
      <c r="F154" s="358">
        <v>132.0</v>
      </c>
      <c r="G154" s="358">
        <v>0.0</v>
      </c>
      <c r="H154" s="358" t="s">
        <v>143</v>
      </c>
      <c r="I154" s="216" t="s">
        <v>97</v>
      </c>
      <c r="J154" s="358">
        <v>0.0</v>
      </c>
      <c r="K154" s="358">
        <v>0.0</v>
      </c>
      <c r="L154" s="358">
        <v>0.0</v>
      </c>
      <c r="M154" s="358" t="s">
        <v>97</v>
      </c>
      <c r="N154" s="358" t="s">
        <v>97</v>
      </c>
      <c r="O154" s="358" t="s">
        <v>97</v>
      </c>
      <c r="P154" s="358" t="s">
        <v>97</v>
      </c>
      <c r="Q154" s="358">
        <v>0.0</v>
      </c>
      <c r="R154" s="358">
        <v>0.0</v>
      </c>
      <c r="S154" s="193">
        <f t="shared" si="2"/>
        <v>12</v>
      </c>
      <c r="T154" s="358">
        <v>0.0</v>
      </c>
    </row>
    <row r="155" ht="15.75" customHeight="1">
      <c r="A155" s="347">
        <v>46012.0</v>
      </c>
      <c r="B155" s="361">
        <f t="shared" si="4"/>
        <v>873600</v>
      </c>
      <c r="C155" s="358">
        <v>79.0</v>
      </c>
      <c r="D155" s="358">
        <v>1.0</v>
      </c>
      <c r="E155" s="358">
        <v>1.0</v>
      </c>
      <c r="F155" s="358">
        <v>130.0</v>
      </c>
      <c r="G155" s="358">
        <v>1.0</v>
      </c>
      <c r="H155" s="358" t="s">
        <v>510</v>
      </c>
      <c r="I155" s="216">
        <v>873600.0</v>
      </c>
      <c r="J155" s="358" t="s">
        <v>920</v>
      </c>
      <c r="K155" s="358">
        <v>3.0</v>
      </c>
      <c r="L155" s="358">
        <v>3.0</v>
      </c>
      <c r="M155" s="358">
        <v>1.0</v>
      </c>
      <c r="N155" s="358">
        <v>1.0</v>
      </c>
      <c r="O155" s="358">
        <v>873600.0</v>
      </c>
      <c r="P155" s="358">
        <v>1.0</v>
      </c>
      <c r="Q155" s="358">
        <v>0.0</v>
      </c>
      <c r="R155" s="358">
        <v>0.0</v>
      </c>
      <c r="S155" s="193">
        <f t="shared" si="2"/>
        <v>12</v>
      </c>
      <c r="T155" s="358">
        <v>873600.0</v>
      </c>
    </row>
    <row r="156" ht="15.75" customHeight="1">
      <c r="A156" s="347">
        <v>46013.0</v>
      </c>
      <c r="B156" s="361">
        <f t="shared" si="4"/>
        <v>0</v>
      </c>
      <c r="I156" s="216"/>
      <c r="S156" s="193">
        <f t="shared" si="2"/>
        <v>12</v>
      </c>
    </row>
    <row r="157" ht="15.75" customHeight="1">
      <c r="A157" s="347">
        <v>46014.0</v>
      </c>
      <c r="B157" s="361">
        <f t="shared" si="4"/>
        <v>0</v>
      </c>
      <c r="I157" s="216"/>
      <c r="S157" s="193">
        <f t="shared" si="2"/>
        <v>12</v>
      </c>
    </row>
    <row r="158" ht="15.75" customHeight="1">
      <c r="A158" s="347">
        <v>46015.0</v>
      </c>
      <c r="B158" s="361">
        <f t="shared" si="4"/>
        <v>0</v>
      </c>
      <c r="I158" s="216"/>
      <c r="S158" s="193">
        <f t="shared" si="2"/>
        <v>12</v>
      </c>
    </row>
    <row r="159" ht="15.75" customHeight="1">
      <c r="A159" s="347">
        <v>46016.0</v>
      </c>
      <c r="B159" s="361">
        <f t="shared" si="4"/>
        <v>0</v>
      </c>
      <c r="I159" s="216"/>
      <c r="S159" s="193">
        <f t="shared" si="2"/>
        <v>12</v>
      </c>
    </row>
    <row r="160" ht="15.75" customHeight="1">
      <c r="A160" s="347">
        <v>46017.0</v>
      </c>
      <c r="B160" s="361">
        <f t="shared" si="4"/>
        <v>0</v>
      </c>
      <c r="I160" s="216"/>
      <c r="S160" s="193">
        <f t="shared" si="2"/>
        <v>12</v>
      </c>
    </row>
    <row r="161" ht="15.75" customHeight="1">
      <c r="A161" s="347">
        <v>46018.0</v>
      </c>
      <c r="B161" s="361">
        <f t="shared" si="4"/>
        <v>0</v>
      </c>
      <c r="I161" s="216"/>
      <c r="S161" s="193">
        <f t="shared" si="2"/>
        <v>12</v>
      </c>
    </row>
    <row r="162" ht="15.75" customHeight="1">
      <c r="A162" s="347">
        <v>46019.0</v>
      </c>
      <c r="B162" s="361">
        <f t="shared" si="4"/>
        <v>0</v>
      </c>
      <c r="I162" s="216"/>
      <c r="S162" s="193">
        <f t="shared" si="2"/>
        <v>12</v>
      </c>
    </row>
    <row r="163" ht="15.75" customHeight="1">
      <c r="A163" s="347">
        <v>46020.0</v>
      </c>
      <c r="B163" s="361">
        <f t="shared" si="4"/>
        <v>0</v>
      </c>
      <c r="I163" s="216"/>
      <c r="S163" s="193">
        <f t="shared" si="2"/>
        <v>12</v>
      </c>
    </row>
    <row r="164" ht="15.75" customHeight="1">
      <c r="A164" s="347">
        <v>46021.0</v>
      </c>
      <c r="B164" s="361">
        <f t="shared" si="4"/>
        <v>0</v>
      </c>
      <c r="I164" s="216"/>
      <c r="S164" s="193">
        <f t="shared" si="2"/>
        <v>12</v>
      </c>
    </row>
    <row r="165" ht="15.75" customHeight="1">
      <c r="A165" s="347">
        <v>46022.0</v>
      </c>
      <c r="B165" s="361">
        <f t="shared" si="4"/>
        <v>0</v>
      </c>
      <c r="I165" s="216"/>
      <c r="S165" s="193">
        <f t="shared" si="2"/>
        <v>12</v>
      </c>
    </row>
    <row r="166" ht="15.75" customHeight="1">
      <c r="A166" s="360">
        <v>46023.0</v>
      </c>
      <c r="B166" s="361">
        <f t="shared" si="4"/>
        <v>0</v>
      </c>
      <c r="C166" s="361">
        <v>9.0</v>
      </c>
      <c r="D166" s="361">
        <v>1.0</v>
      </c>
      <c r="E166" s="361">
        <v>1.0</v>
      </c>
      <c r="F166" s="361">
        <v>25.0</v>
      </c>
      <c r="G166" s="361">
        <v>1.0</v>
      </c>
      <c r="H166" s="361" t="s">
        <v>921</v>
      </c>
      <c r="I166" s="362">
        <v>238700.0</v>
      </c>
      <c r="J166" s="361" t="s">
        <v>922</v>
      </c>
      <c r="K166" s="361">
        <v>1.0</v>
      </c>
      <c r="L166" s="361">
        <v>1.0</v>
      </c>
      <c r="M166" s="361">
        <v>1.0</v>
      </c>
      <c r="N166" s="361">
        <v>1.0</v>
      </c>
      <c r="O166" s="361">
        <v>238700.0</v>
      </c>
      <c r="P166" s="361">
        <v>1.0</v>
      </c>
      <c r="Q166" s="361">
        <v>238700.0</v>
      </c>
      <c r="R166" s="361">
        <v>0.0</v>
      </c>
      <c r="S166" s="193">
        <f t="shared" si="2"/>
        <v>1</v>
      </c>
      <c r="T166" s="361">
        <v>238700.0</v>
      </c>
      <c r="U166" s="361"/>
      <c r="V166" s="361"/>
      <c r="W166" s="361"/>
      <c r="X166" s="361"/>
      <c r="Y166" s="361"/>
      <c r="Z166" s="361"/>
    </row>
    <row r="167" ht="15.75" customHeight="1">
      <c r="A167" s="347">
        <v>46024.0</v>
      </c>
      <c r="B167" s="361">
        <f t="shared" si="4"/>
        <v>0</v>
      </c>
      <c r="C167" s="358">
        <v>11.0</v>
      </c>
      <c r="D167" s="358">
        <v>0.0</v>
      </c>
      <c r="E167" s="358">
        <v>0.0</v>
      </c>
      <c r="F167" s="358">
        <v>16.0</v>
      </c>
      <c r="G167" s="358">
        <v>0.0</v>
      </c>
      <c r="H167" s="358" t="s">
        <v>143</v>
      </c>
      <c r="I167" s="216" t="s">
        <v>97</v>
      </c>
      <c r="J167" s="358">
        <v>0.0</v>
      </c>
      <c r="K167" s="358">
        <v>0.0</v>
      </c>
      <c r="L167" s="358">
        <v>0.0</v>
      </c>
      <c r="M167" s="358" t="s">
        <v>97</v>
      </c>
      <c r="N167" s="358" t="s">
        <v>97</v>
      </c>
      <c r="O167" s="358" t="s">
        <v>97</v>
      </c>
      <c r="P167" s="358" t="s">
        <v>97</v>
      </c>
      <c r="Q167" s="358">
        <v>0.0</v>
      </c>
      <c r="R167" s="358">
        <v>0.0</v>
      </c>
      <c r="S167" s="193">
        <f t="shared" si="2"/>
        <v>1</v>
      </c>
      <c r="T167" s="358">
        <v>0.0</v>
      </c>
    </row>
    <row r="168" ht="15.75" customHeight="1">
      <c r="A168" s="347">
        <v>46025.0</v>
      </c>
      <c r="B168" s="361">
        <f t="shared" si="4"/>
        <v>868600</v>
      </c>
      <c r="C168" s="358">
        <v>3.0</v>
      </c>
      <c r="D168" s="358">
        <v>1.0</v>
      </c>
      <c r="E168" s="358">
        <v>2.0</v>
      </c>
      <c r="F168" s="358">
        <v>94.0</v>
      </c>
      <c r="G168" s="358">
        <v>2.0</v>
      </c>
      <c r="H168" s="358" t="s">
        <v>891</v>
      </c>
      <c r="I168" s="216">
        <v>1737200.0</v>
      </c>
      <c r="J168" s="358" t="s">
        <v>923</v>
      </c>
      <c r="K168" s="358">
        <v>2.0</v>
      </c>
      <c r="L168" s="358">
        <v>2.0</v>
      </c>
      <c r="M168" s="358">
        <v>1.0</v>
      </c>
      <c r="N168" s="358">
        <v>1.0</v>
      </c>
      <c r="O168" s="358">
        <v>868600.0</v>
      </c>
      <c r="P168" s="358">
        <v>1.0</v>
      </c>
      <c r="Q168" s="358">
        <v>868600.0</v>
      </c>
      <c r="R168" s="358">
        <v>0.0</v>
      </c>
      <c r="S168" s="193">
        <f t="shared" si="2"/>
        <v>1</v>
      </c>
      <c r="T168" s="358">
        <v>1737200.0</v>
      </c>
    </row>
    <row r="169" ht="15.75" customHeight="1">
      <c r="A169" s="347">
        <v>46026.0</v>
      </c>
      <c r="B169" s="361">
        <f t="shared" si="4"/>
        <v>0</v>
      </c>
      <c r="C169" s="358">
        <v>7.0</v>
      </c>
      <c r="D169" s="358">
        <v>0.0</v>
      </c>
      <c r="E169" s="358">
        <v>0.0</v>
      </c>
      <c r="F169" s="358">
        <v>8.0</v>
      </c>
      <c r="G169" s="358">
        <v>0.0</v>
      </c>
      <c r="H169" s="358" t="s">
        <v>143</v>
      </c>
      <c r="I169" s="216" t="s">
        <v>97</v>
      </c>
      <c r="J169" s="358">
        <v>0.0</v>
      </c>
      <c r="K169" s="358">
        <v>0.0</v>
      </c>
      <c r="L169" s="358">
        <v>0.0</v>
      </c>
      <c r="M169" s="358" t="s">
        <v>97</v>
      </c>
      <c r="N169" s="358" t="s">
        <v>97</v>
      </c>
      <c r="O169" s="358" t="s">
        <v>97</v>
      </c>
      <c r="P169" s="358" t="s">
        <v>97</v>
      </c>
      <c r="Q169" s="358">
        <v>0.0</v>
      </c>
      <c r="R169" s="358">
        <v>0.0</v>
      </c>
      <c r="S169" s="193">
        <f t="shared" si="2"/>
        <v>1</v>
      </c>
      <c r="T169" s="358">
        <v>0.0</v>
      </c>
    </row>
    <row r="170" ht="15.75" customHeight="1">
      <c r="A170" s="347">
        <v>46027.0</v>
      </c>
      <c r="B170" s="361">
        <f t="shared" si="4"/>
        <v>0</v>
      </c>
      <c r="C170" s="358">
        <v>11.0</v>
      </c>
      <c r="D170" s="358">
        <v>0.0</v>
      </c>
      <c r="E170" s="358">
        <v>0.0</v>
      </c>
      <c r="F170" s="358">
        <v>17.0</v>
      </c>
      <c r="G170" s="358">
        <v>0.0</v>
      </c>
      <c r="H170" s="358" t="s">
        <v>143</v>
      </c>
      <c r="I170" s="216" t="s">
        <v>97</v>
      </c>
      <c r="J170" s="358">
        <v>0.0</v>
      </c>
      <c r="K170" s="358">
        <v>0.0</v>
      </c>
      <c r="L170" s="358">
        <v>0.0</v>
      </c>
      <c r="M170" s="358" t="s">
        <v>97</v>
      </c>
      <c r="N170" s="358" t="s">
        <v>97</v>
      </c>
      <c r="O170" s="358" t="s">
        <v>97</v>
      </c>
      <c r="P170" s="358" t="s">
        <v>97</v>
      </c>
      <c r="Q170" s="358">
        <v>0.0</v>
      </c>
      <c r="R170" s="358">
        <v>0.0</v>
      </c>
      <c r="S170" s="193">
        <f t="shared" si="2"/>
        <v>1</v>
      </c>
      <c r="T170" s="358">
        <v>0.0</v>
      </c>
    </row>
    <row r="171" ht="15.75" customHeight="1">
      <c r="A171" s="347">
        <v>46028.0</v>
      </c>
      <c r="B171" s="361">
        <f t="shared" si="4"/>
        <v>0</v>
      </c>
      <c r="C171" s="358">
        <v>5.0</v>
      </c>
      <c r="D171" s="358">
        <v>0.0</v>
      </c>
      <c r="E171" s="358">
        <v>0.0</v>
      </c>
      <c r="F171" s="358">
        <v>5.0</v>
      </c>
      <c r="G171" s="358">
        <v>0.0</v>
      </c>
      <c r="H171" s="358" t="s">
        <v>143</v>
      </c>
      <c r="I171" s="216" t="s">
        <v>97</v>
      </c>
      <c r="J171" s="358">
        <v>0.0</v>
      </c>
      <c r="K171" s="358">
        <v>1.0</v>
      </c>
      <c r="L171" s="358">
        <v>1.0</v>
      </c>
      <c r="M171" s="358" t="s">
        <v>97</v>
      </c>
      <c r="N171" s="358" t="s">
        <v>97</v>
      </c>
      <c r="O171" s="358" t="s">
        <v>97</v>
      </c>
      <c r="P171" s="358" t="s">
        <v>97</v>
      </c>
      <c r="Q171" s="358">
        <v>0.0</v>
      </c>
      <c r="R171" s="358">
        <v>0.0</v>
      </c>
      <c r="S171" s="193">
        <f t="shared" si="2"/>
        <v>1</v>
      </c>
      <c r="T171" s="358">
        <v>0.0</v>
      </c>
    </row>
    <row r="172" ht="15.75" customHeight="1">
      <c r="A172" s="347">
        <v>46029.0</v>
      </c>
      <c r="B172" s="361">
        <f t="shared" si="4"/>
        <v>0</v>
      </c>
      <c r="C172" s="354">
        <v>7.0</v>
      </c>
      <c r="D172" s="354">
        <v>0.0</v>
      </c>
      <c r="E172" s="354">
        <v>0.0</v>
      </c>
      <c r="F172" s="354">
        <v>15.0</v>
      </c>
      <c r="G172" s="354">
        <v>0.0</v>
      </c>
      <c r="H172" s="353" t="s">
        <v>143</v>
      </c>
      <c r="I172" s="357" t="s">
        <v>97</v>
      </c>
      <c r="J172" s="353">
        <v>0.0</v>
      </c>
      <c r="K172" s="354">
        <v>0.0</v>
      </c>
      <c r="L172" s="354">
        <v>0.0</v>
      </c>
      <c r="M172" s="354" t="s">
        <v>97</v>
      </c>
      <c r="N172" s="354" t="s">
        <v>97</v>
      </c>
      <c r="O172" s="353" t="s">
        <v>97</v>
      </c>
      <c r="P172" s="353" t="s">
        <v>97</v>
      </c>
      <c r="Q172" s="353">
        <v>0.0</v>
      </c>
      <c r="R172" s="353">
        <v>0.0</v>
      </c>
      <c r="S172" s="193">
        <f t="shared" si="2"/>
        <v>1</v>
      </c>
      <c r="T172" s="358">
        <v>0.0</v>
      </c>
    </row>
    <row r="173" ht="15.75" customHeight="1">
      <c r="A173" s="347">
        <v>46030.0</v>
      </c>
      <c r="B173" s="361">
        <f t="shared" si="4"/>
        <v>868600</v>
      </c>
      <c r="C173" s="354">
        <v>3.0</v>
      </c>
      <c r="D173" s="354">
        <v>1.0</v>
      </c>
      <c r="E173" s="354">
        <v>1.0</v>
      </c>
      <c r="F173" s="354">
        <v>15.0</v>
      </c>
      <c r="G173" s="354">
        <v>1.0</v>
      </c>
      <c r="H173" s="354" t="s">
        <v>891</v>
      </c>
      <c r="I173" s="356">
        <v>868600.0</v>
      </c>
      <c r="J173" s="354" t="s">
        <v>924</v>
      </c>
      <c r="K173" s="354">
        <v>0.0</v>
      </c>
      <c r="L173" s="354">
        <v>0.0</v>
      </c>
      <c r="M173" s="354" t="s">
        <v>97</v>
      </c>
      <c r="N173" s="354" t="s">
        <v>97</v>
      </c>
      <c r="O173" s="354">
        <v>868600.0</v>
      </c>
      <c r="P173" s="354">
        <v>1.0</v>
      </c>
      <c r="Q173" s="354">
        <v>0.0</v>
      </c>
      <c r="R173" s="354">
        <v>0.0</v>
      </c>
      <c r="S173" s="193">
        <f t="shared" si="2"/>
        <v>1</v>
      </c>
      <c r="T173" s="358">
        <v>868600.0</v>
      </c>
    </row>
    <row r="174" ht="15.75" customHeight="1">
      <c r="A174" s="347">
        <v>46031.0</v>
      </c>
      <c r="B174" s="361">
        <f t="shared" si="4"/>
        <v>0</v>
      </c>
      <c r="C174" s="354">
        <v>11.0</v>
      </c>
      <c r="D174" s="354">
        <v>0.0</v>
      </c>
      <c r="E174" s="354">
        <v>0.0</v>
      </c>
      <c r="F174" s="354">
        <v>54.0</v>
      </c>
      <c r="G174" s="354">
        <v>0.0</v>
      </c>
      <c r="H174" s="353" t="s">
        <v>143</v>
      </c>
      <c r="I174" s="357" t="s">
        <v>97</v>
      </c>
      <c r="J174" s="353">
        <v>0.0</v>
      </c>
      <c r="K174" s="354">
        <v>1.0</v>
      </c>
      <c r="L174" s="354">
        <v>1.0</v>
      </c>
      <c r="M174" s="354" t="s">
        <v>97</v>
      </c>
      <c r="N174" s="354" t="s">
        <v>97</v>
      </c>
      <c r="O174" s="353" t="s">
        <v>97</v>
      </c>
      <c r="P174" s="353" t="s">
        <v>97</v>
      </c>
      <c r="Q174" s="353">
        <v>0.0</v>
      </c>
      <c r="R174" s="353">
        <v>0.0</v>
      </c>
      <c r="S174" s="193">
        <f t="shared" si="2"/>
        <v>1</v>
      </c>
      <c r="T174" s="358">
        <v>0.0</v>
      </c>
    </row>
    <row r="175" ht="15.75" customHeight="1">
      <c r="A175" s="347">
        <v>46032.0</v>
      </c>
      <c r="B175" s="361">
        <f t="shared" si="4"/>
        <v>0</v>
      </c>
      <c r="C175" s="354">
        <v>6.0</v>
      </c>
      <c r="D175" s="354">
        <v>0.0</v>
      </c>
      <c r="E175" s="354">
        <v>0.0</v>
      </c>
      <c r="F175" s="354">
        <v>6.0</v>
      </c>
      <c r="G175" s="354">
        <v>0.0</v>
      </c>
      <c r="H175" s="353" t="s">
        <v>143</v>
      </c>
      <c r="I175" s="356" t="s">
        <v>97</v>
      </c>
      <c r="J175" s="353">
        <v>0.0</v>
      </c>
      <c r="K175" s="354">
        <v>0.0</v>
      </c>
      <c r="L175" s="354">
        <v>0.0</v>
      </c>
      <c r="M175" s="354" t="s">
        <v>97</v>
      </c>
      <c r="N175" s="354" t="s">
        <v>97</v>
      </c>
      <c r="O175" s="354" t="s">
        <v>97</v>
      </c>
      <c r="P175" s="354" t="s">
        <v>97</v>
      </c>
      <c r="Q175" s="353">
        <v>0.0</v>
      </c>
      <c r="R175" s="353">
        <v>0.0</v>
      </c>
      <c r="S175" s="193"/>
      <c r="T175" s="358">
        <v>0.0</v>
      </c>
    </row>
    <row r="176" ht="15.75" customHeight="1">
      <c r="A176" s="347">
        <v>46033.0</v>
      </c>
      <c r="B176" s="361">
        <f t="shared" si="4"/>
        <v>0</v>
      </c>
      <c r="C176" s="354">
        <v>4.0</v>
      </c>
      <c r="D176" s="354">
        <v>0.0</v>
      </c>
      <c r="E176" s="354">
        <v>0.0</v>
      </c>
      <c r="F176" s="354">
        <v>23.0</v>
      </c>
      <c r="G176" s="354">
        <v>0.0</v>
      </c>
      <c r="H176" s="353" t="s">
        <v>143</v>
      </c>
      <c r="I176" s="357" t="s">
        <v>97</v>
      </c>
      <c r="J176" s="353">
        <v>0.0</v>
      </c>
      <c r="K176" s="354">
        <v>1.0</v>
      </c>
      <c r="L176" s="354">
        <v>1.0</v>
      </c>
      <c r="M176" s="354" t="s">
        <v>97</v>
      </c>
      <c r="N176" s="354" t="s">
        <v>97</v>
      </c>
      <c r="O176" s="353" t="s">
        <v>97</v>
      </c>
      <c r="P176" s="353" t="s">
        <v>97</v>
      </c>
      <c r="Q176" s="353">
        <v>0.0</v>
      </c>
      <c r="R176" s="353">
        <v>0.0</v>
      </c>
      <c r="S176" s="193"/>
      <c r="T176" s="358">
        <v>0.0</v>
      </c>
    </row>
    <row r="177" ht="15.75" customHeight="1">
      <c r="A177" s="347">
        <v>46034.0</v>
      </c>
      <c r="B177" s="361">
        <f t="shared" si="4"/>
        <v>0</v>
      </c>
      <c r="C177" s="354">
        <v>3.0</v>
      </c>
      <c r="D177" s="354">
        <v>0.0</v>
      </c>
      <c r="E177" s="354">
        <v>0.0</v>
      </c>
      <c r="F177" s="354">
        <v>8.0</v>
      </c>
      <c r="G177" s="354">
        <v>0.0</v>
      </c>
      <c r="H177" s="353" t="s">
        <v>143</v>
      </c>
      <c r="I177" s="356" t="s">
        <v>97</v>
      </c>
      <c r="J177" s="353">
        <v>0.0</v>
      </c>
      <c r="K177" s="354">
        <v>0.0</v>
      </c>
      <c r="L177" s="354">
        <v>0.0</v>
      </c>
      <c r="M177" s="354" t="s">
        <v>97</v>
      </c>
      <c r="N177" s="354" t="s">
        <v>97</v>
      </c>
      <c r="O177" s="354" t="s">
        <v>97</v>
      </c>
      <c r="P177" s="354" t="s">
        <v>97</v>
      </c>
      <c r="Q177" s="353">
        <v>0.0</v>
      </c>
      <c r="R177" s="353">
        <v>0.0</v>
      </c>
      <c r="S177" s="193"/>
      <c r="T177" s="358">
        <v>0.0</v>
      </c>
    </row>
    <row r="178" ht="15.75" customHeight="1">
      <c r="A178" s="347">
        <v>46035.0</v>
      </c>
      <c r="B178" s="361">
        <f t="shared" si="4"/>
        <v>0</v>
      </c>
      <c r="C178" s="354">
        <v>3.0</v>
      </c>
      <c r="D178" s="354">
        <v>0.0</v>
      </c>
      <c r="E178" s="354">
        <v>0.0</v>
      </c>
      <c r="F178" s="354">
        <v>13.0</v>
      </c>
      <c r="G178" s="354">
        <v>0.0</v>
      </c>
      <c r="H178" s="353" t="s">
        <v>143</v>
      </c>
      <c r="I178" s="356" t="s">
        <v>97</v>
      </c>
      <c r="J178" s="353">
        <v>0.0</v>
      </c>
      <c r="K178" s="354">
        <v>0.0</v>
      </c>
      <c r="L178" s="354">
        <v>0.0</v>
      </c>
      <c r="M178" s="354" t="s">
        <v>97</v>
      </c>
      <c r="N178" s="354" t="s">
        <v>97</v>
      </c>
      <c r="O178" s="354" t="s">
        <v>97</v>
      </c>
      <c r="P178" s="354" t="s">
        <v>97</v>
      </c>
      <c r="Q178" s="353">
        <v>0.0</v>
      </c>
      <c r="R178" s="353">
        <v>0.0</v>
      </c>
      <c r="S178" s="193"/>
      <c r="T178" s="358">
        <v>0.0</v>
      </c>
    </row>
    <row r="179" ht="15.75" customHeight="1">
      <c r="A179" s="347">
        <v>46036.0</v>
      </c>
      <c r="B179" s="361">
        <f t="shared" si="4"/>
        <v>0</v>
      </c>
      <c r="C179" s="354">
        <v>11.0</v>
      </c>
      <c r="D179" s="354">
        <v>0.0</v>
      </c>
      <c r="E179" s="354">
        <v>0.0</v>
      </c>
      <c r="F179" s="354">
        <v>18.0</v>
      </c>
      <c r="G179" s="354">
        <v>0.0</v>
      </c>
      <c r="H179" s="353" t="s">
        <v>143</v>
      </c>
      <c r="I179" s="356" t="s">
        <v>97</v>
      </c>
      <c r="J179" s="353">
        <v>0.0</v>
      </c>
      <c r="K179" s="354">
        <v>1.0</v>
      </c>
      <c r="L179" s="354">
        <v>1.0</v>
      </c>
      <c r="M179" s="354" t="s">
        <v>97</v>
      </c>
      <c r="N179" s="354" t="s">
        <v>97</v>
      </c>
      <c r="O179" s="354" t="s">
        <v>97</v>
      </c>
      <c r="P179" s="354" t="s">
        <v>97</v>
      </c>
      <c r="Q179" s="353">
        <v>0.0</v>
      </c>
      <c r="R179" s="353">
        <v>0.0</v>
      </c>
      <c r="S179" s="193"/>
      <c r="T179" s="358">
        <v>0.0</v>
      </c>
    </row>
    <row r="180" ht="15.75" customHeight="1">
      <c r="A180" s="347">
        <v>46037.0</v>
      </c>
      <c r="B180" s="361">
        <f t="shared" si="4"/>
        <v>867800</v>
      </c>
      <c r="C180" s="354">
        <v>20.0</v>
      </c>
      <c r="D180" s="354">
        <v>1.0</v>
      </c>
      <c r="E180" s="354">
        <v>1.0</v>
      </c>
      <c r="F180" s="354">
        <v>58.0</v>
      </c>
      <c r="G180" s="354">
        <v>1.0</v>
      </c>
      <c r="H180" s="353" t="s">
        <v>222</v>
      </c>
      <c r="I180" s="356">
        <v>867800.0</v>
      </c>
      <c r="J180" s="353">
        <v>43390.0</v>
      </c>
      <c r="K180" s="354">
        <v>0.0</v>
      </c>
      <c r="L180" s="354">
        <v>0.0</v>
      </c>
      <c r="M180" s="354" t="s">
        <v>97</v>
      </c>
      <c r="N180" s="354" t="s">
        <v>97</v>
      </c>
      <c r="O180" s="354">
        <v>867800.0</v>
      </c>
      <c r="P180" s="354">
        <v>1.0</v>
      </c>
      <c r="Q180" s="353">
        <v>0.0</v>
      </c>
      <c r="R180" s="353">
        <v>0.0</v>
      </c>
      <c r="S180" s="193"/>
      <c r="T180" s="358">
        <v>867800.0</v>
      </c>
    </row>
    <row r="181" ht="15.75" customHeight="1">
      <c r="A181" s="347">
        <v>46038.0</v>
      </c>
      <c r="B181" s="361">
        <f t="shared" si="4"/>
        <v>1513700</v>
      </c>
      <c r="C181" s="354">
        <v>31.0</v>
      </c>
      <c r="D181" s="354">
        <v>1.0</v>
      </c>
      <c r="E181" s="354">
        <v>1.0</v>
      </c>
      <c r="F181" s="354">
        <v>58.0</v>
      </c>
      <c r="G181" s="354">
        <v>1.0</v>
      </c>
      <c r="H181" s="353" t="s">
        <v>925</v>
      </c>
      <c r="I181" s="357">
        <v>1513700.0</v>
      </c>
      <c r="J181" s="353" t="s">
        <v>926</v>
      </c>
      <c r="K181" s="354">
        <v>1.0</v>
      </c>
      <c r="L181" s="354">
        <v>3.0</v>
      </c>
      <c r="M181" s="354">
        <v>1.0</v>
      </c>
      <c r="N181" s="354">
        <v>1.0</v>
      </c>
      <c r="O181" s="353">
        <v>1513700.0</v>
      </c>
      <c r="P181" s="353">
        <v>1.0</v>
      </c>
      <c r="Q181" s="353">
        <v>0.0</v>
      </c>
      <c r="R181" s="353">
        <v>0.0</v>
      </c>
      <c r="S181" s="193"/>
      <c r="T181" s="358">
        <v>1513700.0</v>
      </c>
    </row>
    <row r="182" ht="15.75" customHeight="1">
      <c r="A182" s="347">
        <v>46039.0</v>
      </c>
      <c r="B182" s="361">
        <f t="shared" si="4"/>
        <v>845930</v>
      </c>
      <c r="C182" s="354">
        <v>29.0</v>
      </c>
      <c r="D182" s="354">
        <v>1.0</v>
      </c>
      <c r="E182" s="354">
        <v>1.0</v>
      </c>
      <c r="F182" s="354">
        <v>58.0</v>
      </c>
      <c r="G182" s="354">
        <v>2.0</v>
      </c>
      <c r="H182" s="353" t="s">
        <v>927</v>
      </c>
      <c r="I182" s="356">
        <v>845930.0</v>
      </c>
      <c r="J182" s="353">
        <v>29170.0</v>
      </c>
      <c r="K182" s="354">
        <v>1.0</v>
      </c>
      <c r="L182" s="354">
        <v>1.0</v>
      </c>
      <c r="M182" s="354" t="s">
        <v>97</v>
      </c>
      <c r="N182" s="354" t="s">
        <v>97</v>
      </c>
      <c r="O182" s="354">
        <v>845930.0</v>
      </c>
      <c r="P182" s="354">
        <v>2.0</v>
      </c>
      <c r="Q182" s="353">
        <v>0.0</v>
      </c>
      <c r="R182" s="353">
        <v>0.0</v>
      </c>
      <c r="S182" s="193"/>
      <c r="T182" s="358">
        <v>845930.0</v>
      </c>
    </row>
    <row r="183" ht="15.75" customHeight="1">
      <c r="A183" s="347">
        <v>46040.0</v>
      </c>
      <c r="B183" s="361">
        <f t="shared" si="4"/>
        <v>0</v>
      </c>
      <c r="C183" s="358">
        <v>26.0</v>
      </c>
      <c r="D183" s="358">
        <v>0.0</v>
      </c>
      <c r="E183" s="358">
        <v>0.0</v>
      </c>
      <c r="F183" s="358">
        <v>49.0</v>
      </c>
      <c r="G183" s="358">
        <v>0.0</v>
      </c>
      <c r="H183" s="358" t="s">
        <v>143</v>
      </c>
      <c r="I183" s="216" t="s">
        <v>97</v>
      </c>
      <c r="J183" s="358">
        <v>0.0</v>
      </c>
      <c r="K183" s="358">
        <v>1.0</v>
      </c>
      <c r="L183" s="358">
        <v>1.0</v>
      </c>
      <c r="M183" s="358" t="s">
        <v>97</v>
      </c>
      <c r="N183" s="358" t="s">
        <v>97</v>
      </c>
      <c r="O183" s="358" t="s">
        <v>97</v>
      </c>
      <c r="P183" s="358" t="s">
        <v>97</v>
      </c>
      <c r="Q183" s="358">
        <v>0.0</v>
      </c>
      <c r="R183" s="358">
        <v>0.0</v>
      </c>
      <c r="S183" s="193"/>
      <c r="T183" s="358">
        <v>0.0</v>
      </c>
    </row>
    <row r="184" ht="15.75" customHeight="1">
      <c r="A184" s="347">
        <v>46041.0</v>
      </c>
      <c r="B184" s="361">
        <f t="shared" si="4"/>
        <v>430815</v>
      </c>
      <c r="C184" s="358">
        <v>12.0</v>
      </c>
      <c r="D184" s="358">
        <v>1.0</v>
      </c>
      <c r="E184" s="358">
        <v>1.0</v>
      </c>
      <c r="F184" s="358">
        <v>51.0</v>
      </c>
      <c r="G184" s="358">
        <v>1.0</v>
      </c>
      <c r="H184" s="358" t="s">
        <v>633</v>
      </c>
      <c r="I184" s="216">
        <v>430815.0</v>
      </c>
      <c r="J184" s="358" t="s">
        <v>928</v>
      </c>
      <c r="K184" s="358">
        <v>0.0</v>
      </c>
      <c r="L184" s="358">
        <v>0.0</v>
      </c>
      <c r="M184" s="358">
        <v>1.0</v>
      </c>
      <c r="N184" s="358">
        <v>1.0</v>
      </c>
      <c r="O184" s="358">
        <v>430815.0</v>
      </c>
      <c r="P184" s="358">
        <v>1.0</v>
      </c>
      <c r="Q184" s="358">
        <v>0.0</v>
      </c>
      <c r="R184" s="358">
        <v>0.0</v>
      </c>
      <c r="S184" s="193"/>
      <c r="T184" s="358">
        <v>430815.0</v>
      </c>
    </row>
    <row r="185" ht="15.75" customHeight="1">
      <c r="A185" s="347">
        <v>46042.0</v>
      </c>
      <c r="B185" s="361">
        <f t="shared" si="4"/>
        <v>0</v>
      </c>
      <c r="I185" s="216"/>
      <c r="S185" s="193"/>
    </row>
    <row r="186" ht="15.75" customHeight="1">
      <c r="A186" s="347">
        <v>46043.0</v>
      </c>
      <c r="B186" s="361">
        <f t="shared" si="4"/>
        <v>0</v>
      </c>
      <c r="I186" s="216"/>
      <c r="S186" s="193"/>
    </row>
    <row r="187" ht="15.75" customHeight="1">
      <c r="A187" s="347">
        <v>46044.0</v>
      </c>
      <c r="B187" s="361">
        <f t="shared" si="4"/>
        <v>0</v>
      </c>
      <c r="I187" s="216"/>
      <c r="S187" s="193"/>
    </row>
    <row r="188" ht="15.75" customHeight="1">
      <c r="A188" s="347">
        <v>46045.0</v>
      </c>
      <c r="B188" s="361">
        <f t="shared" si="4"/>
        <v>0</v>
      </c>
      <c r="I188" s="216"/>
      <c r="S188" s="193"/>
    </row>
    <row r="189" ht="15.75" customHeight="1">
      <c r="A189" s="347">
        <v>46046.0</v>
      </c>
      <c r="B189" s="361">
        <f t="shared" si="4"/>
        <v>0</v>
      </c>
      <c r="I189" s="216"/>
      <c r="S189" s="193"/>
    </row>
    <row r="190" ht="15.75" customHeight="1">
      <c r="A190" s="347">
        <v>46047.0</v>
      </c>
      <c r="B190" s="361">
        <f t="shared" si="4"/>
        <v>0</v>
      </c>
      <c r="I190" s="216"/>
      <c r="S190" s="193"/>
    </row>
    <row r="191" ht="15.75" customHeight="1">
      <c r="A191" s="347">
        <v>46048.0</v>
      </c>
      <c r="B191" s="361">
        <f t="shared" si="4"/>
        <v>0</v>
      </c>
      <c r="I191" s="216"/>
      <c r="S191" s="193"/>
    </row>
    <row r="192" ht="15.75" customHeight="1">
      <c r="A192" s="347">
        <v>46049.0</v>
      </c>
      <c r="B192" s="361">
        <f t="shared" si="4"/>
        <v>0</v>
      </c>
      <c r="I192" s="216"/>
      <c r="S192" s="193"/>
    </row>
    <row r="193" ht="15.75" customHeight="1">
      <c r="A193" s="347">
        <v>46050.0</v>
      </c>
      <c r="B193" s="361">
        <f t="shared" si="4"/>
        <v>0</v>
      </c>
      <c r="I193" s="216"/>
      <c r="S193" s="193"/>
    </row>
    <row r="194" ht="15.75" customHeight="1">
      <c r="A194" s="347">
        <v>46051.0</v>
      </c>
      <c r="B194" s="361">
        <f t="shared" si="4"/>
        <v>0</v>
      </c>
      <c r="I194" s="216"/>
      <c r="S194" s="193"/>
    </row>
    <row r="195" ht="15.75" customHeight="1">
      <c r="A195" s="347">
        <v>46052.0</v>
      </c>
      <c r="B195" s="361">
        <f t="shared" si="4"/>
        <v>0</v>
      </c>
      <c r="I195" s="216"/>
      <c r="S195" s="193"/>
    </row>
    <row r="196" ht="15.75" customHeight="1">
      <c r="A196" s="347">
        <v>46053.0</v>
      </c>
      <c r="B196" s="361">
        <f t="shared" si="4"/>
        <v>0</v>
      </c>
      <c r="I196" s="216"/>
      <c r="S196" s="193"/>
    </row>
    <row r="197" ht="15.75" customHeight="1">
      <c r="I197" s="216"/>
      <c r="S197" s="193"/>
    </row>
    <row r="198" ht="15.75" customHeight="1">
      <c r="I198" s="216"/>
      <c r="S198" s="193"/>
    </row>
    <row r="199" ht="15.75" customHeight="1">
      <c r="I199" s="216"/>
      <c r="S199" s="193"/>
    </row>
    <row r="200" ht="15.75" customHeight="1">
      <c r="I200" s="216"/>
      <c r="S200" s="193"/>
    </row>
    <row r="201" ht="15.75" customHeight="1">
      <c r="I201" s="216"/>
      <c r="S201" s="193"/>
    </row>
    <row r="202" ht="15.75" customHeight="1">
      <c r="I202" s="216"/>
      <c r="S202" s="193"/>
    </row>
    <row r="203" ht="15.75" customHeight="1">
      <c r="I203" s="216"/>
      <c r="S203" s="193"/>
    </row>
    <row r="204" ht="15.75" customHeight="1">
      <c r="I204" s="216"/>
      <c r="S204" s="193"/>
    </row>
    <row r="205" ht="15.75" customHeight="1">
      <c r="I205" s="216"/>
      <c r="S205" s="193"/>
    </row>
    <row r="206" ht="15.75" customHeight="1">
      <c r="I206" s="216"/>
      <c r="S206" s="193"/>
    </row>
    <row r="207" ht="15.75" customHeight="1">
      <c r="I207" s="216"/>
      <c r="S207" s="193"/>
    </row>
    <row r="208" ht="15.75" customHeight="1">
      <c r="I208" s="216"/>
      <c r="S208" s="193"/>
    </row>
    <row r="209" ht="15.75" customHeight="1">
      <c r="I209" s="216"/>
      <c r="S209" s="193"/>
    </row>
    <row r="210" ht="15.75" customHeight="1">
      <c r="I210" s="216"/>
      <c r="S210" s="193"/>
    </row>
    <row r="211" ht="15.75" customHeight="1">
      <c r="I211" s="216"/>
      <c r="S211" s="193"/>
    </row>
    <row r="212" ht="15.75" customHeight="1">
      <c r="I212" s="216"/>
      <c r="S212" s="193"/>
    </row>
    <row r="213" ht="15.75" customHeight="1">
      <c r="I213" s="216"/>
      <c r="S213" s="193"/>
    </row>
    <row r="214" ht="15.75" customHeight="1">
      <c r="I214" s="216"/>
      <c r="S214" s="193"/>
    </row>
    <row r="215" ht="15.75" customHeight="1">
      <c r="I215" s="216"/>
      <c r="S215" s="193"/>
    </row>
    <row r="216" ht="15.75" customHeight="1">
      <c r="I216" s="216"/>
      <c r="S216" s="193"/>
    </row>
    <row r="217" ht="15.75" customHeight="1">
      <c r="I217" s="216"/>
      <c r="S217" s="193"/>
    </row>
    <row r="218" ht="15.75" customHeight="1">
      <c r="I218" s="216"/>
      <c r="S218" s="193"/>
    </row>
    <row r="219" ht="15.75" customHeight="1">
      <c r="I219" s="216"/>
      <c r="S219" s="193"/>
    </row>
    <row r="220" ht="15.75" customHeight="1">
      <c r="I220" s="216"/>
      <c r="S220" s="193"/>
    </row>
    <row r="221" ht="15.75" customHeight="1">
      <c r="I221" s="216"/>
      <c r="S221" s="193"/>
    </row>
    <row r="222" ht="15.75" customHeight="1">
      <c r="I222" s="216"/>
      <c r="S222" s="193"/>
    </row>
    <row r="223" ht="15.75" customHeight="1">
      <c r="I223" s="216"/>
      <c r="S223" s="193"/>
    </row>
    <row r="224" ht="15.75" customHeight="1">
      <c r="I224" s="216"/>
      <c r="S224" s="193"/>
    </row>
    <row r="225" ht="15.75" customHeight="1">
      <c r="I225" s="216"/>
      <c r="S225" s="193"/>
    </row>
    <row r="226" ht="15.75" customHeight="1">
      <c r="I226" s="216"/>
      <c r="S226" s="193"/>
    </row>
    <row r="227" ht="15.75" customHeight="1">
      <c r="I227" s="216"/>
      <c r="S227" s="193"/>
    </row>
    <row r="228" ht="15.75" customHeight="1">
      <c r="I228" s="216"/>
      <c r="S228" s="193"/>
    </row>
    <row r="229" ht="15.75" customHeight="1">
      <c r="I229" s="216"/>
      <c r="S229" s="193"/>
    </row>
    <row r="230" ht="15.75" customHeight="1">
      <c r="I230" s="216"/>
      <c r="S230" s="193"/>
    </row>
    <row r="231" ht="15.75" customHeight="1">
      <c r="I231" s="216"/>
      <c r="S231" s="193"/>
    </row>
    <row r="232" ht="15.75" customHeight="1">
      <c r="I232" s="216"/>
      <c r="S232" s="193"/>
    </row>
    <row r="233" ht="15.75" customHeight="1">
      <c r="I233" s="216"/>
      <c r="S233" s="193"/>
    </row>
    <row r="234" ht="15.75" customHeight="1">
      <c r="I234" s="216"/>
      <c r="S234" s="193"/>
    </row>
    <row r="235" ht="15.75" customHeight="1">
      <c r="I235" s="216"/>
      <c r="S235" s="193"/>
    </row>
    <row r="236" ht="15.75" customHeight="1">
      <c r="I236" s="216"/>
      <c r="S236" s="193"/>
    </row>
    <row r="237" ht="15.75" customHeight="1">
      <c r="I237" s="216"/>
      <c r="S237" s="193"/>
    </row>
    <row r="238" ht="15.75" customHeight="1">
      <c r="I238" s="216"/>
      <c r="S238" s="193"/>
    </row>
    <row r="239" ht="15.75" customHeight="1">
      <c r="I239" s="216"/>
      <c r="S239" s="193"/>
    </row>
    <row r="240" ht="15.75" customHeight="1">
      <c r="I240" s="216"/>
      <c r="S240" s="193"/>
    </row>
    <row r="241" ht="15.75" customHeight="1">
      <c r="I241" s="216"/>
      <c r="S241" s="193"/>
    </row>
    <row r="242" ht="15.75" customHeight="1">
      <c r="I242" s="216"/>
      <c r="S242" s="193"/>
    </row>
    <row r="243" ht="15.75" customHeight="1">
      <c r="I243" s="216"/>
      <c r="S243" s="193"/>
    </row>
    <row r="244" ht="15.75" customHeight="1">
      <c r="I244" s="216"/>
      <c r="S244" s="193"/>
    </row>
    <row r="245" ht="15.75" customHeight="1">
      <c r="I245" s="216"/>
      <c r="S245" s="193"/>
    </row>
    <row r="246" ht="15.75" customHeight="1">
      <c r="I246" s="216"/>
      <c r="S246" s="193"/>
    </row>
    <row r="247" ht="15.75" customHeight="1">
      <c r="I247" s="216"/>
      <c r="S247" s="193"/>
    </row>
    <row r="248" ht="15.75" customHeight="1">
      <c r="I248" s="216"/>
      <c r="S248" s="193"/>
    </row>
    <row r="249" ht="15.75" customHeight="1">
      <c r="I249" s="216"/>
      <c r="S249" s="193"/>
    </row>
    <row r="250" ht="15.75" customHeight="1">
      <c r="I250" s="216"/>
      <c r="S250" s="193"/>
    </row>
    <row r="251" ht="15.75" customHeight="1">
      <c r="I251" s="216"/>
      <c r="S251" s="193"/>
    </row>
    <row r="252" ht="15.75" customHeight="1">
      <c r="I252" s="216"/>
      <c r="S252" s="193"/>
    </row>
    <row r="253" ht="15.75" customHeight="1">
      <c r="I253" s="216"/>
      <c r="S253" s="193"/>
    </row>
    <row r="254" ht="15.75" customHeight="1">
      <c r="I254" s="216"/>
      <c r="S254" s="193"/>
    </row>
    <row r="255" ht="15.75" customHeight="1">
      <c r="I255" s="216"/>
      <c r="S255" s="193"/>
    </row>
    <row r="256" ht="15.75" customHeight="1">
      <c r="I256" s="216"/>
      <c r="S256" s="193"/>
    </row>
    <row r="257" ht="15.75" customHeight="1">
      <c r="I257" s="216"/>
      <c r="S257" s="193"/>
    </row>
    <row r="258" ht="15.75" customHeight="1">
      <c r="I258" s="216"/>
      <c r="S258" s="193"/>
    </row>
    <row r="259" ht="15.75" customHeight="1">
      <c r="I259" s="216"/>
      <c r="S259" s="193"/>
    </row>
    <row r="260" ht="15.75" customHeight="1">
      <c r="I260" s="216"/>
      <c r="S260" s="193"/>
    </row>
    <row r="261" ht="15.75" customHeight="1">
      <c r="I261" s="216"/>
      <c r="S261" s="193"/>
    </row>
    <row r="262" ht="15.75" customHeight="1">
      <c r="I262" s="216"/>
      <c r="S262" s="193"/>
    </row>
    <row r="263" ht="15.75" customHeight="1">
      <c r="I263" s="216"/>
      <c r="S263" s="193"/>
    </row>
    <row r="264" ht="15.75" customHeight="1">
      <c r="I264" s="216"/>
      <c r="S264" s="193"/>
    </row>
    <row r="265" ht="15.75" customHeight="1">
      <c r="I265" s="216"/>
      <c r="S265" s="193"/>
    </row>
    <row r="266" ht="15.75" customHeight="1">
      <c r="I266" s="216"/>
      <c r="S266" s="193"/>
    </row>
    <row r="267" ht="15.75" customHeight="1">
      <c r="I267" s="216"/>
      <c r="S267" s="193"/>
    </row>
    <row r="268" ht="15.75" customHeight="1">
      <c r="I268" s="216"/>
      <c r="S268" s="193"/>
    </row>
    <row r="269" ht="15.75" customHeight="1">
      <c r="I269" s="216"/>
      <c r="S269" s="193"/>
    </row>
    <row r="270" ht="15.75" customHeight="1">
      <c r="I270" s="216"/>
      <c r="S270" s="193"/>
    </row>
    <row r="271" ht="15.75" customHeight="1">
      <c r="I271" s="216"/>
      <c r="S271" s="193"/>
    </row>
    <row r="272" ht="15.75" customHeight="1">
      <c r="I272" s="216"/>
      <c r="S272" s="193"/>
    </row>
    <row r="273" ht="15.75" customHeight="1">
      <c r="I273" s="216"/>
      <c r="S273" s="193"/>
    </row>
    <row r="274" ht="15.75" customHeight="1">
      <c r="I274" s="216"/>
      <c r="S274" s="193"/>
    </row>
    <row r="275" ht="15.75" customHeight="1">
      <c r="I275" s="216"/>
      <c r="S275" s="193"/>
    </row>
    <row r="276" ht="15.75" customHeight="1">
      <c r="I276" s="216"/>
      <c r="S276" s="193"/>
    </row>
    <row r="277" ht="15.75" customHeight="1">
      <c r="I277" s="216"/>
      <c r="S277" s="193"/>
    </row>
    <row r="278" ht="15.75" customHeight="1">
      <c r="I278" s="216"/>
      <c r="S278" s="193"/>
    </row>
    <row r="279" ht="15.75" customHeight="1">
      <c r="I279" s="216"/>
      <c r="S279" s="193"/>
    </row>
    <row r="280" ht="15.75" customHeight="1">
      <c r="I280" s="216"/>
      <c r="S280" s="193"/>
    </row>
    <row r="281" ht="15.75" customHeight="1">
      <c r="I281" s="216"/>
      <c r="S281" s="193"/>
    </row>
    <row r="282" ht="15.75" customHeight="1">
      <c r="I282" s="216"/>
      <c r="S282" s="193"/>
    </row>
    <row r="283" ht="15.75" customHeight="1">
      <c r="I283" s="216"/>
      <c r="S283" s="193"/>
    </row>
    <row r="284" ht="15.75" customHeight="1">
      <c r="I284" s="216"/>
      <c r="S284" s="193"/>
    </row>
    <row r="285" ht="15.75" customHeight="1">
      <c r="I285" s="216"/>
      <c r="S285" s="193"/>
    </row>
    <row r="286" ht="15.75" customHeight="1">
      <c r="I286" s="216"/>
      <c r="S286" s="193"/>
    </row>
    <row r="287" ht="15.75" customHeight="1">
      <c r="I287" s="216"/>
      <c r="S287" s="193"/>
    </row>
    <row r="288" ht="15.75" customHeight="1">
      <c r="I288" s="216"/>
      <c r="S288" s="193"/>
    </row>
    <row r="289" ht="15.75" customHeight="1">
      <c r="I289" s="216"/>
      <c r="S289" s="193"/>
    </row>
    <row r="290" ht="15.75" customHeight="1">
      <c r="I290" s="216"/>
      <c r="S290" s="193"/>
    </row>
    <row r="291" ht="15.75" customHeight="1">
      <c r="I291" s="216"/>
      <c r="S291" s="193"/>
    </row>
    <row r="292" ht="15.75" customHeight="1">
      <c r="I292" s="216"/>
      <c r="S292" s="193"/>
    </row>
    <row r="293" ht="15.75" customHeight="1">
      <c r="I293" s="216"/>
      <c r="S293" s="193"/>
    </row>
    <row r="294" ht="15.75" customHeight="1">
      <c r="I294" s="216"/>
      <c r="S294" s="193"/>
    </row>
    <row r="295" ht="15.75" customHeight="1">
      <c r="I295" s="216"/>
      <c r="S295" s="193"/>
    </row>
    <row r="296" ht="15.75" customHeight="1">
      <c r="I296" s="216"/>
      <c r="S296" s="193"/>
    </row>
    <row r="297" ht="15.75" customHeight="1">
      <c r="I297" s="216"/>
      <c r="S297" s="193"/>
    </row>
    <row r="298" ht="15.75" customHeight="1">
      <c r="I298" s="216"/>
      <c r="S298" s="193"/>
    </row>
    <row r="299" ht="15.75" customHeight="1">
      <c r="I299" s="216"/>
      <c r="S299" s="193"/>
    </row>
    <row r="300" ht="15.75" customHeight="1">
      <c r="I300" s="216"/>
      <c r="S300" s="193"/>
    </row>
    <row r="301" ht="15.75" customHeight="1">
      <c r="I301" s="216"/>
      <c r="S301" s="193"/>
    </row>
    <row r="302" ht="15.75" customHeight="1">
      <c r="I302" s="216"/>
      <c r="S302" s="193"/>
    </row>
    <row r="303" ht="15.75" customHeight="1">
      <c r="I303" s="216"/>
      <c r="S303" s="193"/>
    </row>
    <row r="304" ht="15.75" customHeight="1">
      <c r="I304" s="216"/>
      <c r="S304" s="193"/>
    </row>
    <row r="305" ht="15.75" customHeight="1">
      <c r="I305" s="216"/>
      <c r="S305" s="193"/>
    </row>
    <row r="306" ht="15.75" customHeight="1">
      <c r="I306" s="216"/>
      <c r="S306" s="193"/>
    </row>
    <row r="307" ht="15.75" customHeight="1">
      <c r="I307" s="216"/>
      <c r="S307" s="193"/>
    </row>
    <row r="308" ht="15.75" customHeight="1">
      <c r="I308" s="216"/>
      <c r="S308" s="193"/>
    </row>
    <row r="309" ht="15.75" customHeight="1">
      <c r="I309" s="216"/>
      <c r="S309" s="193"/>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E2"/>
  </mergeCells>
  <hyperlinks>
    <hyperlink r:id="rId1" ref="A2"/>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146C"/>
    <outlinePr summaryBelow="0" summaryRight="0"/>
    <pageSetUpPr/>
  </sheetPr>
  <sheetViews>
    <sheetView workbookViewId="0"/>
  </sheetViews>
  <sheetFormatPr customHeight="1" defaultColWidth="12.63" defaultRowHeight="15.0"/>
  <cols>
    <col customWidth="1" min="1" max="1" width="12.75"/>
    <col customWidth="1" min="2" max="2" width="55.38"/>
    <col customWidth="1" min="6" max="6" width="19.75"/>
    <col customWidth="1" min="9" max="9" width="22.25"/>
    <col customWidth="1" min="11" max="11" width="25.38"/>
    <col customWidth="1" min="13" max="13" width="3.0"/>
    <col customWidth="1" min="20" max="20" width="24.75"/>
  </cols>
  <sheetData>
    <row r="1" ht="15.75" hidden="1" customHeight="1">
      <c r="A1" s="365"/>
      <c r="B1" s="366">
        <f>SUM(B3:B44)</f>
        <v>7391198.28</v>
      </c>
      <c r="C1" s="365"/>
      <c r="D1" s="365"/>
      <c r="E1" s="365"/>
      <c r="F1" s="365"/>
      <c r="G1" s="365"/>
      <c r="H1" s="365"/>
      <c r="I1" s="366">
        <f>SUM(I3:I44)</f>
        <v>5986256</v>
      </c>
      <c r="J1" s="366"/>
      <c r="K1" s="365"/>
      <c r="L1" s="365"/>
      <c r="M1" s="367"/>
      <c r="N1" s="365"/>
      <c r="O1" s="365"/>
      <c r="P1" s="365"/>
      <c r="Q1" s="365"/>
      <c r="R1" s="365"/>
      <c r="S1" s="365"/>
      <c r="T1" s="365"/>
      <c r="U1" s="365"/>
      <c r="V1" s="365"/>
      <c r="W1" s="365"/>
      <c r="X1" s="365"/>
      <c r="Y1" s="365"/>
      <c r="Z1" s="365"/>
      <c r="AA1" s="365"/>
      <c r="AB1" s="365"/>
      <c r="AC1" s="365"/>
      <c r="AD1" s="365"/>
      <c r="AE1" s="365"/>
      <c r="AF1" s="365"/>
      <c r="AG1" s="365"/>
      <c r="AH1" s="368"/>
    </row>
    <row r="2" ht="15.75" hidden="1" customHeight="1">
      <c r="A2" s="149" t="s">
        <v>33</v>
      </c>
      <c r="B2" s="149" t="s">
        <v>929</v>
      </c>
      <c r="C2" s="149"/>
      <c r="D2" s="149" t="s">
        <v>930</v>
      </c>
      <c r="E2" s="149" t="s">
        <v>931</v>
      </c>
      <c r="F2" s="149" t="s">
        <v>852</v>
      </c>
      <c r="G2" s="149" t="s">
        <v>932</v>
      </c>
      <c r="H2" s="149" t="s">
        <v>933</v>
      </c>
      <c r="I2" s="149" t="s">
        <v>934</v>
      </c>
      <c r="J2" s="149" t="s">
        <v>20</v>
      </c>
      <c r="K2" s="154" t="s">
        <v>93</v>
      </c>
      <c r="L2" s="149"/>
      <c r="M2" s="369"/>
      <c r="N2" s="370" t="s">
        <v>935</v>
      </c>
      <c r="O2" s="149" t="s">
        <v>936</v>
      </c>
      <c r="P2" s="149" t="s">
        <v>937</v>
      </c>
      <c r="Q2" s="149" t="s">
        <v>930</v>
      </c>
      <c r="R2" s="149" t="s">
        <v>938</v>
      </c>
      <c r="S2" s="149" t="s">
        <v>939</v>
      </c>
      <c r="T2" s="149" t="s">
        <v>940</v>
      </c>
      <c r="U2" s="149" t="s">
        <v>941</v>
      </c>
      <c r="V2" s="149" t="s">
        <v>942</v>
      </c>
      <c r="W2" s="149" t="s">
        <v>943</v>
      </c>
      <c r="X2" s="149" t="s">
        <v>944</v>
      </c>
      <c r="Y2" s="149" t="s">
        <v>945</v>
      </c>
      <c r="Z2" s="149" t="s">
        <v>946</v>
      </c>
      <c r="AA2" s="149" t="s">
        <v>947</v>
      </c>
      <c r="AB2" s="149" t="s">
        <v>948</v>
      </c>
      <c r="AC2" s="149"/>
      <c r="AD2" s="149"/>
      <c r="AE2" s="149"/>
      <c r="AF2" s="149"/>
      <c r="AG2" s="149"/>
      <c r="AH2" s="150"/>
    </row>
    <row r="3" ht="15.75" hidden="1" customHeight="1">
      <c r="A3" s="371">
        <v>45938.0</v>
      </c>
      <c r="B3" s="372">
        <v>0.0</v>
      </c>
      <c r="C3" s="149"/>
      <c r="D3" s="149">
        <v>0.0</v>
      </c>
      <c r="E3" s="149">
        <v>0.0</v>
      </c>
      <c r="F3" s="149">
        <v>0.0</v>
      </c>
      <c r="G3" s="149">
        <v>0.0</v>
      </c>
      <c r="H3" s="149">
        <v>0.0</v>
      </c>
      <c r="I3" s="372">
        <v>0.0</v>
      </c>
      <c r="J3" s="151" t="s">
        <v>867</v>
      </c>
      <c r="K3" s="193">
        <f t="shared" ref="K3:K25" si="1">MONTH(A3)</f>
        <v>10</v>
      </c>
      <c r="L3" s="149"/>
      <c r="M3" s="369"/>
      <c r="N3" s="373"/>
      <c r="AC3" s="149"/>
      <c r="AD3" s="149"/>
      <c r="AE3" s="149"/>
      <c r="AF3" s="149"/>
      <c r="AG3" s="149"/>
      <c r="AH3" s="150"/>
    </row>
    <row r="4" ht="15.75" hidden="1" customHeight="1">
      <c r="A4" s="371">
        <v>45939.0</v>
      </c>
      <c r="B4" s="372">
        <v>0.0</v>
      </c>
      <c r="C4" s="149"/>
      <c r="D4" s="149">
        <v>0.0</v>
      </c>
      <c r="E4" s="149">
        <v>0.0</v>
      </c>
      <c r="F4" s="149">
        <v>0.0</v>
      </c>
      <c r="G4" s="149">
        <v>0.0</v>
      </c>
      <c r="H4" s="149">
        <v>0.0</v>
      </c>
      <c r="I4" s="372">
        <v>0.0</v>
      </c>
      <c r="J4" s="151" t="s">
        <v>867</v>
      </c>
      <c r="K4" s="193">
        <f t="shared" si="1"/>
        <v>10</v>
      </c>
      <c r="L4" s="149"/>
      <c r="M4" s="369"/>
      <c r="N4" s="373"/>
      <c r="AC4" s="149"/>
      <c r="AD4" s="149"/>
      <c r="AE4" s="149"/>
      <c r="AF4" s="149"/>
      <c r="AG4" s="149"/>
      <c r="AH4" s="150"/>
    </row>
    <row r="5" ht="15.75" hidden="1" customHeight="1">
      <c r="A5" s="371">
        <v>45940.0</v>
      </c>
      <c r="B5" s="372">
        <v>0.0</v>
      </c>
      <c r="C5" s="149"/>
      <c r="D5" s="149">
        <v>0.0</v>
      </c>
      <c r="E5" s="149">
        <v>0.0</v>
      </c>
      <c r="F5" s="149">
        <v>0.0</v>
      </c>
      <c r="G5" s="149">
        <v>0.0</v>
      </c>
      <c r="H5" s="149">
        <v>0.0</v>
      </c>
      <c r="I5" s="372">
        <v>0.0</v>
      </c>
      <c r="J5" s="151" t="s">
        <v>867</v>
      </c>
      <c r="K5" s="193">
        <f t="shared" si="1"/>
        <v>10</v>
      </c>
      <c r="L5" s="149"/>
      <c r="M5" s="369"/>
      <c r="N5" s="373"/>
      <c r="AC5" s="149"/>
      <c r="AD5" s="149"/>
      <c r="AE5" s="149"/>
      <c r="AF5" s="149"/>
      <c r="AG5" s="149"/>
      <c r="AH5" s="150"/>
    </row>
    <row r="6" ht="15.75" hidden="1" customHeight="1">
      <c r="A6" s="371">
        <v>45941.0</v>
      </c>
      <c r="B6" s="372">
        <v>6868.24</v>
      </c>
      <c r="C6" s="149"/>
      <c r="D6" s="149">
        <v>470.0</v>
      </c>
      <c r="E6" s="149">
        <v>304.0</v>
      </c>
      <c r="F6" s="149">
        <v>8.0</v>
      </c>
      <c r="G6" s="149">
        <v>7.0</v>
      </c>
      <c r="H6" s="149">
        <v>1.0</v>
      </c>
      <c r="I6" s="372">
        <v>180200.0</v>
      </c>
      <c r="J6" s="149">
        <v>26.24</v>
      </c>
      <c r="K6" s="193">
        <f t="shared" si="1"/>
        <v>10</v>
      </c>
      <c r="L6" s="149">
        <v>6868.24</v>
      </c>
      <c r="M6" s="369"/>
      <c r="N6" s="373"/>
      <c r="AC6" s="149"/>
      <c r="AD6" s="149"/>
      <c r="AE6" s="149"/>
      <c r="AF6" s="149"/>
      <c r="AG6" s="149"/>
      <c r="AH6" s="150"/>
    </row>
    <row r="7" ht="15.75" hidden="1" customHeight="1">
      <c r="A7" s="371">
        <v>45942.0</v>
      </c>
      <c r="B7" s="372">
        <v>339763.32</v>
      </c>
      <c r="C7" s="149"/>
      <c r="D7" s="149">
        <v>3801.0</v>
      </c>
      <c r="E7" s="149">
        <v>2147.0</v>
      </c>
      <c r="F7" s="149">
        <v>70.0</v>
      </c>
      <c r="G7" s="149">
        <v>52.0</v>
      </c>
      <c r="H7" s="149">
        <v>1.0</v>
      </c>
      <c r="I7" s="372">
        <v>470032.0</v>
      </c>
      <c r="J7" s="149">
        <v>1.38</v>
      </c>
      <c r="K7" s="193">
        <f t="shared" si="1"/>
        <v>10</v>
      </c>
      <c r="L7" s="149">
        <v>339763.32</v>
      </c>
      <c r="M7" s="369"/>
      <c r="N7" s="370"/>
      <c r="O7" s="149"/>
      <c r="P7" s="149"/>
      <c r="Q7" s="149"/>
      <c r="R7" s="149"/>
      <c r="S7" s="149"/>
      <c r="T7" s="149"/>
      <c r="U7" s="149"/>
      <c r="V7" s="149"/>
      <c r="W7" s="149"/>
      <c r="X7" s="153"/>
      <c r="Y7" s="153"/>
      <c r="Z7" s="153"/>
      <c r="AA7" s="149"/>
      <c r="AB7" s="149"/>
      <c r="AC7" s="149"/>
      <c r="AD7" s="149"/>
      <c r="AE7" s="149"/>
      <c r="AF7" s="149"/>
      <c r="AG7" s="149"/>
      <c r="AH7" s="150"/>
    </row>
    <row r="8" ht="15.75" hidden="1" customHeight="1">
      <c r="A8" s="371">
        <v>45943.0</v>
      </c>
      <c r="B8" s="372">
        <v>114671.91</v>
      </c>
      <c r="C8" s="149"/>
      <c r="D8" s="149">
        <v>2304.0</v>
      </c>
      <c r="E8" s="149">
        <v>1463.0</v>
      </c>
      <c r="F8" s="149">
        <v>59.0</v>
      </c>
      <c r="G8" s="149">
        <v>48.0</v>
      </c>
      <c r="H8" s="149">
        <v>0.0</v>
      </c>
      <c r="I8" s="372">
        <v>0.0</v>
      </c>
      <c r="J8" s="151" t="s">
        <v>867</v>
      </c>
      <c r="K8" s="193">
        <f t="shared" si="1"/>
        <v>10</v>
      </c>
      <c r="L8" s="149">
        <v>114671.91</v>
      </c>
      <c r="M8" s="369"/>
      <c r="N8" s="370"/>
      <c r="O8" s="149"/>
      <c r="P8" s="149"/>
      <c r="Q8" s="149"/>
      <c r="R8" s="149"/>
      <c r="S8" s="149"/>
      <c r="T8" s="149"/>
      <c r="U8" s="149"/>
      <c r="V8" s="149"/>
      <c r="W8" s="149"/>
      <c r="X8" s="149"/>
      <c r="Y8" s="149"/>
      <c r="Z8" s="149"/>
      <c r="AA8" s="149"/>
      <c r="AB8" s="149"/>
      <c r="AC8" s="149"/>
      <c r="AD8" s="149"/>
      <c r="AE8" s="149"/>
      <c r="AF8" s="149"/>
      <c r="AG8" s="149"/>
      <c r="AH8" s="154"/>
    </row>
    <row r="9" ht="15.75" hidden="1" customHeight="1">
      <c r="A9" s="371">
        <v>45944.0</v>
      </c>
      <c r="B9" s="372">
        <v>208188.95</v>
      </c>
      <c r="C9" s="149"/>
      <c r="D9" s="149">
        <v>6046.0</v>
      </c>
      <c r="E9" s="149">
        <v>3210.0</v>
      </c>
      <c r="F9" s="149">
        <v>194.0</v>
      </c>
      <c r="G9" s="149">
        <v>133.0</v>
      </c>
      <c r="H9" s="149">
        <v>0.0</v>
      </c>
      <c r="I9" s="372">
        <v>0.0</v>
      </c>
      <c r="J9" s="151" t="s">
        <v>867</v>
      </c>
      <c r="K9" s="193">
        <f t="shared" si="1"/>
        <v>10</v>
      </c>
      <c r="L9" s="149">
        <v>208188.95</v>
      </c>
      <c r="M9" s="374"/>
      <c r="N9" s="375"/>
      <c r="O9" s="151"/>
      <c r="P9" s="151"/>
      <c r="Q9" s="151"/>
      <c r="R9" s="151"/>
      <c r="S9" s="151"/>
      <c r="T9" s="151"/>
      <c r="U9" s="151"/>
      <c r="V9" s="151"/>
      <c r="W9" s="151"/>
      <c r="X9" s="151"/>
      <c r="Y9" s="151"/>
      <c r="Z9" s="151"/>
      <c r="AA9" s="151"/>
      <c r="AB9" s="151"/>
      <c r="AC9" s="151"/>
      <c r="AD9" s="151"/>
      <c r="AE9" s="151"/>
      <c r="AF9" s="151"/>
      <c r="AG9" s="151"/>
      <c r="AH9" s="150"/>
    </row>
    <row r="10" ht="15.75" hidden="1" customHeight="1">
      <c r="A10" s="371">
        <v>45945.0</v>
      </c>
      <c r="B10" s="372">
        <v>281821.54</v>
      </c>
      <c r="C10" s="149"/>
      <c r="D10" s="149">
        <v>4691.0</v>
      </c>
      <c r="E10" s="149">
        <v>2499.0</v>
      </c>
      <c r="F10" s="149">
        <v>127.0</v>
      </c>
      <c r="G10" s="149">
        <v>89.0</v>
      </c>
      <c r="H10" s="149">
        <v>0.0</v>
      </c>
      <c r="I10" s="372">
        <v>0.0</v>
      </c>
      <c r="J10" s="151" t="s">
        <v>867</v>
      </c>
      <c r="K10" s="193">
        <f t="shared" si="1"/>
        <v>10</v>
      </c>
      <c r="L10" s="149">
        <v>281821.54</v>
      </c>
      <c r="M10" s="374"/>
      <c r="N10" s="375"/>
      <c r="O10" s="151"/>
      <c r="P10" s="151"/>
      <c r="Q10" s="151"/>
      <c r="R10" s="151"/>
      <c r="S10" s="151"/>
      <c r="T10" s="151"/>
      <c r="U10" s="151"/>
      <c r="V10" s="151"/>
      <c r="W10" s="151"/>
      <c r="X10" s="151"/>
      <c r="Y10" s="151"/>
      <c r="Z10" s="151"/>
      <c r="AA10" s="151"/>
      <c r="AB10" s="151"/>
      <c r="AC10" s="151"/>
      <c r="AD10" s="151"/>
      <c r="AE10" s="149"/>
      <c r="AF10" s="149"/>
      <c r="AG10" s="149"/>
      <c r="AH10" s="150"/>
    </row>
    <row r="11" ht="15.75" hidden="1" customHeight="1">
      <c r="A11" s="371">
        <v>45946.0</v>
      </c>
      <c r="B11" s="372">
        <v>257490.17</v>
      </c>
      <c r="C11" s="149"/>
      <c r="D11" s="149">
        <v>3031.0</v>
      </c>
      <c r="E11" s="149">
        <v>1765.0</v>
      </c>
      <c r="F11" s="149">
        <v>83.0</v>
      </c>
      <c r="G11" s="149">
        <v>51.0</v>
      </c>
      <c r="H11" s="149">
        <v>0.0</v>
      </c>
      <c r="I11" s="372">
        <v>0.0</v>
      </c>
      <c r="J11" s="151" t="s">
        <v>867</v>
      </c>
      <c r="K11" s="193">
        <f t="shared" si="1"/>
        <v>10</v>
      </c>
      <c r="L11" s="149">
        <v>257490.17</v>
      </c>
      <c r="M11" s="374"/>
      <c r="N11" s="375"/>
      <c r="O11" s="151"/>
      <c r="P11" s="151"/>
      <c r="Q11" s="151"/>
      <c r="R11" s="151"/>
      <c r="S11" s="151"/>
      <c r="T11" s="151"/>
      <c r="U11" s="151"/>
      <c r="V11" s="151"/>
      <c r="W11" s="151"/>
      <c r="X11" s="151"/>
      <c r="Y11" s="151"/>
      <c r="Z11" s="151"/>
      <c r="AA11" s="151"/>
      <c r="AB11" s="151"/>
      <c r="AC11" s="151"/>
      <c r="AD11" s="151"/>
      <c r="AE11" s="149"/>
      <c r="AF11" s="149"/>
      <c r="AG11" s="149"/>
      <c r="AH11" s="150"/>
    </row>
    <row r="12" ht="15.75" hidden="1" customHeight="1">
      <c r="A12" s="371">
        <v>45947.0</v>
      </c>
      <c r="B12" s="372">
        <v>0.0</v>
      </c>
      <c r="C12" s="149"/>
      <c r="D12" s="149">
        <v>7.0</v>
      </c>
      <c r="E12" s="149">
        <v>7.0</v>
      </c>
      <c r="F12" s="149">
        <v>0.0</v>
      </c>
      <c r="G12" s="149">
        <v>0.0</v>
      </c>
      <c r="H12" s="149">
        <v>0.0</v>
      </c>
      <c r="I12" s="372">
        <v>0.0</v>
      </c>
      <c r="J12" s="151" t="s">
        <v>867</v>
      </c>
      <c r="K12" s="193">
        <f t="shared" si="1"/>
        <v>10</v>
      </c>
      <c r="L12" s="151" t="s">
        <v>867</v>
      </c>
      <c r="M12" s="374"/>
      <c r="N12" s="375"/>
      <c r="O12" s="151"/>
      <c r="P12" s="151"/>
      <c r="Q12" s="151"/>
      <c r="R12" s="151"/>
      <c r="S12" s="151"/>
      <c r="T12" s="151"/>
      <c r="U12" s="151"/>
      <c r="V12" s="151"/>
      <c r="W12" s="151"/>
      <c r="X12" s="151"/>
      <c r="Y12" s="151"/>
      <c r="Z12" s="151"/>
      <c r="AA12" s="151"/>
      <c r="AB12" s="151"/>
      <c r="AC12" s="151"/>
      <c r="AD12" s="151"/>
      <c r="AE12" s="149"/>
      <c r="AF12" s="149"/>
      <c r="AG12" s="149"/>
      <c r="AH12" s="150"/>
    </row>
    <row r="13" ht="15.75" hidden="1" customHeight="1">
      <c r="A13" s="371">
        <v>45948.0</v>
      </c>
      <c r="B13" s="372">
        <v>4565.93</v>
      </c>
      <c r="C13" s="149"/>
      <c r="D13" s="149">
        <v>612.0</v>
      </c>
      <c r="E13" s="149">
        <v>390.0</v>
      </c>
      <c r="F13" s="149">
        <v>24.0</v>
      </c>
      <c r="G13" s="149">
        <v>22.0</v>
      </c>
      <c r="H13" s="149">
        <v>0.0</v>
      </c>
      <c r="I13" s="372">
        <v>0.0</v>
      </c>
      <c r="J13" s="151" t="s">
        <v>867</v>
      </c>
      <c r="K13" s="193">
        <f t="shared" si="1"/>
        <v>10</v>
      </c>
      <c r="L13" s="149">
        <v>4565.93</v>
      </c>
      <c r="M13" s="374"/>
      <c r="N13" s="375"/>
      <c r="O13" s="151"/>
      <c r="P13" s="151"/>
      <c r="Q13" s="151"/>
      <c r="R13" s="151"/>
      <c r="S13" s="151"/>
      <c r="T13" s="151"/>
      <c r="U13" s="151"/>
      <c r="V13" s="151"/>
      <c r="W13" s="151"/>
      <c r="X13" s="151"/>
      <c r="Y13" s="151"/>
      <c r="Z13" s="151"/>
      <c r="AA13" s="151"/>
      <c r="AB13" s="151"/>
      <c r="AC13" s="151"/>
      <c r="AD13" s="151"/>
      <c r="AE13" s="149"/>
      <c r="AF13" s="149"/>
      <c r="AG13" s="149"/>
      <c r="AH13" s="150"/>
    </row>
    <row r="14" ht="15.75" hidden="1" customHeight="1">
      <c r="A14" s="371">
        <v>45949.0</v>
      </c>
      <c r="B14" s="372">
        <v>109078.78</v>
      </c>
      <c r="C14" s="149"/>
      <c r="D14" s="149">
        <v>3550.0</v>
      </c>
      <c r="E14" s="149">
        <v>2044.0</v>
      </c>
      <c r="F14" s="149">
        <v>205.0</v>
      </c>
      <c r="G14" s="149">
        <v>125.0</v>
      </c>
      <c r="H14" s="149">
        <v>2.0</v>
      </c>
      <c r="I14" s="372">
        <v>741150.0</v>
      </c>
      <c r="J14" s="149">
        <v>6.79</v>
      </c>
      <c r="K14" s="193">
        <f t="shared" si="1"/>
        <v>10</v>
      </c>
      <c r="L14" s="149">
        <v>109078.78</v>
      </c>
      <c r="M14" s="374"/>
      <c r="N14" s="375"/>
      <c r="O14" s="151"/>
      <c r="P14" s="151"/>
      <c r="Q14" s="151"/>
      <c r="R14" s="151"/>
      <c r="S14" s="151"/>
      <c r="T14" s="151"/>
      <c r="U14" s="151"/>
      <c r="V14" s="151"/>
      <c r="W14" s="151"/>
      <c r="X14" s="151"/>
      <c r="Y14" s="151"/>
      <c r="Z14" s="151"/>
      <c r="AA14" s="151"/>
      <c r="AB14" s="151"/>
      <c r="AC14" s="151"/>
      <c r="AD14" s="151"/>
      <c r="AE14" s="149"/>
      <c r="AF14" s="149"/>
      <c r="AG14" s="149"/>
      <c r="AH14" s="150"/>
    </row>
    <row r="15" ht="15.75" hidden="1" customHeight="1">
      <c r="A15" s="371">
        <v>45950.0</v>
      </c>
      <c r="B15" s="372">
        <v>141281.25</v>
      </c>
      <c r="C15" s="149"/>
      <c r="D15" s="149">
        <v>5405.0</v>
      </c>
      <c r="E15" s="149">
        <v>2864.0</v>
      </c>
      <c r="F15" s="149">
        <v>364.0</v>
      </c>
      <c r="G15" s="149">
        <v>242.0</v>
      </c>
      <c r="H15" s="149">
        <v>1.0</v>
      </c>
      <c r="I15" s="372">
        <v>660600.0</v>
      </c>
      <c r="J15" s="149">
        <v>4.68</v>
      </c>
      <c r="K15" s="193">
        <f t="shared" si="1"/>
        <v>10</v>
      </c>
      <c r="L15" s="149">
        <v>141281.25</v>
      </c>
      <c r="M15" s="374"/>
      <c r="N15" s="375"/>
      <c r="O15" s="151"/>
      <c r="P15" s="151"/>
      <c r="Q15" s="151"/>
      <c r="R15" s="151"/>
      <c r="S15" s="151"/>
      <c r="T15" s="151"/>
      <c r="U15" s="151"/>
      <c r="V15" s="151"/>
      <c r="W15" s="151"/>
      <c r="X15" s="151"/>
      <c r="Y15" s="151"/>
      <c r="Z15" s="151"/>
      <c r="AA15" s="151"/>
      <c r="AB15" s="151"/>
      <c r="AC15" s="151"/>
      <c r="AD15" s="151"/>
      <c r="AE15" s="149"/>
      <c r="AF15" s="149"/>
      <c r="AG15" s="149"/>
      <c r="AH15" s="150"/>
    </row>
    <row r="16" ht="15.75" hidden="1" customHeight="1">
      <c r="A16" s="371">
        <v>45951.0</v>
      </c>
      <c r="B16" s="372">
        <v>148196.67</v>
      </c>
      <c r="C16" s="149"/>
      <c r="D16" s="149">
        <v>4070.0</v>
      </c>
      <c r="E16" s="149">
        <v>2290.0</v>
      </c>
      <c r="F16" s="149">
        <v>144.0</v>
      </c>
      <c r="G16" s="149">
        <v>93.0</v>
      </c>
      <c r="H16" s="149">
        <v>0.0</v>
      </c>
      <c r="I16" s="372">
        <v>0.0</v>
      </c>
      <c r="J16" s="151" t="s">
        <v>867</v>
      </c>
      <c r="K16" s="193">
        <f t="shared" si="1"/>
        <v>10</v>
      </c>
      <c r="L16" s="149">
        <v>148196.67</v>
      </c>
      <c r="M16" s="374"/>
      <c r="N16" s="375"/>
      <c r="O16" s="151"/>
      <c r="P16" s="151"/>
      <c r="Q16" s="151"/>
      <c r="R16" s="151"/>
      <c r="S16" s="151"/>
      <c r="T16" s="151"/>
      <c r="U16" s="151"/>
      <c r="V16" s="151"/>
      <c r="W16" s="151"/>
      <c r="X16" s="151"/>
      <c r="Y16" s="151"/>
      <c r="Z16" s="151"/>
      <c r="AA16" s="151"/>
      <c r="AB16" s="151"/>
      <c r="AC16" s="151"/>
      <c r="AD16" s="151"/>
      <c r="AE16" s="149"/>
      <c r="AF16" s="149"/>
      <c r="AG16" s="149"/>
      <c r="AH16" s="150"/>
    </row>
    <row r="17" ht="15.75" hidden="1" customHeight="1">
      <c r="A17" s="371">
        <v>45952.0</v>
      </c>
      <c r="B17" s="372">
        <v>191894.79</v>
      </c>
      <c r="C17" s="149"/>
      <c r="D17" s="149">
        <v>3274.0</v>
      </c>
      <c r="E17" s="149">
        <v>1826.0</v>
      </c>
      <c r="F17" s="149">
        <v>153.0</v>
      </c>
      <c r="G17" s="149">
        <v>84.0</v>
      </c>
      <c r="H17" s="149">
        <v>2.0</v>
      </c>
      <c r="I17" s="372">
        <v>1218750.0</v>
      </c>
      <c r="J17" s="149">
        <v>6.35</v>
      </c>
      <c r="K17" s="193">
        <f t="shared" si="1"/>
        <v>10</v>
      </c>
      <c r="L17" s="149">
        <v>191894.79</v>
      </c>
      <c r="M17" s="374"/>
      <c r="N17" s="375"/>
      <c r="O17" s="151"/>
      <c r="P17" s="151"/>
      <c r="Q17" s="151"/>
      <c r="R17" s="151"/>
      <c r="S17" s="151"/>
      <c r="T17" s="151"/>
      <c r="U17" s="151"/>
      <c r="V17" s="151"/>
      <c r="W17" s="151"/>
      <c r="X17" s="151"/>
      <c r="Y17" s="151"/>
      <c r="Z17" s="151"/>
      <c r="AA17" s="151"/>
      <c r="AB17" s="151"/>
      <c r="AC17" s="151"/>
      <c r="AD17" s="151"/>
      <c r="AE17" s="149"/>
      <c r="AF17" s="149"/>
      <c r="AG17" s="149"/>
      <c r="AH17" s="150"/>
    </row>
    <row r="18" ht="15.75" hidden="1" customHeight="1">
      <c r="A18" s="371">
        <v>45953.0</v>
      </c>
      <c r="B18" s="372">
        <v>232469.87</v>
      </c>
      <c r="C18" s="149"/>
      <c r="D18" s="149">
        <v>6382.0</v>
      </c>
      <c r="E18" s="149">
        <v>3219.0</v>
      </c>
      <c r="F18" s="149">
        <v>247.0</v>
      </c>
      <c r="G18" s="149">
        <v>188.0</v>
      </c>
      <c r="H18" s="149">
        <v>0.0</v>
      </c>
      <c r="I18" s="372">
        <v>0.0</v>
      </c>
      <c r="J18" s="151" t="s">
        <v>867</v>
      </c>
      <c r="K18" s="193">
        <f t="shared" si="1"/>
        <v>10</v>
      </c>
      <c r="L18" s="149">
        <v>232469.87</v>
      </c>
      <c r="M18" s="374"/>
      <c r="N18" s="375"/>
      <c r="O18" s="151"/>
      <c r="P18" s="151"/>
      <c r="Q18" s="151"/>
      <c r="R18" s="151"/>
      <c r="S18" s="151"/>
      <c r="T18" s="151"/>
      <c r="U18" s="151"/>
      <c r="V18" s="151"/>
      <c r="W18" s="151"/>
      <c r="X18" s="151"/>
      <c r="Y18" s="151"/>
      <c r="Z18" s="151"/>
      <c r="AA18" s="151"/>
      <c r="AB18" s="151"/>
      <c r="AC18" s="151"/>
      <c r="AD18" s="151"/>
      <c r="AE18" s="149"/>
      <c r="AF18" s="149"/>
      <c r="AG18" s="149"/>
      <c r="AH18" s="150"/>
    </row>
    <row r="19" ht="15.75" hidden="1" customHeight="1">
      <c r="A19" s="376">
        <v>45954.0</v>
      </c>
      <c r="B19" s="377">
        <f t="shared" ref="B19:B26" si="2">L19+S19</f>
        <v>280466.25</v>
      </c>
      <c r="C19" s="378"/>
      <c r="D19" s="378">
        <v>5455.0</v>
      </c>
      <c r="E19" s="378">
        <v>3077.0</v>
      </c>
      <c r="F19" s="378">
        <v>208.0</v>
      </c>
      <c r="G19" s="378">
        <v>163.0</v>
      </c>
      <c r="H19" s="378">
        <v>0.0</v>
      </c>
      <c r="I19" s="377">
        <v>0.0</v>
      </c>
      <c r="J19" s="379" t="s">
        <v>867</v>
      </c>
      <c r="K19" s="350">
        <f t="shared" si="1"/>
        <v>10</v>
      </c>
      <c r="L19" s="378">
        <v>223846.25</v>
      </c>
      <c r="M19" s="380"/>
      <c r="N19" s="381" t="s">
        <v>949</v>
      </c>
      <c r="O19" s="378" t="s">
        <v>950</v>
      </c>
      <c r="P19" s="376">
        <v>45954.0</v>
      </c>
      <c r="Q19" s="378">
        <v>3313.0</v>
      </c>
      <c r="R19" s="378">
        <v>19.0</v>
      </c>
      <c r="S19" s="378">
        <v>56620.0</v>
      </c>
      <c r="T19" s="379">
        <v>0.0</v>
      </c>
      <c r="U19" s="378">
        <v>0.0</v>
      </c>
      <c r="V19" s="379">
        <v>0.0</v>
      </c>
      <c r="W19" s="378">
        <v>0.0</v>
      </c>
      <c r="X19" s="378" t="s">
        <v>867</v>
      </c>
      <c r="Y19" s="378" t="s">
        <v>951</v>
      </c>
      <c r="Z19" s="378">
        <v>17090.0</v>
      </c>
      <c r="AA19" s="382">
        <v>0.0</v>
      </c>
      <c r="AB19" s="382">
        <v>0.0</v>
      </c>
      <c r="AC19" s="379"/>
      <c r="AD19" s="379"/>
      <c r="AE19" s="378"/>
      <c r="AF19" s="378"/>
      <c r="AG19" s="378"/>
      <c r="AH19" s="383"/>
    </row>
    <row r="20" ht="15.75" hidden="1" customHeight="1">
      <c r="A20" s="371">
        <v>45955.0</v>
      </c>
      <c r="B20" s="377">
        <f t="shared" si="2"/>
        <v>485511.26</v>
      </c>
      <c r="C20" s="149"/>
      <c r="D20" s="149">
        <v>3910.0</v>
      </c>
      <c r="E20" s="149">
        <v>2467.0</v>
      </c>
      <c r="F20" s="149">
        <v>188.0</v>
      </c>
      <c r="G20" s="149">
        <v>153.0</v>
      </c>
      <c r="H20" s="149">
        <v>0.0</v>
      </c>
      <c r="I20" s="372">
        <v>0.0</v>
      </c>
      <c r="J20" s="151" t="s">
        <v>867</v>
      </c>
      <c r="K20" s="193">
        <f t="shared" si="1"/>
        <v>10</v>
      </c>
      <c r="L20" s="149">
        <v>361758.26</v>
      </c>
      <c r="M20" s="374"/>
      <c r="N20" s="370" t="s">
        <v>949</v>
      </c>
      <c r="O20" s="149" t="s">
        <v>950</v>
      </c>
      <c r="P20" s="371">
        <v>45955.0</v>
      </c>
      <c r="Q20" s="149">
        <v>7766.0</v>
      </c>
      <c r="R20" s="149">
        <v>45.0</v>
      </c>
      <c r="S20" s="149">
        <v>123753.0</v>
      </c>
      <c r="T20" s="151">
        <v>0.0</v>
      </c>
      <c r="U20" s="149">
        <v>0.0</v>
      </c>
      <c r="V20" s="151">
        <v>0.0</v>
      </c>
      <c r="W20" s="149">
        <v>0.0</v>
      </c>
      <c r="X20" s="149" t="s">
        <v>867</v>
      </c>
      <c r="Y20" s="149" t="s">
        <v>952</v>
      </c>
      <c r="Z20" s="149">
        <v>15935.0</v>
      </c>
      <c r="AA20" s="384">
        <v>0.0</v>
      </c>
      <c r="AB20" s="384">
        <v>0.0</v>
      </c>
      <c r="AC20" s="151"/>
      <c r="AD20" s="151"/>
      <c r="AE20" s="149"/>
      <c r="AF20" s="149"/>
      <c r="AG20" s="149"/>
      <c r="AH20" s="150"/>
    </row>
    <row r="21" ht="15.75" hidden="1" customHeight="1">
      <c r="A21" s="371">
        <v>45956.0</v>
      </c>
      <c r="B21" s="377">
        <f t="shared" si="2"/>
        <v>342496.39</v>
      </c>
      <c r="C21" s="149"/>
      <c r="D21" s="149">
        <v>4414.0</v>
      </c>
      <c r="E21" s="149">
        <v>2472.0</v>
      </c>
      <c r="F21" s="149">
        <v>246.0</v>
      </c>
      <c r="G21" s="149">
        <v>164.0</v>
      </c>
      <c r="H21" s="149">
        <v>0.0</v>
      </c>
      <c r="I21" s="372">
        <v>0.0</v>
      </c>
      <c r="J21" s="151" t="s">
        <v>867</v>
      </c>
      <c r="K21" s="193">
        <f t="shared" si="1"/>
        <v>10</v>
      </c>
      <c r="L21" s="149">
        <v>223101.39</v>
      </c>
      <c r="M21" s="374"/>
      <c r="N21" s="370" t="s">
        <v>949</v>
      </c>
      <c r="O21" s="149" t="s">
        <v>950</v>
      </c>
      <c r="P21" s="371">
        <v>45956.0</v>
      </c>
      <c r="Q21" s="149">
        <v>5067.0</v>
      </c>
      <c r="R21" s="149">
        <v>40.0</v>
      </c>
      <c r="S21" s="149">
        <v>119395.0</v>
      </c>
      <c r="T21" s="151">
        <v>0.0</v>
      </c>
      <c r="U21" s="149">
        <v>0.0</v>
      </c>
      <c r="V21" s="151">
        <v>0.0</v>
      </c>
      <c r="W21" s="149">
        <v>0.0</v>
      </c>
      <c r="X21" s="149" t="s">
        <v>867</v>
      </c>
      <c r="Y21" s="149" t="s">
        <v>953</v>
      </c>
      <c r="Z21" s="149">
        <v>23563.0</v>
      </c>
      <c r="AA21" s="384">
        <v>0.0</v>
      </c>
      <c r="AB21" s="384">
        <v>0.0</v>
      </c>
      <c r="AC21" s="151"/>
      <c r="AD21" s="151"/>
      <c r="AE21" s="149"/>
      <c r="AF21" s="149"/>
      <c r="AG21" s="149"/>
      <c r="AH21" s="150"/>
    </row>
    <row r="22" ht="15.75" hidden="1" customHeight="1">
      <c r="A22" s="371">
        <v>45957.0</v>
      </c>
      <c r="B22" s="377">
        <f t="shared" si="2"/>
        <v>317099.84</v>
      </c>
      <c r="C22" s="149"/>
      <c r="D22" s="149">
        <v>7101.0</v>
      </c>
      <c r="E22" s="149">
        <v>3803.0</v>
      </c>
      <c r="F22" s="149">
        <v>260.0</v>
      </c>
      <c r="G22" s="149">
        <v>199.0</v>
      </c>
      <c r="H22" s="149">
        <v>0.0</v>
      </c>
      <c r="I22" s="372" t="s">
        <v>867</v>
      </c>
      <c r="J22" s="151" t="s">
        <v>867</v>
      </c>
      <c r="K22" s="193">
        <f t="shared" si="1"/>
        <v>10</v>
      </c>
      <c r="L22" s="151">
        <v>317099.84</v>
      </c>
      <c r="M22" s="374"/>
      <c r="N22" s="370" t="s">
        <v>949</v>
      </c>
      <c r="O22" s="149" t="s">
        <v>950</v>
      </c>
      <c r="P22" s="371">
        <v>45957.0</v>
      </c>
      <c r="Q22" s="149">
        <v>0.0</v>
      </c>
      <c r="R22" s="149">
        <v>0.0</v>
      </c>
      <c r="S22" s="149">
        <v>0.0</v>
      </c>
      <c r="T22" s="151">
        <v>0.0</v>
      </c>
      <c r="U22" s="149">
        <v>0.0</v>
      </c>
      <c r="V22" s="151">
        <v>0.0</v>
      </c>
      <c r="W22" s="149">
        <v>0.0</v>
      </c>
      <c r="X22" s="149" t="s">
        <v>867</v>
      </c>
      <c r="Y22" s="149" t="s">
        <v>954</v>
      </c>
      <c r="Z22" s="149" t="s">
        <v>954</v>
      </c>
      <c r="AA22" s="149" t="s">
        <v>954</v>
      </c>
      <c r="AB22" s="149" t="s">
        <v>954</v>
      </c>
      <c r="AC22" s="151"/>
      <c r="AD22" s="151"/>
      <c r="AE22" s="149"/>
      <c r="AF22" s="149"/>
      <c r="AG22" s="149"/>
      <c r="AH22" s="150"/>
    </row>
    <row r="23" ht="15.75" hidden="1" customHeight="1">
      <c r="A23" s="371">
        <v>45958.0</v>
      </c>
      <c r="B23" s="377">
        <f t="shared" si="2"/>
        <v>41693.12</v>
      </c>
      <c r="C23" s="149"/>
      <c r="D23" s="149">
        <v>915.0</v>
      </c>
      <c r="E23" s="149">
        <v>492.0</v>
      </c>
      <c r="F23" s="149">
        <v>39.0</v>
      </c>
      <c r="G23" s="149">
        <v>34.0</v>
      </c>
      <c r="H23" s="149">
        <v>0.0</v>
      </c>
      <c r="I23" s="372" t="s">
        <v>867</v>
      </c>
      <c r="J23" s="151" t="s">
        <v>867</v>
      </c>
      <c r="K23" s="193">
        <f t="shared" si="1"/>
        <v>10</v>
      </c>
      <c r="L23" s="151">
        <v>41693.12</v>
      </c>
      <c r="M23" s="374"/>
      <c r="N23" s="375"/>
      <c r="O23" s="151"/>
      <c r="P23" s="151"/>
      <c r="Q23" s="151"/>
      <c r="R23" s="151"/>
      <c r="S23" s="151"/>
      <c r="T23" s="151"/>
      <c r="U23" s="151"/>
      <c r="V23" s="151"/>
      <c r="W23" s="151"/>
      <c r="X23" s="151"/>
      <c r="Y23" s="151"/>
      <c r="Z23" s="151"/>
      <c r="AA23" s="151"/>
      <c r="AB23" s="151"/>
      <c r="AC23" s="151"/>
      <c r="AD23" s="151"/>
      <c r="AE23" s="149"/>
      <c r="AF23" s="149"/>
      <c r="AG23" s="149"/>
      <c r="AH23" s="150"/>
    </row>
    <row r="24" ht="15.75" hidden="1" customHeight="1">
      <c r="A24" s="371">
        <v>45959.0</v>
      </c>
      <c r="B24" s="377">
        <f t="shared" si="2"/>
        <v>0</v>
      </c>
      <c r="C24" s="149"/>
      <c r="D24" s="149">
        <v>6.0</v>
      </c>
      <c r="E24" s="149">
        <v>6.0</v>
      </c>
      <c r="F24" s="149">
        <v>0.0</v>
      </c>
      <c r="G24" s="149">
        <v>0.0</v>
      </c>
      <c r="H24" s="149">
        <v>0.0</v>
      </c>
      <c r="I24" s="151" t="s">
        <v>867</v>
      </c>
      <c r="J24" s="151" t="s">
        <v>867</v>
      </c>
      <c r="K24" s="193">
        <f t="shared" si="1"/>
        <v>10</v>
      </c>
      <c r="L24" s="149"/>
      <c r="M24" s="374"/>
      <c r="N24" s="375"/>
      <c r="O24" s="151"/>
      <c r="P24" s="151"/>
      <c r="Q24" s="151"/>
      <c r="R24" s="151"/>
      <c r="S24" s="151"/>
      <c r="T24" s="151"/>
      <c r="U24" s="151"/>
      <c r="V24" s="151"/>
      <c r="W24" s="151"/>
      <c r="X24" s="151"/>
      <c r="Y24" s="151"/>
      <c r="Z24" s="151"/>
      <c r="AA24" s="151"/>
      <c r="AB24" s="151"/>
      <c r="AC24" s="151"/>
      <c r="AD24" s="151"/>
      <c r="AE24" s="149"/>
      <c r="AF24" s="149"/>
      <c r="AG24" s="149"/>
      <c r="AH24" s="150"/>
    </row>
    <row r="25" ht="15.75" hidden="1" customHeight="1">
      <c r="A25" s="371">
        <v>45960.0</v>
      </c>
      <c r="B25" s="377">
        <f t="shared" si="2"/>
        <v>0</v>
      </c>
      <c r="C25" s="149"/>
      <c r="D25" s="149">
        <v>4.0</v>
      </c>
      <c r="E25" s="149">
        <v>4.0</v>
      </c>
      <c r="F25" s="149">
        <v>0.0</v>
      </c>
      <c r="G25" s="149">
        <v>0.0</v>
      </c>
      <c r="H25" s="149">
        <v>0.0</v>
      </c>
      <c r="I25" s="151" t="s">
        <v>867</v>
      </c>
      <c r="J25" s="151" t="s">
        <v>867</v>
      </c>
      <c r="K25" s="193">
        <f t="shared" si="1"/>
        <v>10</v>
      </c>
      <c r="L25" s="149"/>
      <c r="M25" s="374"/>
      <c r="N25" s="151"/>
      <c r="O25" s="151"/>
      <c r="P25" s="151"/>
      <c r="Q25" s="151"/>
      <c r="R25" s="151"/>
      <c r="S25" s="151"/>
      <c r="T25" s="151"/>
      <c r="U25" s="151"/>
      <c r="V25" s="151"/>
      <c r="W25" s="151"/>
      <c r="X25" s="151"/>
      <c r="Y25" s="151"/>
      <c r="Z25" s="151"/>
      <c r="AA25" s="151"/>
      <c r="AB25" s="151"/>
      <c r="AC25" s="151"/>
      <c r="AD25" s="151"/>
      <c r="AE25" s="149"/>
      <c r="AF25" s="149"/>
      <c r="AG25" s="149"/>
      <c r="AH25" s="150"/>
    </row>
    <row r="26" ht="15.75" hidden="1" customHeight="1">
      <c r="A26" s="371">
        <v>45961.0</v>
      </c>
      <c r="B26" s="377">
        <f t="shared" si="2"/>
        <v>0</v>
      </c>
      <c r="C26" s="149"/>
      <c r="D26" s="149"/>
      <c r="E26" s="149"/>
      <c r="F26" s="151"/>
      <c r="G26" s="149"/>
      <c r="H26" s="149"/>
      <c r="I26" s="149"/>
      <c r="J26" s="149"/>
      <c r="K26" s="152"/>
      <c r="L26" s="149"/>
      <c r="M26" s="374"/>
      <c r="N26" s="151"/>
      <c r="O26" s="151"/>
      <c r="P26" s="151"/>
      <c r="Q26" s="151"/>
      <c r="R26" s="151"/>
      <c r="S26" s="151"/>
      <c r="T26" s="151"/>
      <c r="U26" s="151"/>
      <c r="V26" s="151"/>
      <c r="W26" s="151"/>
      <c r="X26" s="151"/>
      <c r="Y26" s="151"/>
      <c r="Z26" s="151"/>
      <c r="AA26" s="151"/>
      <c r="AB26" s="151"/>
      <c r="AC26" s="151"/>
      <c r="AD26" s="151"/>
      <c r="AE26" s="149"/>
      <c r="AF26" s="149"/>
      <c r="AG26" s="149"/>
      <c r="AH26" s="150"/>
    </row>
    <row r="27" ht="15.75" customHeight="1">
      <c r="A27" s="149"/>
      <c r="M27" s="385"/>
      <c r="AH27" s="156"/>
    </row>
    <row r="28" ht="15.75" customHeight="1">
      <c r="A28" s="369"/>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c r="AF28" s="385"/>
      <c r="AG28" s="385"/>
      <c r="AH28" s="386"/>
    </row>
    <row r="29" ht="15.75" customHeight="1">
      <c r="A29" s="365"/>
      <c r="B29" s="366">
        <f>SUM(B31:B62)</f>
        <v>1943820</v>
      </c>
      <c r="C29" s="365"/>
      <c r="D29" s="365"/>
      <c r="E29" s="365"/>
      <c r="F29" s="365"/>
      <c r="G29" s="365"/>
      <c r="H29" s="365"/>
      <c r="I29" s="366">
        <f>SUM(I31:I62)</f>
        <v>1357762</v>
      </c>
      <c r="J29" s="366"/>
      <c r="K29" s="365"/>
      <c r="L29" s="365"/>
      <c r="M29" s="367"/>
      <c r="N29" s="365"/>
      <c r="O29" s="365"/>
      <c r="P29" s="365"/>
      <c r="Q29" s="365"/>
      <c r="R29" s="365"/>
      <c r="S29" s="365"/>
      <c r="T29" s="365"/>
      <c r="U29" s="365"/>
      <c r="V29" s="365"/>
      <c r="W29" s="365"/>
      <c r="X29" s="365"/>
      <c r="Y29" s="365"/>
      <c r="Z29" s="365"/>
      <c r="AA29" s="365"/>
      <c r="AB29" s="365"/>
      <c r="AC29" s="365"/>
      <c r="AD29" s="365"/>
      <c r="AE29" s="365"/>
      <c r="AF29" s="365"/>
      <c r="AG29" s="365"/>
      <c r="AH29" s="368"/>
    </row>
    <row r="30" ht="15.75" customHeight="1">
      <c r="A30" s="387" t="s">
        <v>33</v>
      </c>
      <c r="B30" s="388" t="s">
        <v>929</v>
      </c>
      <c r="C30" s="387" t="s">
        <v>929</v>
      </c>
      <c r="D30" s="387" t="s">
        <v>930</v>
      </c>
      <c r="E30" s="387" t="s">
        <v>931</v>
      </c>
      <c r="F30" s="387" t="s">
        <v>852</v>
      </c>
      <c r="G30" s="387" t="s">
        <v>932</v>
      </c>
      <c r="H30" s="387" t="s">
        <v>933</v>
      </c>
      <c r="I30" s="387" t="s">
        <v>934</v>
      </c>
      <c r="J30" s="387" t="s">
        <v>20</v>
      </c>
      <c r="K30" s="389" t="s">
        <v>93</v>
      </c>
      <c r="L30" s="387"/>
      <c r="M30" s="390"/>
      <c r="N30" s="391" t="s">
        <v>929</v>
      </c>
      <c r="O30" s="391" t="s">
        <v>955</v>
      </c>
      <c r="P30" s="391" t="s">
        <v>956</v>
      </c>
      <c r="Q30" s="391" t="s">
        <v>957</v>
      </c>
      <c r="R30" s="391" t="s">
        <v>958</v>
      </c>
      <c r="S30" s="391" t="s">
        <v>959</v>
      </c>
      <c r="T30" s="391" t="s">
        <v>934</v>
      </c>
      <c r="U30" s="391" t="s">
        <v>960</v>
      </c>
      <c r="V30" s="387"/>
      <c r="W30" s="387"/>
      <c r="X30" s="387"/>
      <c r="Y30" s="387"/>
      <c r="Z30" s="387"/>
      <c r="AA30" s="387"/>
      <c r="AB30" s="387"/>
      <c r="AC30" s="387"/>
      <c r="AD30" s="387"/>
      <c r="AE30" s="387"/>
      <c r="AF30" s="387"/>
      <c r="AG30" s="387"/>
      <c r="AH30" s="392"/>
    </row>
    <row r="31" ht="15.75" customHeight="1">
      <c r="A31" s="393">
        <v>45982.99998842592</v>
      </c>
      <c r="B31" s="394">
        <v>262857.0</v>
      </c>
      <c r="C31" s="395">
        <v>0.0</v>
      </c>
      <c r="D31" s="168">
        <v>0.0</v>
      </c>
      <c r="E31" s="168">
        <v>0.0</v>
      </c>
      <c r="F31" s="168" t="s">
        <v>954</v>
      </c>
      <c r="G31" s="168">
        <v>0.0</v>
      </c>
      <c r="H31" s="168">
        <v>0.0</v>
      </c>
      <c r="I31" s="395">
        <v>0.0</v>
      </c>
      <c r="J31" s="169">
        <v>0.0</v>
      </c>
      <c r="K31" s="193">
        <f t="shared" ref="K31:K75" si="3">MONTH(A31)</f>
        <v>11</v>
      </c>
      <c r="L31" s="149"/>
      <c r="M31" s="369"/>
      <c r="N31" s="396">
        <v>0.0</v>
      </c>
      <c r="O31" s="397">
        <v>1.0</v>
      </c>
      <c r="P31" s="397">
        <v>0.0</v>
      </c>
      <c r="Q31" s="397" t="s">
        <v>143</v>
      </c>
      <c r="R31" s="397">
        <v>0.0</v>
      </c>
      <c r="S31" s="397">
        <v>0.0</v>
      </c>
      <c r="T31" s="396" t="s">
        <v>867</v>
      </c>
      <c r="U31" s="396" t="s">
        <v>867</v>
      </c>
      <c r="AC31" s="149"/>
      <c r="AD31" s="149"/>
      <c r="AE31" s="149"/>
      <c r="AF31" s="149"/>
      <c r="AG31" s="149"/>
      <c r="AH31" s="150"/>
    </row>
    <row r="32" ht="15.75" customHeight="1">
      <c r="A32" s="393">
        <v>45981.99998842592</v>
      </c>
      <c r="B32" s="394">
        <v>152732.0</v>
      </c>
      <c r="C32" s="395">
        <v>0.0</v>
      </c>
      <c r="D32" s="168">
        <v>0.0</v>
      </c>
      <c r="E32" s="168">
        <v>0.0</v>
      </c>
      <c r="F32" s="168" t="s">
        <v>954</v>
      </c>
      <c r="G32" s="168">
        <v>0.0</v>
      </c>
      <c r="H32" s="168">
        <v>0.0</v>
      </c>
      <c r="I32" s="395">
        <v>0.0</v>
      </c>
      <c r="J32" s="169">
        <v>0.0</v>
      </c>
      <c r="K32" s="193">
        <f t="shared" si="3"/>
        <v>11</v>
      </c>
      <c r="L32" s="149"/>
      <c r="M32" s="369"/>
      <c r="N32" s="396">
        <v>0.0</v>
      </c>
      <c r="O32" s="397">
        <v>2.0</v>
      </c>
      <c r="P32" s="397">
        <v>0.0</v>
      </c>
      <c r="Q32" s="397" t="s">
        <v>143</v>
      </c>
      <c r="R32" s="397">
        <v>0.0</v>
      </c>
      <c r="S32" s="397">
        <v>0.0</v>
      </c>
      <c r="T32" s="396" t="s">
        <v>867</v>
      </c>
      <c r="U32" s="396" t="s">
        <v>867</v>
      </c>
      <c r="AC32" s="149"/>
      <c r="AD32" s="149"/>
      <c r="AE32" s="149"/>
      <c r="AF32" s="149"/>
      <c r="AG32" s="149"/>
      <c r="AH32" s="150"/>
    </row>
    <row r="33" ht="15.75" customHeight="1">
      <c r="A33" s="393">
        <v>45980.99998842592</v>
      </c>
      <c r="B33" s="394">
        <v>239690.0</v>
      </c>
      <c r="C33" s="395">
        <v>0.0</v>
      </c>
      <c r="D33" s="168">
        <v>0.0</v>
      </c>
      <c r="E33" s="168">
        <v>0.0</v>
      </c>
      <c r="F33" s="168" t="s">
        <v>954</v>
      </c>
      <c r="G33" s="168">
        <v>0.0</v>
      </c>
      <c r="H33" s="168">
        <v>0.0</v>
      </c>
      <c r="I33" s="395">
        <v>0.0</v>
      </c>
      <c r="J33" s="169">
        <v>0.0</v>
      </c>
      <c r="K33" s="193">
        <f t="shared" si="3"/>
        <v>11</v>
      </c>
      <c r="L33" s="149"/>
      <c r="M33" s="369"/>
      <c r="N33" s="396">
        <v>0.0</v>
      </c>
      <c r="O33" s="397">
        <v>1.0</v>
      </c>
      <c r="P33" s="397">
        <v>0.0</v>
      </c>
      <c r="Q33" s="397" t="s">
        <v>143</v>
      </c>
      <c r="R33" s="397">
        <v>0.0</v>
      </c>
      <c r="S33" s="397">
        <v>0.0</v>
      </c>
      <c r="T33" s="396" t="s">
        <v>867</v>
      </c>
      <c r="U33" s="396" t="s">
        <v>867</v>
      </c>
      <c r="AC33" s="149"/>
      <c r="AD33" s="149"/>
      <c r="AE33" s="149"/>
      <c r="AF33" s="149"/>
      <c r="AG33" s="149"/>
      <c r="AH33" s="150"/>
    </row>
    <row r="34" ht="15.75" customHeight="1">
      <c r="A34" s="393">
        <v>45979.99998842592</v>
      </c>
      <c r="B34" s="394">
        <v>281572.0</v>
      </c>
      <c r="C34" s="395">
        <v>0.0</v>
      </c>
      <c r="D34" s="168">
        <v>0.0</v>
      </c>
      <c r="E34" s="168">
        <v>0.0</v>
      </c>
      <c r="F34" s="168" t="s">
        <v>954</v>
      </c>
      <c r="G34" s="168">
        <v>0.0</v>
      </c>
      <c r="H34" s="168">
        <v>0.0</v>
      </c>
      <c r="I34" s="395">
        <v>0.0</v>
      </c>
      <c r="J34" s="169">
        <v>0.0</v>
      </c>
      <c r="K34" s="193">
        <f t="shared" si="3"/>
        <v>11</v>
      </c>
      <c r="L34" s="149"/>
      <c r="M34" s="369"/>
      <c r="N34" s="396">
        <v>0.0</v>
      </c>
      <c r="O34" s="397">
        <v>1.0</v>
      </c>
      <c r="P34" s="397">
        <v>0.0</v>
      </c>
      <c r="Q34" s="397" t="s">
        <v>143</v>
      </c>
      <c r="R34" s="397">
        <v>0.0</v>
      </c>
      <c r="S34" s="397">
        <v>0.0</v>
      </c>
      <c r="T34" s="396" t="s">
        <v>867</v>
      </c>
      <c r="U34" s="396" t="s">
        <v>867</v>
      </c>
      <c r="AC34" s="149"/>
      <c r="AD34" s="149"/>
      <c r="AE34" s="149"/>
      <c r="AF34" s="149"/>
      <c r="AG34" s="149"/>
      <c r="AH34" s="150"/>
    </row>
    <row r="35" ht="15.75" customHeight="1">
      <c r="A35" s="393">
        <v>45978.99998842592</v>
      </c>
      <c r="B35" s="394">
        <v>52403.0</v>
      </c>
      <c r="C35" s="395">
        <v>0.0</v>
      </c>
      <c r="D35" s="168">
        <v>0.0</v>
      </c>
      <c r="E35" s="168">
        <v>0.0</v>
      </c>
      <c r="F35" s="168" t="s">
        <v>954</v>
      </c>
      <c r="G35" s="168">
        <v>0.0</v>
      </c>
      <c r="H35" s="168">
        <v>0.0</v>
      </c>
      <c r="I35" s="395">
        <v>0.0</v>
      </c>
      <c r="J35" s="169">
        <v>0.0</v>
      </c>
      <c r="K35" s="193">
        <f t="shared" si="3"/>
        <v>11</v>
      </c>
      <c r="L35" s="149"/>
      <c r="M35" s="369"/>
      <c r="N35" s="396">
        <v>0.0</v>
      </c>
      <c r="O35" s="397">
        <v>0.0</v>
      </c>
      <c r="P35" s="397">
        <v>0.0</v>
      </c>
      <c r="Q35" s="397" t="s">
        <v>954</v>
      </c>
      <c r="R35" s="397">
        <v>0.0</v>
      </c>
      <c r="S35" s="397">
        <v>0.0</v>
      </c>
      <c r="T35" s="396" t="s">
        <v>867</v>
      </c>
      <c r="U35" s="396" t="s">
        <v>867</v>
      </c>
      <c r="V35" s="149"/>
      <c r="W35" s="149"/>
      <c r="X35" s="153"/>
      <c r="Y35" s="153"/>
      <c r="Z35" s="153"/>
      <c r="AA35" s="149"/>
      <c r="AB35" s="149"/>
      <c r="AC35" s="149"/>
      <c r="AD35" s="149"/>
      <c r="AE35" s="149"/>
      <c r="AF35" s="149"/>
      <c r="AG35" s="149"/>
      <c r="AH35" s="150"/>
    </row>
    <row r="36" ht="15.75" customHeight="1">
      <c r="A36" s="393">
        <v>45974.99998842592</v>
      </c>
      <c r="B36" s="394">
        <v>412928.0</v>
      </c>
      <c r="C36" s="395">
        <v>0.0</v>
      </c>
      <c r="D36" s="168">
        <v>0.0</v>
      </c>
      <c r="E36" s="168">
        <v>0.0</v>
      </c>
      <c r="F36" s="168" t="s">
        <v>954</v>
      </c>
      <c r="G36" s="168">
        <v>0.0</v>
      </c>
      <c r="H36" s="168">
        <v>0.0</v>
      </c>
      <c r="I36" s="395">
        <v>0.0</v>
      </c>
      <c r="J36" s="169">
        <v>0.0</v>
      </c>
      <c r="K36" s="193">
        <f t="shared" si="3"/>
        <v>11</v>
      </c>
      <c r="L36" s="149"/>
      <c r="M36" s="369"/>
      <c r="N36" s="396">
        <v>0.0</v>
      </c>
      <c r="O36" s="397">
        <v>1.0</v>
      </c>
      <c r="P36" s="397">
        <v>0.0</v>
      </c>
      <c r="Q36" s="397" t="s">
        <v>143</v>
      </c>
      <c r="R36" s="397">
        <v>0.0</v>
      </c>
      <c r="S36" s="397">
        <v>0.0</v>
      </c>
      <c r="T36" s="396" t="s">
        <v>867</v>
      </c>
      <c r="U36" s="396" t="s">
        <v>867</v>
      </c>
      <c r="V36" s="149"/>
      <c r="W36" s="149"/>
      <c r="X36" s="149"/>
      <c r="Y36" s="149"/>
      <c r="Z36" s="149"/>
      <c r="AA36" s="149"/>
      <c r="AB36" s="149"/>
      <c r="AC36" s="149"/>
      <c r="AD36" s="149"/>
      <c r="AE36" s="149"/>
      <c r="AF36" s="149"/>
      <c r="AG36" s="149"/>
      <c r="AH36" s="154"/>
    </row>
    <row r="37" ht="15.75" customHeight="1">
      <c r="A37" s="393">
        <v>45973.99998842592</v>
      </c>
      <c r="B37" s="394">
        <v>46148.0</v>
      </c>
      <c r="C37" s="395">
        <v>28645.85</v>
      </c>
      <c r="D37" s="168">
        <v>244.0</v>
      </c>
      <c r="E37" s="168">
        <v>35.0</v>
      </c>
      <c r="F37" s="398">
        <v>0.1434</v>
      </c>
      <c r="G37" s="168">
        <v>0.0</v>
      </c>
      <c r="H37" s="168">
        <v>0.0</v>
      </c>
      <c r="I37" s="395">
        <v>0.0</v>
      </c>
      <c r="J37" s="169">
        <v>0.0</v>
      </c>
      <c r="K37" s="193">
        <f t="shared" si="3"/>
        <v>11</v>
      </c>
      <c r="L37" s="149"/>
      <c r="M37" s="374"/>
      <c r="N37" s="396">
        <v>15865.76</v>
      </c>
      <c r="O37" s="397">
        <v>576.0</v>
      </c>
      <c r="P37" s="397">
        <v>23.0</v>
      </c>
      <c r="Q37" s="397" t="s">
        <v>961</v>
      </c>
      <c r="R37" s="397">
        <v>0.0</v>
      </c>
      <c r="S37" s="397">
        <v>0.0</v>
      </c>
      <c r="T37" s="396" t="s">
        <v>867</v>
      </c>
      <c r="U37" s="396" t="s">
        <v>867</v>
      </c>
      <c r="V37" s="151"/>
      <c r="W37" s="151"/>
      <c r="X37" s="151"/>
      <c r="Y37" s="151"/>
      <c r="Z37" s="151"/>
      <c r="AA37" s="151"/>
      <c r="AB37" s="151"/>
      <c r="AC37" s="151"/>
      <c r="AD37" s="151"/>
      <c r="AE37" s="151"/>
      <c r="AF37" s="151"/>
      <c r="AG37" s="151"/>
      <c r="AH37" s="150"/>
    </row>
    <row r="38" ht="15.75" customHeight="1">
      <c r="A38" s="393">
        <v>45972.99998842592</v>
      </c>
      <c r="B38" s="394">
        <v>51443.0</v>
      </c>
      <c r="C38" s="395">
        <v>101747.89</v>
      </c>
      <c r="D38" s="168">
        <v>1304.0</v>
      </c>
      <c r="E38" s="168">
        <v>17.0</v>
      </c>
      <c r="F38" s="398">
        <v>0.013</v>
      </c>
      <c r="G38" s="168">
        <v>1.0</v>
      </c>
      <c r="H38" s="168">
        <v>1.0</v>
      </c>
      <c r="I38" s="395">
        <v>430815.0</v>
      </c>
      <c r="J38" s="169">
        <v>430815.0</v>
      </c>
      <c r="K38" s="193">
        <f t="shared" si="3"/>
        <v>11</v>
      </c>
      <c r="L38" s="149"/>
      <c r="M38" s="374"/>
      <c r="N38" s="396">
        <v>204450.51</v>
      </c>
      <c r="O38" s="397">
        <v>3186.0</v>
      </c>
      <c r="P38" s="397">
        <v>386.0</v>
      </c>
      <c r="Q38" s="397" t="s">
        <v>962</v>
      </c>
      <c r="R38" s="397">
        <v>0.0</v>
      </c>
      <c r="S38" s="397">
        <v>0.0</v>
      </c>
      <c r="T38" s="396" t="s">
        <v>867</v>
      </c>
      <c r="U38" s="396" t="s">
        <v>867</v>
      </c>
      <c r="V38" s="151"/>
      <c r="W38" s="151"/>
      <c r="X38" s="151"/>
      <c r="Y38" s="151"/>
      <c r="Z38" s="151"/>
      <c r="AA38" s="151"/>
      <c r="AB38" s="151"/>
      <c r="AC38" s="151"/>
      <c r="AD38" s="151"/>
      <c r="AE38" s="149"/>
      <c r="AF38" s="149"/>
      <c r="AG38" s="149"/>
      <c r="AH38" s="150"/>
    </row>
    <row r="39" ht="15.75" customHeight="1">
      <c r="A39" s="393">
        <v>45970.99998842592</v>
      </c>
      <c r="B39" s="394">
        <v>142925.0</v>
      </c>
      <c r="C39" s="149">
        <v>130143.6</v>
      </c>
      <c r="D39" s="149">
        <v>1930.0</v>
      </c>
      <c r="E39" s="149">
        <v>24.0</v>
      </c>
      <c r="F39" s="399">
        <v>0.0124</v>
      </c>
      <c r="G39" s="149">
        <v>0.0</v>
      </c>
      <c r="H39" s="149">
        <v>0.0</v>
      </c>
      <c r="I39" s="372">
        <v>0.0</v>
      </c>
      <c r="J39" s="151">
        <v>0.0</v>
      </c>
      <c r="K39" s="193">
        <f t="shared" si="3"/>
        <v>11</v>
      </c>
      <c r="L39" s="149"/>
      <c r="M39" s="374"/>
      <c r="N39" s="400"/>
      <c r="O39" s="401"/>
      <c r="P39" s="401"/>
      <c r="Q39" s="401"/>
      <c r="R39" s="401"/>
      <c r="S39" s="401"/>
      <c r="T39" s="401"/>
      <c r="U39" s="401"/>
      <c r="V39" s="151"/>
      <c r="W39" s="151"/>
      <c r="X39" s="151"/>
      <c r="Y39" s="151"/>
      <c r="Z39" s="151"/>
      <c r="AA39" s="151"/>
      <c r="AB39" s="151"/>
      <c r="AC39" s="151"/>
      <c r="AD39" s="151"/>
      <c r="AE39" s="149"/>
      <c r="AF39" s="149"/>
      <c r="AG39" s="149"/>
      <c r="AH39" s="150"/>
    </row>
    <row r="40" ht="15.75" customHeight="1">
      <c r="A40" s="393">
        <v>45970.99998842592</v>
      </c>
      <c r="B40" s="394">
        <v>130143.0</v>
      </c>
      <c r="C40" s="149">
        <v>0.0</v>
      </c>
      <c r="D40" s="149">
        <v>4.0</v>
      </c>
      <c r="E40" s="149">
        <v>0.0</v>
      </c>
      <c r="F40" s="399">
        <v>0.0</v>
      </c>
      <c r="G40" s="149">
        <v>0.0</v>
      </c>
      <c r="H40" s="149">
        <v>0.0</v>
      </c>
      <c r="I40" s="372">
        <v>0.0</v>
      </c>
      <c r="J40" s="151">
        <v>0.0</v>
      </c>
      <c r="K40" s="193">
        <f t="shared" si="3"/>
        <v>11</v>
      </c>
      <c r="L40" s="151"/>
      <c r="M40" s="374"/>
      <c r="N40" s="400"/>
      <c r="O40" s="401"/>
      <c r="P40" s="401"/>
      <c r="Q40" s="401"/>
      <c r="R40" s="401"/>
      <c r="S40" s="401"/>
      <c r="T40" s="401"/>
      <c r="U40" s="401"/>
      <c r="V40" s="151"/>
      <c r="W40" s="151"/>
      <c r="X40" s="151"/>
      <c r="Y40" s="151"/>
      <c r="Z40" s="151"/>
      <c r="AA40" s="151"/>
      <c r="AB40" s="151"/>
      <c r="AC40" s="151"/>
      <c r="AD40" s="151"/>
      <c r="AE40" s="149"/>
      <c r="AF40" s="149"/>
      <c r="AG40" s="149"/>
      <c r="AH40" s="150"/>
    </row>
    <row r="41" ht="15.75" customHeight="1">
      <c r="A41" s="393">
        <v>45969.99998842592</v>
      </c>
      <c r="B41" s="394">
        <v>5619.0</v>
      </c>
      <c r="C41" s="149">
        <v>51443.15</v>
      </c>
      <c r="D41" s="149">
        <v>280.0</v>
      </c>
      <c r="E41" s="149">
        <v>26.0</v>
      </c>
      <c r="F41" s="399">
        <v>0.0929</v>
      </c>
      <c r="G41" s="149">
        <v>1.0</v>
      </c>
      <c r="H41" s="149">
        <v>1.0</v>
      </c>
      <c r="I41" s="372">
        <v>479832.0</v>
      </c>
      <c r="J41" s="151">
        <v>479832.0</v>
      </c>
      <c r="K41" s="193">
        <f t="shared" si="3"/>
        <v>11</v>
      </c>
      <c r="L41" s="149"/>
      <c r="M41" s="374"/>
      <c r="N41" s="400"/>
      <c r="O41" s="401"/>
      <c r="P41" s="401"/>
      <c r="Q41" s="401"/>
      <c r="R41" s="401"/>
      <c r="S41" s="401"/>
      <c r="T41" s="401"/>
      <c r="U41" s="401"/>
      <c r="V41" s="151"/>
      <c r="W41" s="151"/>
      <c r="X41" s="151"/>
      <c r="Y41" s="151"/>
      <c r="Z41" s="151"/>
      <c r="AA41" s="151"/>
      <c r="AB41" s="151"/>
      <c r="AC41" s="151"/>
      <c r="AD41" s="151"/>
      <c r="AE41" s="149"/>
      <c r="AF41" s="149"/>
      <c r="AG41" s="149"/>
      <c r="AH41" s="150"/>
    </row>
    <row r="42" ht="15.75" customHeight="1">
      <c r="A42" s="393">
        <v>45969.99998842592</v>
      </c>
      <c r="B42" s="394">
        <v>120850.0</v>
      </c>
      <c r="C42" s="149">
        <v>46148.34</v>
      </c>
      <c r="D42" s="149">
        <v>353.0</v>
      </c>
      <c r="E42" s="149">
        <v>21.0</v>
      </c>
      <c r="F42" s="399">
        <v>0.0595</v>
      </c>
      <c r="G42" s="149">
        <v>0.0</v>
      </c>
      <c r="H42" s="149">
        <v>0.0</v>
      </c>
      <c r="I42" s="372">
        <v>0.0</v>
      </c>
      <c r="J42" s="149">
        <v>0.0</v>
      </c>
      <c r="K42" s="193">
        <f t="shared" si="3"/>
        <v>11</v>
      </c>
      <c r="L42" s="149"/>
      <c r="M42" s="374"/>
      <c r="N42" s="400"/>
      <c r="O42" s="401"/>
      <c r="P42" s="401"/>
      <c r="Q42" s="401"/>
      <c r="R42" s="401"/>
      <c r="S42" s="401"/>
      <c r="T42" s="401"/>
      <c r="U42" s="401"/>
      <c r="V42" s="151"/>
      <c r="W42" s="151"/>
      <c r="X42" s="151"/>
      <c r="Y42" s="151"/>
      <c r="Z42" s="151"/>
      <c r="AA42" s="151"/>
      <c r="AB42" s="151"/>
      <c r="AC42" s="151"/>
      <c r="AD42" s="151"/>
      <c r="AE42" s="149"/>
      <c r="AF42" s="149"/>
      <c r="AG42" s="149"/>
      <c r="AH42" s="150"/>
    </row>
    <row r="43" ht="15.75" customHeight="1">
      <c r="A43" s="393">
        <v>45968.99998842592</v>
      </c>
      <c r="B43" s="394">
        <v>28645.0</v>
      </c>
      <c r="C43" s="149">
        <v>412928.55</v>
      </c>
      <c r="D43" s="149">
        <v>4311.0</v>
      </c>
      <c r="E43" s="149">
        <v>133.0</v>
      </c>
      <c r="F43" s="399">
        <v>0.0309</v>
      </c>
      <c r="G43" s="149">
        <v>1.0</v>
      </c>
      <c r="H43" s="149">
        <v>1.0</v>
      </c>
      <c r="I43" s="372">
        <v>447115.0</v>
      </c>
      <c r="J43" s="149">
        <v>447115.0</v>
      </c>
      <c r="K43" s="193">
        <f t="shared" si="3"/>
        <v>11</v>
      </c>
      <c r="L43" s="149"/>
      <c r="M43" s="374"/>
      <c r="N43" s="400"/>
      <c r="O43" s="401"/>
      <c r="P43" s="401"/>
      <c r="Q43" s="401"/>
      <c r="R43" s="401"/>
      <c r="S43" s="401"/>
      <c r="T43" s="401"/>
      <c r="U43" s="401"/>
      <c r="V43" s="151"/>
      <c r="W43" s="151"/>
      <c r="X43" s="151"/>
      <c r="Y43" s="151"/>
      <c r="Z43" s="151"/>
      <c r="AA43" s="151"/>
      <c r="AB43" s="151"/>
      <c r="AC43" s="151"/>
      <c r="AD43" s="151"/>
      <c r="AE43" s="149"/>
      <c r="AF43" s="149"/>
      <c r="AG43" s="149"/>
      <c r="AH43" s="150"/>
    </row>
    <row r="44" ht="15.75" customHeight="1">
      <c r="A44" s="393">
        <v>45968.99998842592</v>
      </c>
      <c r="B44" s="394">
        <v>15865.0</v>
      </c>
      <c r="C44" s="149">
        <v>0.0</v>
      </c>
      <c r="D44" s="149">
        <v>1.0</v>
      </c>
      <c r="E44" s="149">
        <v>0.0</v>
      </c>
      <c r="F44" s="399">
        <v>0.0</v>
      </c>
      <c r="G44" s="149">
        <v>0.0</v>
      </c>
      <c r="H44" s="149">
        <v>0.0</v>
      </c>
      <c r="I44" s="372">
        <v>0.0</v>
      </c>
      <c r="J44" s="151">
        <v>0.0</v>
      </c>
      <c r="K44" s="193">
        <f t="shared" si="3"/>
        <v>11</v>
      </c>
      <c r="L44" s="149"/>
      <c r="M44" s="374"/>
      <c r="N44" s="400"/>
      <c r="O44" s="401"/>
      <c r="P44" s="401"/>
      <c r="Q44" s="401"/>
      <c r="R44" s="401"/>
      <c r="S44" s="401"/>
      <c r="T44" s="401"/>
      <c r="U44" s="401"/>
      <c r="V44" s="151"/>
      <c r="W44" s="151"/>
      <c r="X44" s="151"/>
      <c r="Y44" s="151"/>
      <c r="Z44" s="151"/>
      <c r="AA44" s="151"/>
      <c r="AB44" s="151"/>
      <c r="AC44" s="151"/>
      <c r="AD44" s="151"/>
      <c r="AE44" s="149"/>
      <c r="AF44" s="149"/>
      <c r="AG44" s="149"/>
      <c r="AH44" s="150"/>
    </row>
    <row r="45" ht="15.75" customHeight="1">
      <c r="A45" s="402">
        <v>45992.0</v>
      </c>
      <c r="B45" s="149" t="s">
        <v>867</v>
      </c>
      <c r="C45" s="169" t="s">
        <v>867</v>
      </c>
      <c r="D45" s="149"/>
      <c r="E45" s="149"/>
      <c r="F45" s="149"/>
      <c r="G45" s="149"/>
      <c r="H45" s="149"/>
      <c r="I45" s="169" t="s">
        <v>867</v>
      </c>
      <c r="J45" s="169" t="s">
        <v>867</v>
      </c>
      <c r="K45" s="193">
        <f t="shared" si="3"/>
        <v>12</v>
      </c>
      <c r="L45" s="149"/>
      <c r="M45" s="369"/>
      <c r="N45" s="169" t="s">
        <v>867</v>
      </c>
      <c r="O45" s="168">
        <v>0.0</v>
      </c>
      <c r="P45" s="149"/>
      <c r="Q45" s="149"/>
      <c r="R45" s="149"/>
      <c r="S45" s="149"/>
      <c r="T45" s="149"/>
      <c r="U45" s="149"/>
      <c r="V45" s="149"/>
      <c r="W45" s="149"/>
      <c r="X45" s="149"/>
      <c r="Y45" s="149"/>
      <c r="Z45" s="149"/>
      <c r="AA45" s="149"/>
      <c r="AB45" s="149"/>
      <c r="AC45" s="149"/>
      <c r="AD45" s="149"/>
      <c r="AE45" s="149"/>
      <c r="AF45" s="149"/>
      <c r="AG45" s="149"/>
      <c r="AH45" s="150"/>
    </row>
    <row r="46" ht="15.75" customHeight="1">
      <c r="A46" s="402">
        <v>45993.0</v>
      </c>
      <c r="B46" s="149" t="s">
        <v>867</v>
      </c>
      <c r="C46" s="169" t="s">
        <v>867</v>
      </c>
      <c r="D46" s="149"/>
      <c r="E46" s="149"/>
      <c r="F46" s="149"/>
      <c r="G46" s="149"/>
      <c r="H46" s="149"/>
      <c r="I46" s="169" t="s">
        <v>867</v>
      </c>
      <c r="J46" s="169" t="s">
        <v>867</v>
      </c>
      <c r="K46" s="193">
        <f t="shared" si="3"/>
        <v>12</v>
      </c>
      <c r="L46" s="149"/>
      <c r="M46" s="369"/>
      <c r="N46" s="169" t="s">
        <v>867</v>
      </c>
      <c r="O46" s="168">
        <v>0.0</v>
      </c>
      <c r="P46" s="149"/>
      <c r="Q46" s="149"/>
      <c r="R46" s="149"/>
      <c r="S46" s="149"/>
      <c r="T46" s="149"/>
      <c r="U46" s="149"/>
      <c r="V46" s="149"/>
      <c r="W46" s="149"/>
      <c r="X46" s="153"/>
      <c r="Y46" s="153"/>
      <c r="Z46" s="153"/>
      <c r="AA46" s="149"/>
      <c r="AB46" s="149"/>
      <c r="AC46" s="149"/>
      <c r="AD46" s="149"/>
      <c r="AE46" s="149"/>
      <c r="AF46" s="149"/>
      <c r="AG46" s="149"/>
      <c r="AH46" s="150"/>
    </row>
    <row r="47" ht="15.75" customHeight="1">
      <c r="A47" s="402">
        <v>45994.0</v>
      </c>
      <c r="B47" s="149" t="s">
        <v>867</v>
      </c>
      <c r="C47" s="169" t="s">
        <v>867</v>
      </c>
      <c r="D47" s="149"/>
      <c r="E47" s="149"/>
      <c r="F47" s="149"/>
      <c r="G47" s="149"/>
      <c r="H47" s="149"/>
      <c r="I47" s="169" t="s">
        <v>867</v>
      </c>
      <c r="J47" s="169" t="s">
        <v>867</v>
      </c>
      <c r="K47" s="193">
        <f t="shared" si="3"/>
        <v>12</v>
      </c>
      <c r="L47" s="149"/>
      <c r="M47" s="369"/>
      <c r="N47" s="169" t="s">
        <v>867</v>
      </c>
      <c r="O47" s="168">
        <v>2.0</v>
      </c>
      <c r="P47" s="149"/>
      <c r="Q47" s="149"/>
      <c r="R47" s="149"/>
      <c r="S47" s="149"/>
      <c r="T47" s="149"/>
      <c r="U47" s="149"/>
      <c r="V47" s="149"/>
      <c r="W47" s="149"/>
      <c r="X47" s="149"/>
      <c r="Y47" s="149"/>
      <c r="Z47" s="149"/>
      <c r="AA47" s="149"/>
      <c r="AB47" s="149"/>
      <c r="AC47" s="149"/>
      <c r="AD47" s="149"/>
      <c r="AE47" s="149"/>
      <c r="AF47" s="149"/>
      <c r="AG47" s="149"/>
      <c r="AH47" s="154"/>
    </row>
    <row r="48" ht="15.75" customHeight="1">
      <c r="A48" s="402">
        <v>45995.0</v>
      </c>
      <c r="B48" s="149" t="s">
        <v>867</v>
      </c>
      <c r="C48" s="169" t="s">
        <v>867</v>
      </c>
      <c r="D48" s="149"/>
      <c r="E48" s="149"/>
      <c r="F48" s="149"/>
      <c r="G48" s="149"/>
      <c r="H48" s="149"/>
      <c r="I48" s="169" t="s">
        <v>867</v>
      </c>
      <c r="J48" s="169" t="s">
        <v>867</v>
      </c>
      <c r="K48" s="193">
        <f t="shared" si="3"/>
        <v>12</v>
      </c>
      <c r="L48" s="149"/>
      <c r="M48" s="374"/>
      <c r="N48" s="169" t="s">
        <v>867</v>
      </c>
      <c r="O48" s="168">
        <v>1.0</v>
      </c>
      <c r="P48" s="151"/>
      <c r="Q48" s="151"/>
      <c r="R48" s="151"/>
      <c r="S48" s="151"/>
      <c r="T48" s="151"/>
      <c r="U48" s="151"/>
      <c r="V48" s="151"/>
      <c r="W48" s="151"/>
      <c r="X48" s="151"/>
      <c r="Y48" s="151"/>
      <c r="Z48" s="151"/>
      <c r="AA48" s="159"/>
      <c r="AB48" s="151"/>
      <c r="AC48" s="151"/>
      <c r="AD48" s="151"/>
      <c r="AE48" s="151"/>
      <c r="AF48" s="151"/>
      <c r="AG48" s="151"/>
      <c r="AH48" s="150"/>
    </row>
    <row r="49" ht="15.75" customHeight="1">
      <c r="A49" s="402">
        <v>45996.0</v>
      </c>
      <c r="B49" s="149" t="s">
        <v>867</v>
      </c>
      <c r="C49" s="169" t="s">
        <v>867</v>
      </c>
      <c r="D49" s="149"/>
      <c r="E49" s="149"/>
      <c r="F49" s="151"/>
      <c r="G49" s="149"/>
      <c r="H49" s="149"/>
      <c r="I49" s="169" t="s">
        <v>867</v>
      </c>
      <c r="J49" s="169" t="s">
        <v>867</v>
      </c>
      <c r="K49" s="193">
        <f t="shared" si="3"/>
        <v>12</v>
      </c>
      <c r="L49" s="149"/>
      <c r="M49" s="374"/>
      <c r="N49" s="169" t="s">
        <v>867</v>
      </c>
      <c r="O49" s="168">
        <v>1.0</v>
      </c>
      <c r="P49" s="151"/>
      <c r="Q49" s="151"/>
      <c r="R49" s="151"/>
      <c r="S49" s="151"/>
      <c r="T49" s="151"/>
      <c r="U49" s="151"/>
      <c r="V49" s="151"/>
      <c r="W49" s="151"/>
      <c r="X49" s="151"/>
      <c r="Y49" s="151"/>
      <c r="Z49" s="151"/>
      <c r="AA49" s="151"/>
      <c r="AB49" s="151"/>
      <c r="AC49" s="151"/>
      <c r="AD49" s="151"/>
      <c r="AE49" s="149"/>
      <c r="AF49" s="149"/>
      <c r="AG49" s="149"/>
      <c r="AH49" s="150"/>
    </row>
    <row r="50" ht="15.75" customHeight="1">
      <c r="A50" s="402">
        <v>45997.0</v>
      </c>
      <c r="B50" s="149" t="s">
        <v>867</v>
      </c>
      <c r="C50" s="169" t="s">
        <v>867</v>
      </c>
      <c r="D50" s="149"/>
      <c r="E50" s="149"/>
      <c r="F50" s="151"/>
      <c r="G50" s="149"/>
      <c r="H50" s="149"/>
      <c r="I50" s="169" t="s">
        <v>867</v>
      </c>
      <c r="J50" s="169" t="s">
        <v>867</v>
      </c>
      <c r="K50" s="193">
        <f t="shared" si="3"/>
        <v>12</v>
      </c>
      <c r="L50" s="155"/>
      <c r="M50" s="374"/>
      <c r="N50" s="169" t="s">
        <v>867</v>
      </c>
      <c r="O50" s="168">
        <v>1.0</v>
      </c>
      <c r="P50" s="151"/>
      <c r="Q50" s="151"/>
      <c r="R50" s="151"/>
      <c r="S50" s="151"/>
      <c r="T50" s="151"/>
      <c r="U50" s="151"/>
      <c r="V50" s="151"/>
      <c r="W50" s="151"/>
      <c r="X50" s="151"/>
      <c r="Y50" s="151"/>
      <c r="Z50" s="151"/>
      <c r="AA50" s="151"/>
      <c r="AB50" s="151"/>
      <c r="AC50" s="151"/>
      <c r="AD50" s="151"/>
      <c r="AE50" s="149"/>
      <c r="AF50" s="149"/>
      <c r="AG50" s="149"/>
      <c r="AH50" s="150"/>
    </row>
    <row r="51" ht="15.75" customHeight="1">
      <c r="A51" s="402">
        <v>45998.0</v>
      </c>
      <c r="B51" s="149" t="s">
        <v>867</v>
      </c>
      <c r="C51" s="169" t="s">
        <v>867</v>
      </c>
      <c r="D51" s="149"/>
      <c r="E51" s="149"/>
      <c r="F51" s="151"/>
      <c r="G51" s="149"/>
      <c r="H51" s="149"/>
      <c r="I51" s="169" t="s">
        <v>867</v>
      </c>
      <c r="J51" s="169" t="s">
        <v>867</v>
      </c>
      <c r="K51" s="193">
        <f t="shared" si="3"/>
        <v>12</v>
      </c>
      <c r="L51" s="155"/>
      <c r="M51" s="374"/>
      <c r="N51" s="169" t="s">
        <v>867</v>
      </c>
      <c r="O51" s="168">
        <v>0.0</v>
      </c>
      <c r="P51" s="151"/>
      <c r="Q51" s="151"/>
      <c r="R51" s="151"/>
      <c r="S51" s="151"/>
      <c r="T51" s="151"/>
      <c r="U51" s="151"/>
      <c r="V51" s="151"/>
      <c r="W51" s="151"/>
      <c r="X51" s="151"/>
      <c r="Y51" s="151"/>
      <c r="Z51" s="151"/>
      <c r="AA51" s="151"/>
      <c r="AB51" s="151"/>
      <c r="AC51" s="151"/>
      <c r="AD51" s="151"/>
      <c r="AE51" s="149"/>
      <c r="AF51" s="149"/>
      <c r="AG51" s="149"/>
      <c r="AH51" s="150"/>
    </row>
    <row r="52" ht="15.75" customHeight="1">
      <c r="A52" s="402">
        <v>45999.0</v>
      </c>
      <c r="B52" s="149" t="s">
        <v>963</v>
      </c>
      <c r="C52" s="169" t="s">
        <v>963</v>
      </c>
      <c r="D52" s="149"/>
      <c r="E52" s="149"/>
      <c r="F52" s="151"/>
      <c r="G52" s="149"/>
      <c r="H52" s="149"/>
      <c r="I52" s="169" t="s">
        <v>867</v>
      </c>
      <c r="J52" s="169" t="s">
        <v>867</v>
      </c>
      <c r="K52" s="193">
        <f t="shared" si="3"/>
        <v>12</v>
      </c>
      <c r="L52" s="149"/>
      <c r="M52" s="374"/>
      <c r="N52" s="169" t="s">
        <v>963</v>
      </c>
      <c r="O52" s="168">
        <v>311.0</v>
      </c>
      <c r="P52" s="151"/>
      <c r="Q52" s="151"/>
      <c r="R52" s="151"/>
      <c r="S52" s="151"/>
      <c r="T52" s="151"/>
      <c r="U52" s="151"/>
      <c r="V52" s="151"/>
      <c r="W52" s="151"/>
      <c r="X52" s="151"/>
      <c r="Y52" s="151"/>
      <c r="Z52" s="151"/>
      <c r="AA52" s="151"/>
      <c r="AB52" s="151"/>
      <c r="AC52" s="151"/>
      <c r="AD52" s="151"/>
      <c r="AE52" s="149"/>
      <c r="AF52" s="149"/>
      <c r="AG52" s="149"/>
      <c r="AH52" s="150"/>
    </row>
    <row r="53" ht="15.75" customHeight="1">
      <c r="A53" s="402">
        <v>46000.0</v>
      </c>
      <c r="B53" s="149" t="s">
        <v>964</v>
      </c>
      <c r="C53" s="169" t="s">
        <v>964</v>
      </c>
      <c r="D53" s="149"/>
      <c r="E53" s="149"/>
      <c r="F53" s="151"/>
      <c r="G53" s="149"/>
      <c r="H53" s="149"/>
      <c r="I53" s="169" t="s">
        <v>867</v>
      </c>
      <c r="J53" s="169" t="s">
        <v>867</v>
      </c>
      <c r="K53" s="193">
        <f t="shared" si="3"/>
        <v>12</v>
      </c>
      <c r="L53" s="149"/>
      <c r="M53" s="374"/>
      <c r="N53" s="169" t="s">
        <v>964</v>
      </c>
      <c r="O53" s="168">
        <v>484.0</v>
      </c>
      <c r="P53" s="151"/>
      <c r="Q53" s="151"/>
      <c r="R53" s="151"/>
      <c r="S53" s="151"/>
      <c r="T53" s="151"/>
      <c r="U53" s="151"/>
      <c r="V53" s="151"/>
      <c r="W53" s="151"/>
      <c r="X53" s="151"/>
      <c r="Y53" s="151"/>
      <c r="Z53" s="151"/>
      <c r="AA53" s="160"/>
      <c r="AB53" s="160"/>
      <c r="AC53" s="151"/>
      <c r="AD53" s="151"/>
      <c r="AE53" s="149"/>
      <c r="AF53" s="149"/>
      <c r="AG53" s="149"/>
      <c r="AH53" s="150"/>
    </row>
    <row r="54" ht="15.75" customHeight="1">
      <c r="A54" s="402">
        <v>46001.0</v>
      </c>
      <c r="B54" s="149" t="s">
        <v>965</v>
      </c>
      <c r="C54" s="169" t="s">
        <v>965</v>
      </c>
      <c r="D54" s="149"/>
      <c r="E54" s="149"/>
      <c r="F54" s="151"/>
      <c r="G54" s="149"/>
      <c r="H54" s="149"/>
      <c r="I54" s="169" t="s">
        <v>867</v>
      </c>
      <c r="J54" s="169" t="s">
        <v>867</v>
      </c>
      <c r="K54" s="193">
        <f t="shared" si="3"/>
        <v>12</v>
      </c>
      <c r="L54" s="149"/>
      <c r="M54" s="374"/>
      <c r="N54" s="169" t="s">
        <v>965</v>
      </c>
      <c r="O54" s="168">
        <v>4103.0</v>
      </c>
      <c r="P54" s="151"/>
      <c r="Q54" s="151"/>
      <c r="R54" s="151"/>
      <c r="S54" s="151"/>
      <c r="T54" s="151"/>
      <c r="U54" s="151"/>
      <c r="V54" s="151"/>
      <c r="W54" s="151"/>
      <c r="X54" s="151"/>
      <c r="Y54" s="151"/>
      <c r="Z54" s="151"/>
      <c r="AA54" s="151"/>
      <c r="AB54" s="151"/>
      <c r="AC54" s="151"/>
      <c r="AD54" s="151"/>
      <c r="AE54" s="149"/>
      <c r="AF54" s="149"/>
      <c r="AG54" s="149"/>
      <c r="AH54" s="150"/>
    </row>
    <row r="55" ht="15.75" customHeight="1">
      <c r="A55" s="402">
        <v>46002.0</v>
      </c>
      <c r="B55" s="149" t="s">
        <v>966</v>
      </c>
      <c r="C55" s="169" t="s">
        <v>966</v>
      </c>
      <c r="D55" s="149"/>
      <c r="E55" s="149"/>
      <c r="F55" s="151"/>
      <c r="G55" s="149"/>
      <c r="H55" s="149"/>
      <c r="I55" s="169" t="s">
        <v>867</v>
      </c>
      <c r="J55" s="169" t="s">
        <v>867</v>
      </c>
      <c r="K55" s="193">
        <f t="shared" si="3"/>
        <v>12</v>
      </c>
      <c r="L55" s="149"/>
      <c r="M55" s="374"/>
      <c r="N55" s="169" t="s">
        <v>966</v>
      </c>
      <c r="O55" s="168">
        <v>4675.0</v>
      </c>
      <c r="P55" s="151"/>
      <c r="Q55" s="151"/>
      <c r="R55" s="151"/>
      <c r="S55" s="151"/>
      <c r="T55" s="151"/>
      <c r="U55" s="151"/>
      <c r="V55" s="151"/>
      <c r="W55" s="151"/>
      <c r="X55" s="151"/>
      <c r="Y55" s="151"/>
      <c r="Z55" s="151"/>
      <c r="AA55" s="151"/>
      <c r="AB55" s="151"/>
      <c r="AC55" s="151"/>
      <c r="AD55" s="151"/>
      <c r="AE55" s="149"/>
      <c r="AF55" s="149"/>
      <c r="AG55" s="149"/>
      <c r="AH55" s="150"/>
    </row>
    <row r="56" ht="15.75" customHeight="1">
      <c r="A56" s="402">
        <v>46003.0</v>
      </c>
      <c r="B56" s="149" t="s">
        <v>967</v>
      </c>
      <c r="C56" s="169" t="s">
        <v>967</v>
      </c>
      <c r="D56" s="149"/>
      <c r="E56" s="149"/>
      <c r="F56" s="151"/>
      <c r="G56" s="149"/>
      <c r="H56" s="149"/>
      <c r="I56" s="169" t="s">
        <v>968</v>
      </c>
      <c r="J56" s="173">
        <v>45719.0</v>
      </c>
      <c r="K56" s="193">
        <f t="shared" si="3"/>
        <v>12</v>
      </c>
      <c r="L56" s="149"/>
      <c r="M56" s="374"/>
      <c r="N56" s="169" t="s">
        <v>967</v>
      </c>
      <c r="O56" s="168">
        <v>5347.0</v>
      </c>
      <c r="P56" s="151"/>
      <c r="Q56" s="151"/>
      <c r="R56" s="151"/>
      <c r="S56" s="151"/>
      <c r="T56" s="151"/>
      <c r="U56" s="151"/>
      <c r="V56" s="151"/>
      <c r="W56" s="151"/>
      <c r="X56" s="151"/>
      <c r="Y56" s="151"/>
      <c r="Z56" s="151"/>
      <c r="AA56" s="151"/>
      <c r="AB56" s="151"/>
      <c r="AC56" s="151"/>
      <c r="AD56" s="151"/>
      <c r="AE56" s="149"/>
      <c r="AF56" s="149"/>
      <c r="AG56" s="149"/>
      <c r="AH56" s="150"/>
    </row>
    <row r="57" ht="15.75" customHeight="1">
      <c r="A57" s="402">
        <v>46004.0</v>
      </c>
      <c r="B57" s="149" t="s">
        <v>969</v>
      </c>
      <c r="C57" s="169" t="s">
        <v>969</v>
      </c>
      <c r="D57" s="149"/>
      <c r="E57" s="149"/>
      <c r="F57" s="151"/>
      <c r="G57" s="149"/>
      <c r="H57" s="149"/>
      <c r="I57" s="169" t="s">
        <v>867</v>
      </c>
      <c r="J57" s="169" t="s">
        <v>867</v>
      </c>
      <c r="K57" s="193">
        <f t="shared" si="3"/>
        <v>12</v>
      </c>
      <c r="L57" s="149"/>
      <c r="M57" s="374"/>
      <c r="N57" s="169" t="s">
        <v>969</v>
      </c>
      <c r="O57" s="168">
        <v>3431.0</v>
      </c>
      <c r="P57" s="151"/>
      <c r="Q57" s="151"/>
      <c r="R57" s="151"/>
      <c r="S57" s="151"/>
      <c r="T57" s="151"/>
      <c r="U57" s="151"/>
      <c r="V57" s="151"/>
      <c r="W57" s="151"/>
      <c r="X57" s="151"/>
      <c r="Y57" s="151"/>
      <c r="Z57" s="151"/>
      <c r="AA57" s="151"/>
      <c r="AB57" s="151"/>
      <c r="AC57" s="151"/>
      <c r="AD57" s="151"/>
      <c r="AE57" s="149"/>
      <c r="AF57" s="149"/>
      <c r="AG57" s="149"/>
      <c r="AH57" s="150"/>
    </row>
    <row r="58" ht="15.75" customHeight="1">
      <c r="A58" s="402">
        <v>46005.0</v>
      </c>
      <c r="B58" s="149" t="s">
        <v>970</v>
      </c>
      <c r="C58" s="169" t="s">
        <v>970</v>
      </c>
      <c r="D58" s="149"/>
      <c r="E58" s="149"/>
      <c r="F58" s="151"/>
      <c r="G58" s="149"/>
      <c r="H58" s="149"/>
      <c r="I58" s="169" t="s">
        <v>867</v>
      </c>
      <c r="J58" s="169" t="s">
        <v>867</v>
      </c>
      <c r="K58" s="193">
        <f t="shared" si="3"/>
        <v>12</v>
      </c>
      <c r="L58" s="149"/>
      <c r="M58" s="374"/>
      <c r="N58" s="169" t="s">
        <v>970</v>
      </c>
      <c r="O58" s="168">
        <v>3260.0</v>
      </c>
      <c r="P58" s="151"/>
      <c r="Q58" s="151"/>
      <c r="R58" s="151"/>
      <c r="S58" s="151"/>
      <c r="T58" s="151"/>
      <c r="U58" s="151"/>
      <c r="V58" s="151"/>
      <c r="W58" s="151"/>
      <c r="X58" s="151"/>
      <c r="Y58" s="151"/>
      <c r="Z58" s="151"/>
      <c r="AA58" s="151"/>
      <c r="AB58" s="151"/>
      <c r="AC58" s="151"/>
      <c r="AD58" s="151"/>
      <c r="AE58" s="149"/>
      <c r="AF58" s="149"/>
      <c r="AG58" s="149"/>
      <c r="AH58" s="150"/>
    </row>
    <row r="59" ht="15.75" customHeight="1">
      <c r="A59" s="402">
        <v>46006.0</v>
      </c>
      <c r="B59" s="149" t="s">
        <v>971</v>
      </c>
      <c r="C59" s="169" t="s">
        <v>971</v>
      </c>
      <c r="D59" s="149"/>
      <c r="E59" s="149"/>
      <c r="F59" s="151"/>
      <c r="G59" s="149"/>
      <c r="H59" s="149"/>
      <c r="I59" s="169" t="s">
        <v>972</v>
      </c>
      <c r="J59" s="169" t="s">
        <v>973</v>
      </c>
      <c r="K59" s="193">
        <f t="shared" si="3"/>
        <v>12</v>
      </c>
      <c r="L59" s="155"/>
      <c r="M59" s="374"/>
      <c r="N59" s="169" t="s">
        <v>971</v>
      </c>
      <c r="O59" s="168">
        <v>2758.0</v>
      </c>
      <c r="P59" s="151"/>
      <c r="Q59" s="151"/>
      <c r="R59" s="151"/>
      <c r="S59" s="151"/>
      <c r="T59" s="151"/>
      <c r="U59" s="151"/>
      <c r="V59" s="151"/>
      <c r="W59" s="151"/>
      <c r="X59" s="151"/>
      <c r="Y59" s="151"/>
      <c r="Z59" s="151"/>
      <c r="AA59" s="151"/>
      <c r="AB59" s="151"/>
      <c r="AC59" s="151"/>
      <c r="AD59" s="151"/>
      <c r="AE59" s="149"/>
      <c r="AF59" s="149"/>
      <c r="AG59" s="149"/>
      <c r="AH59" s="150"/>
    </row>
    <row r="60" ht="15.75" customHeight="1">
      <c r="A60" s="402">
        <v>46007.0</v>
      </c>
      <c r="B60" s="149" t="s">
        <v>974</v>
      </c>
      <c r="C60" s="169" t="s">
        <v>974</v>
      </c>
      <c r="D60" s="149"/>
      <c r="E60" s="149"/>
      <c r="F60" s="149"/>
      <c r="G60" s="149"/>
      <c r="H60" s="149"/>
      <c r="I60" s="169" t="s">
        <v>867</v>
      </c>
      <c r="J60" s="169" t="s">
        <v>867</v>
      </c>
      <c r="K60" s="193">
        <f t="shared" si="3"/>
        <v>12</v>
      </c>
      <c r="L60" s="149"/>
      <c r="M60" s="369"/>
      <c r="N60" s="169" t="s">
        <v>974</v>
      </c>
      <c r="O60" s="168">
        <v>3733.0</v>
      </c>
      <c r="P60" s="149"/>
      <c r="Q60" s="149"/>
      <c r="R60" s="149"/>
      <c r="S60" s="149"/>
      <c r="T60" s="149"/>
      <c r="U60" s="149"/>
      <c r="V60" s="149"/>
      <c r="W60" s="149"/>
      <c r="X60" s="149"/>
      <c r="Y60" s="149"/>
      <c r="Z60" s="149"/>
      <c r="AA60" s="149"/>
      <c r="AB60" s="149"/>
      <c r="AC60" s="149"/>
      <c r="AD60" s="149"/>
      <c r="AE60" s="149"/>
      <c r="AF60" s="149"/>
      <c r="AG60" s="149"/>
      <c r="AH60" s="150"/>
    </row>
    <row r="61" ht="15.75" customHeight="1">
      <c r="A61" s="402">
        <v>46008.0</v>
      </c>
      <c r="B61" s="358" t="s">
        <v>975</v>
      </c>
      <c r="C61" s="169" t="s">
        <v>975</v>
      </c>
      <c r="I61" s="169" t="s">
        <v>867</v>
      </c>
      <c r="J61" s="169" t="s">
        <v>867</v>
      </c>
      <c r="K61" s="193">
        <f t="shared" si="3"/>
        <v>12</v>
      </c>
      <c r="M61" s="385"/>
      <c r="N61" s="169" t="s">
        <v>975</v>
      </c>
      <c r="O61" s="168">
        <v>3147.0</v>
      </c>
      <c r="AH61" s="156"/>
    </row>
    <row r="62" ht="15.75" customHeight="1">
      <c r="A62" s="402">
        <v>46009.0</v>
      </c>
      <c r="B62" s="149" t="s">
        <v>976</v>
      </c>
      <c r="C62" s="169" t="s">
        <v>976</v>
      </c>
      <c r="D62" s="149"/>
      <c r="E62" s="149"/>
      <c r="F62" s="149"/>
      <c r="G62" s="149"/>
      <c r="H62" s="149"/>
      <c r="I62" s="169" t="s">
        <v>867</v>
      </c>
      <c r="J62" s="169" t="s">
        <v>867</v>
      </c>
      <c r="K62" s="193">
        <f t="shared" si="3"/>
        <v>12</v>
      </c>
      <c r="L62" s="149"/>
      <c r="M62" s="369"/>
      <c r="N62" s="169" t="s">
        <v>977</v>
      </c>
      <c r="O62" s="168">
        <v>953.0</v>
      </c>
      <c r="P62" s="149"/>
      <c r="Q62" s="149"/>
      <c r="R62" s="149"/>
      <c r="S62" s="149"/>
      <c r="T62" s="149"/>
      <c r="U62" s="149"/>
      <c r="V62" s="149"/>
      <c r="W62" s="149"/>
      <c r="X62" s="149"/>
      <c r="Y62" s="149"/>
      <c r="Z62" s="149"/>
      <c r="AA62" s="149"/>
      <c r="AB62" s="149"/>
      <c r="AC62" s="149"/>
      <c r="AD62" s="149"/>
      <c r="AE62" s="149"/>
      <c r="AF62" s="149"/>
      <c r="AG62" s="149"/>
      <c r="AH62" s="156"/>
    </row>
    <row r="63" ht="15.75" customHeight="1">
      <c r="A63" s="402">
        <v>46010.0</v>
      </c>
      <c r="B63" s="149" t="s">
        <v>978</v>
      </c>
      <c r="C63" s="169" t="s">
        <v>978</v>
      </c>
      <c r="D63" s="149"/>
      <c r="E63" s="149"/>
      <c r="F63" s="149"/>
      <c r="G63" s="149"/>
      <c r="H63" s="149"/>
      <c r="I63" s="149"/>
      <c r="J63" s="149"/>
      <c r="K63" s="193">
        <f t="shared" si="3"/>
        <v>12</v>
      </c>
      <c r="L63" s="149"/>
      <c r="M63" s="369"/>
      <c r="N63" s="149"/>
      <c r="O63" s="149"/>
      <c r="P63" s="149"/>
      <c r="Q63" s="149"/>
      <c r="R63" s="149"/>
      <c r="S63" s="149"/>
      <c r="T63" s="149"/>
      <c r="U63" s="149"/>
      <c r="V63" s="149"/>
      <c r="W63" s="149"/>
      <c r="X63" s="149"/>
      <c r="Y63" s="149"/>
      <c r="Z63" s="149"/>
      <c r="AA63" s="149"/>
      <c r="AB63" s="149"/>
      <c r="AC63" s="149"/>
      <c r="AD63" s="149"/>
      <c r="AE63" s="149"/>
      <c r="AF63" s="149"/>
      <c r="AG63" s="149"/>
      <c r="AH63" s="156"/>
    </row>
    <row r="64" ht="15.75" customHeight="1">
      <c r="A64" s="402">
        <v>46011.0</v>
      </c>
      <c r="B64" s="149" t="s">
        <v>979</v>
      </c>
      <c r="C64" s="169" t="s">
        <v>979</v>
      </c>
      <c r="D64" s="149"/>
      <c r="E64" s="149"/>
      <c r="F64" s="149"/>
      <c r="G64" s="149"/>
      <c r="H64" s="149"/>
      <c r="I64" s="149"/>
      <c r="J64" s="149"/>
      <c r="K64" s="193">
        <f t="shared" si="3"/>
        <v>12</v>
      </c>
      <c r="L64" s="149"/>
      <c r="M64" s="369"/>
      <c r="N64" s="149"/>
      <c r="O64" s="149"/>
      <c r="P64" s="149"/>
      <c r="Q64" s="149"/>
      <c r="R64" s="149"/>
      <c r="S64" s="149"/>
      <c r="T64" s="149"/>
      <c r="U64" s="149"/>
      <c r="V64" s="149"/>
      <c r="W64" s="149"/>
      <c r="X64" s="149"/>
      <c r="Y64" s="149"/>
      <c r="Z64" s="149"/>
      <c r="AA64" s="149"/>
      <c r="AB64" s="149"/>
      <c r="AC64" s="149"/>
      <c r="AD64" s="149"/>
      <c r="AE64" s="149"/>
      <c r="AF64" s="149"/>
      <c r="AG64" s="149"/>
      <c r="AH64" s="156"/>
    </row>
    <row r="65" ht="15.75" customHeight="1">
      <c r="A65" s="402">
        <v>46012.0</v>
      </c>
      <c r="B65" s="151" t="s">
        <v>980</v>
      </c>
      <c r="C65" s="169" t="s">
        <v>980</v>
      </c>
      <c r="D65" s="149"/>
      <c r="E65" s="149"/>
      <c r="F65" s="149"/>
      <c r="G65" s="149"/>
      <c r="H65" s="149"/>
      <c r="I65" s="149"/>
      <c r="J65" s="149"/>
      <c r="K65" s="193">
        <f t="shared" si="3"/>
        <v>12</v>
      </c>
      <c r="L65" s="149"/>
      <c r="M65" s="369"/>
      <c r="N65" s="149"/>
      <c r="O65" s="149"/>
      <c r="P65" s="149"/>
      <c r="Q65" s="149"/>
      <c r="R65" s="149"/>
      <c r="S65" s="149"/>
      <c r="T65" s="149"/>
      <c r="U65" s="149"/>
      <c r="V65" s="149"/>
      <c r="W65" s="149"/>
      <c r="X65" s="149"/>
      <c r="Y65" s="149"/>
      <c r="Z65" s="149"/>
      <c r="AA65" s="149"/>
      <c r="AB65" s="149"/>
      <c r="AC65" s="149"/>
      <c r="AD65" s="149"/>
      <c r="AE65" s="149"/>
      <c r="AF65" s="149"/>
      <c r="AG65" s="149"/>
      <c r="AH65" s="156"/>
    </row>
    <row r="66" ht="15.75" customHeight="1">
      <c r="A66" s="402">
        <v>46013.0</v>
      </c>
      <c r="B66" s="151" t="s">
        <v>981</v>
      </c>
      <c r="C66" s="169" t="s">
        <v>981</v>
      </c>
      <c r="D66" s="163"/>
      <c r="E66" s="149"/>
      <c r="F66" s="149"/>
      <c r="G66" s="149"/>
      <c r="H66" s="149"/>
      <c r="I66" s="149"/>
      <c r="J66" s="149"/>
      <c r="K66" s="193">
        <f t="shared" si="3"/>
        <v>12</v>
      </c>
      <c r="L66" s="149"/>
      <c r="M66" s="369"/>
      <c r="N66" s="149"/>
      <c r="O66" s="149"/>
      <c r="P66" s="149"/>
      <c r="Q66" s="149"/>
      <c r="R66" s="149"/>
      <c r="S66" s="149"/>
      <c r="T66" s="149"/>
      <c r="U66" s="149"/>
      <c r="V66" s="149"/>
      <c r="W66" s="149"/>
      <c r="X66" s="149"/>
      <c r="Y66" s="149"/>
      <c r="Z66" s="149"/>
      <c r="AA66" s="149"/>
      <c r="AB66" s="149"/>
      <c r="AC66" s="149"/>
      <c r="AD66" s="149"/>
      <c r="AE66" s="149"/>
      <c r="AF66" s="149"/>
      <c r="AG66" s="149"/>
      <c r="AH66" s="149"/>
    </row>
    <row r="67" ht="15.75" customHeight="1">
      <c r="A67" s="402">
        <v>46014.0</v>
      </c>
      <c r="B67" s="149" t="s">
        <v>982</v>
      </c>
      <c r="C67" s="169" t="s">
        <v>982</v>
      </c>
      <c r="D67" s="149"/>
      <c r="E67" s="149"/>
      <c r="F67" s="149"/>
      <c r="G67" s="149"/>
      <c r="H67" s="149"/>
      <c r="I67" s="149"/>
      <c r="J67" s="149"/>
      <c r="K67" s="193">
        <f t="shared" si="3"/>
        <v>12</v>
      </c>
      <c r="L67" s="149"/>
      <c r="M67" s="369"/>
      <c r="N67" s="149"/>
      <c r="O67" s="149"/>
      <c r="P67" s="149"/>
      <c r="Q67" s="149"/>
      <c r="R67" s="149"/>
      <c r="S67" s="149"/>
      <c r="T67" s="149"/>
      <c r="U67" s="149"/>
      <c r="V67" s="149"/>
      <c r="W67" s="149"/>
      <c r="X67" s="149"/>
      <c r="Y67" s="149"/>
      <c r="Z67" s="149"/>
      <c r="AA67" s="149"/>
      <c r="AB67" s="149"/>
      <c r="AC67" s="149"/>
      <c r="AD67" s="149"/>
      <c r="AE67" s="149"/>
      <c r="AF67" s="149"/>
      <c r="AG67" s="149"/>
      <c r="AH67" s="149"/>
    </row>
    <row r="68" ht="15.75" customHeight="1">
      <c r="A68" s="402">
        <v>46015.0</v>
      </c>
      <c r="B68" s="149" t="s">
        <v>983</v>
      </c>
      <c r="C68" s="169" t="s">
        <v>983</v>
      </c>
      <c r="D68" s="149"/>
      <c r="E68" s="149"/>
      <c r="F68" s="149"/>
      <c r="G68" s="149"/>
      <c r="H68" s="149"/>
      <c r="I68" s="149"/>
      <c r="J68" s="149"/>
      <c r="K68" s="193">
        <f t="shared" si="3"/>
        <v>12</v>
      </c>
      <c r="L68" s="149"/>
      <c r="M68" s="369"/>
      <c r="N68" s="149"/>
      <c r="O68" s="149"/>
      <c r="P68" s="149"/>
      <c r="Q68" s="149"/>
      <c r="R68" s="149"/>
      <c r="S68" s="149"/>
      <c r="T68" s="149"/>
      <c r="U68" s="149"/>
      <c r="V68" s="149"/>
      <c r="W68" s="149"/>
      <c r="X68" s="153"/>
      <c r="Y68" s="153"/>
      <c r="Z68" s="153"/>
      <c r="AA68" s="149"/>
      <c r="AB68" s="149"/>
      <c r="AC68" s="149"/>
      <c r="AD68" s="149"/>
      <c r="AE68" s="149"/>
      <c r="AF68" s="149"/>
      <c r="AG68" s="149"/>
      <c r="AH68" s="149"/>
    </row>
    <row r="69" ht="15.75" customHeight="1">
      <c r="A69" s="402">
        <v>46016.0</v>
      </c>
      <c r="B69" s="149"/>
      <c r="C69" s="149"/>
      <c r="D69" s="149"/>
      <c r="E69" s="149"/>
      <c r="F69" s="149"/>
      <c r="G69" s="149"/>
      <c r="H69" s="149"/>
      <c r="I69" s="149"/>
      <c r="J69" s="149"/>
      <c r="K69" s="193">
        <f t="shared" si="3"/>
        <v>12</v>
      </c>
      <c r="L69" s="149"/>
      <c r="M69" s="369"/>
      <c r="N69" s="149"/>
      <c r="O69" s="149"/>
      <c r="P69" s="149"/>
      <c r="Q69" s="149"/>
      <c r="R69" s="149"/>
      <c r="S69" s="149"/>
      <c r="T69" s="149"/>
      <c r="U69" s="149"/>
      <c r="V69" s="149"/>
      <c r="W69" s="149"/>
      <c r="X69" s="149"/>
      <c r="Y69" s="149"/>
      <c r="Z69" s="149"/>
      <c r="AA69" s="149"/>
      <c r="AB69" s="149"/>
      <c r="AC69" s="149"/>
      <c r="AD69" s="149"/>
      <c r="AE69" s="149"/>
      <c r="AF69" s="149"/>
      <c r="AG69" s="149"/>
      <c r="AH69" s="149"/>
    </row>
    <row r="70" ht="15.75" customHeight="1">
      <c r="A70" s="402">
        <v>46017.0</v>
      </c>
      <c r="B70" s="149"/>
      <c r="C70" s="149"/>
      <c r="D70" s="149"/>
      <c r="E70" s="149"/>
      <c r="F70" s="149"/>
      <c r="G70" s="149"/>
      <c r="H70" s="149"/>
      <c r="I70" s="149"/>
      <c r="J70" s="149"/>
      <c r="K70" s="193">
        <f t="shared" si="3"/>
        <v>12</v>
      </c>
      <c r="L70" s="149"/>
      <c r="M70" s="374"/>
      <c r="N70" s="151"/>
      <c r="O70" s="151"/>
      <c r="P70" s="151"/>
      <c r="Q70" s="151"/>
      <c r="R70" s="151"/>
      <c r="S70" s="151"/>
      <c r="T70" s="151"/>
      <c r="U70" s="151"/>
      <c r="V70" s="151"/>
      <c r="W70" s="151"/>
      <c r="X70" s="151"/>
      <c r="Y70" s="151"/>
      <c r="Z70" s="151"/>
      <c r="AA70" s="159"/>
      <c r="AB70" s="159"/>
      <c r="AC70" s="151"/>
      <c r="AD70" s="151"/>
      <c r="AE70" s="151"/>
      <c r="AF70" s="151"/>
      <c r="AG70" s="151"/>
      <c r="AH70" s="150"/>
    </row>
    <row r="71" ht="15.75" customHeight="1">
      <c r="A71" s="402">
        <v>46018.0</v>
      </c>
      <c r="B71" s="149"/>
      <c r="C71" s="149"/>
      <c r="D71" s="149"/>
      <c r="E71" s="149"/>
      <c r="F71" s="151"/>
      <c r="G71" s="149"/>
      <c r="H71" s="149"/>
      <c r="I71" s="149"/>
      <c r="J71" s="149"/>
      <c r="K71" s="193">
        <f t="shared" si="3"/>
        <v>12</v>
      </c>
      <c r="L71" s="149"/>
      <c r="M71" s="374"/>
      <c r="N71" s="151"/>
      <c r="O71" s="151"/>
      <c r="P71" s="151"/>
      <c r="Q71" s="151"/>
      <c r="R71" s="151"/>
      <c r="S71" s="151"/>
      <c r="T71" s="151"/>
      <c r="U71" s="151"/>
      <c r="V71" s="151"/>
      <c r="W71" s="151"/>
      <c r="X71" s="151"/>
      <c r="Y71" s="151"/>
      <c r="Z71" s="151"/>
      <c r="AA71" s="160"/>
      <c r="AB71" s="151"/>
      <c r="AC71" s="151"/>
      <c r="AD71" s="151"/>
      <c r="AE71" s="149"/>
      <c r="AF71" s="149"/>
      <c r="AG71" s="149"/>
      <c r="AH71" s="150"/>
    </row>
    <row r="72" ht="15.75" customHeight="1">
      <c r="A72" s="402">
        <v>46019.0</v>
      </c>
      <c r="B72" s="149"/>
      <c r="C72" s="149"/>
      <c r="D72" s="149"/>
      <c r="E72" s="149"/>
      <c r="F72" s="151"/>
      <c r="G72" s="149"/>
      <c r="H72" s="149"/>
      <c r="I72" s="149"/>
      <c r="J72" s="149"/>
      <c r="K72" s="193">
        <f t="shared" si="3"/>
        <v>12</v>
      </c>
      <c r="L72" s="149"/>
      <c r="M72" s="374"/>
      <c r="N72" s="151"/>
      <c r="O72" s="151"/>
      <c r="P72" s="151"/>
      <c r="Q72" s="151"/>
      <c r="R72" s="151"/>
      <c r="S72" s="151"/>
      <c r="T72" s="151"/>
      <c r="U72" s="151"/>
      <c r="V72" s="151"/>
      <c r="W72" s="151"/>
      <c r="X72" s="151"/>
      <c r="Y72" s="151"/>
      <c r="Z72" s="151"/>
      <c r="AA72" s="151"/>
      <c r="AB72" s="151"/>
      <c r="AC72" s="151"/>
      <c r="AD72" s="151"/>
      <c r="AE72" s="149"/>
      <c r="AF72" s="149"/>
      <c r="AG72" s="149"/>
      <c r="AH72" s="150"/>
    </row>
    <row r="73" ht="15.75" customHeight="1">
      <c r="A73" s="402">
        <v>46020.0</v>
      </c>
      <c r="B73" s="149"/>
      <c r="C73" s="149"/>
      <c r="D73" s="149"/>
      <c r="E73" s="149"/>
      <c r="F73" s="151"/>
      <c r="G73" s="149"/>
      <c r="H73" s="149"/>
      <c r="I73" s="149"/>
      <c r="J73" s="149"/>
      <c r="K73" s="193">
        <f t="shared" si="3"/>
        <v>12</v>
      </c>
      <c r="L73" s="149"/>
      <c r="M73" s="374"/>
      <c r="N73" s="151"/>
      <c r="O73" s="151"/>
      <c r="P73" s="151"/>
      <c r="Q73" s="151"/>
      <c r="R73" s="151"/>
      <c r="S73" s="151"/>
      <c r="T73" s="151"/>
      <c r="U73" s="151"/>
      <c r="V73" s="151"/>
      <c r="W73" s="151"/>
      <c r="X73" s="151"/>
      <c r="Y73" s="151"/>
      <c r="Z73" s="151"/>
      <c r="AA73" s="151"/>
      <c r="AB73" s="151"/>
      <c r="AC73" s="151"/>
      <c r="AD73" s="151"/>
      <c r="AE73" s="149"/>
      <c r="AF73" s="149"/>
      <c r="AG73" s="149"/>
      <c r="AH73" s="150"/>
    </row>
    <row r="74" ht="15.75" customHeight="1">
      <c r="A74" s="402">
        <v>46021.0</v>
      </c>
      <c r="B74" s="149"/>
      <c r="C74" s="149"/>
      <c r="D74" s="149"/>
      <c r="E74" s="149"/>
      <c r="F74" s="151"/>
      <c r="G74" s="149"/>
      <c r="H74" s="149"/>
      <c r="I74" s="149"/>
      <c r="J74" s="149"/>
      <c r="K74" s="193">
        <f t="shared" si="3"/>
        <v>12</v>
      </c>
      <c r="L74" s="149"/>
      <c r="M74" s="374"/>
      <c r="N74" s="151"/>
      <c r="O74" s="151"/>
      <c r="P74" s="151"/>
      <c r="Q74" s="151"/>
      <c r="R74" s="151"/>
      <c r="S74" s="151"/>
      <c r="T74" s="151"/>
      <c r="U74" s="151"/>
      <c r="V74" s="151"/>
      <c r="W74" s="151"/>
      <c r="X74" s="151"/>
      <c r="Y74" s="151"/>
      <c r="Z74" s="151"/>
      <c r="AA74" s="151"/>
      <c r="AB74" s="151"/>
      <c r="AC74" s="151"/>
      <c r="AD74" s="151"/>
      <c r="AE74" s="149"/>
      <c r="AF74" s="149"/>
      <c r="AG74" s="149"/>
      <c r="AH74" s="150"/>
    </row>
    <row r="75" ht="15.75" customHeight="1">
      <c r="A75" s="402">
        <v>46022.0</v>
      </c>
      <c r="B75" s="149"/>
      <c r="C75" s="149"/>
      <c r="D75" s="149"/>
      <c r="E75" s="149"/>
      <c r="F75" s="151"/>
      <c r="G75" s="149"/>
      <c r="H75" s="149"/>
      <c r="I75" s="149"/>
      <c r="J75" s="149"/>
      <c r="K75" s="193">
        <f t="shared" si="3"/>
        <v>12</v>
      </c>
      <c r="L75" s="149"/>
      <c r="M75" s="374"/>
      <c r="N75" s="151"/>
      <c r="O75" s="151"/>
      <c r="P75" s="151"/>
      <c r="Q75" s="151"/>
      <c r="R75" s="151"/>
      <c r="S75" s="151"/>
      <c r="T75" s="151"/>
      <c r="U75" s="151"/>
      <c r="V75" s="151"/>
      <c r="W75" s="151"/>
      <c r="X75" s="151"/>
      <c r="Y75" s="151"/>
      <c r="Z75" s="151"/>
      <c r="AA75" s="151"/>
      <c r="AB75" s="151"/>
      <c r="AC75" s="151"/>
      <c r="AD75" s="151"/>
      <c r="AE75" s="149"/>
      <c r="AF75" s="149"/>
      <c r="AG75" s="149"/>
      <c r="AH75" s="150"/>
    </row>
    <row r="76" ht="15.75" customHeight="1">
      <c r="A76" s="151"/>
      <c r="B76" s="149"/>
      <c r="C76" s="149"/>
      <c r="D76" s="149"/>
      <c r="E76" s="149"/>
      <c r="F76" s="151"/>
      <c r="G76" s="149"/>
      <c r="H76" s="149"/>
      <c r="I76" s="149"/>
      <c r="J76" s="149"/>
      <c r="K76" s="193"/>
      <c r="L76" s="149"/>
      <c r="M76" s="374"/>
      <c r="N76" s="151"/>
      <c r="O76" s="151"/>
      <c r="P76" s="151"/>
      <c r="Q76" s="151"/>
      <c r="R76" s="151"/>
      <c r="S76" s="151"/>
      <c r="T76" s="151"/>
      <c r="U76" s="151"/>
      <c r="V76" s="151"/>
      <c r="W76" s="151"/>
      <c r="X76" s="151"/>
      <c r="Y76" s="151"/>
      <c r="Z76" s="151"/>
      <c r="AA76" s="151"/>
      <c r="AB76" s="151"/>
      <c r="AC76" s="151"/>
      <c r="AD76" s="151"/>
      <c r="AE76" s="149"/>
      <c r="AF76" s="149"/>
      <c r="AG76" s="149"/>
      <c r="AH76" s="150"/>
    </row>
    <row r="77" ht="15.75" customHeight="1">
      <c r="A77" s="151"/>
      <c r="B77" s="149"/>
      <c r="C77" s="149"/>
      <c r="D77" s="149"/>
      <c r="E77" s="149"/>
      <c r="F77" s="151"/>
      <c r="G77" s="149"/>
      <c r="H77" s="149"/>
      <c r="I77" s="149"/>
      <c r="J77" s="149"/>
      <c r="K77" s="193"/>
      <c r="L77" s="149"/>
      <c r="M77" s="374"/>
      <c r="N77" s="151"/>
      <c r="O77" s="151"/>
      <c r="P77" s="151"/>
      <c r="Q77" s="151"/>
      <c r="R77" s="151"/>
      <c r="S77" s="151"/>
      <c r="T77" s="151"/>
      <c r="U77" s="151"/>
      <c r="V77" s="151"/>
      <c r="W77" s="151"/>
      <c r="X77" s="151"/>
      <c r="Y77" s="151"/>
      <c r="Z77" s="151"/>
      <c r="AA77" s="151"/>
      <c r="AB77" s="151"/>
      <c r="AC77" s="151"/>
      <c r="AD77" s="151"/>
      <c r="AE77" s="149"/>
      <c r="AF77" s="149"/>
      <c r="AG77" s="149"/>
      <c r="AH77" s="150"/>
    </row>
    <row r="78" ht="15.75" customHeight="1">
      <c r="A78" s="151"/>
      <c r="B78" s="149"/>
      <c r="C78" s="149"/>
      <c r="D78" s="149"/>
      <c r="E78" s="149"/>
      <c r="F78" s="151"/>
      <c r="G78" s="149"/>
      <c r="H78" s="149"/>
      <c r="I78" s="149"/>
      <c r="J78" s="149"/>
      <c r="K78" s="164"/>
      <c r="L78" s="164"/>
      <c r="M78" s="374"/>
      <c r="N78" s="151"/>
      <c r="O78" s="151"/>
      <c r="P78" s="151"/>
      <c r="Q78" s="151"/>
      <c r="R78" s="151"/>
      <c r="S78" s="151"/>
      <c r="T78" s="151"/>
      <c r="U78" s="151"/>
      <c r="V78" s="151"/>
      <c r="W78" s="151"/>
      <c r="X78" s="151"/>
      <c r="Y78" s="151"/>
      <c r="Z78" s="151"/>
      <c r="AA78" s="151"/>
      <c r="AB78" s="151"/>
      <c r="AC78" s="151"/>
      <c r="AD78" s="151"/>
      <c r="AE78" s="149"/>
      <c r="AF78" s="149"/>
      <c r="AG78" s="149"/>
      <c r="AH78" s="150"/>
    </row>
    <row r="79" ht="15.75" customHeight="1">
      <c r="A79" s="151"/>
      <c r="B79" s="149"/>
      <c r="C79" s="149"/>
      <c r="D79" s="149"/>
      <c r="E79" s="149"/>
      <c r="F79" s="151"/>
      <c r="G79" s="149"/>
      <c r="H79" s="149"/>
      <c r="I79" s="149"/>
      <c r="J79" s="149"/>
      <c r="K79" s="164"/>
      <c r="L79" s="164"/>
      <c r="M79" s="374"/>
      <c r="N79" s="151"/>
      <c r="O79" s="151"/>
      <c r="P79" s="151"/>
      <c r="Q79" s="151"/>
      <c r="R79" s="151"/>
      <c r="S79" s="151"/>
      <c r="T79" s="151"/>
      <c r="U79" s="151"/>
      <c r="V79" s="151"/>
      <c r="W79" s="151"/>
      <c r="X79" s="151"/>
      <c r="Y79" s="151"/>
      <c r="Z79" s="151"/>
      <c r="AA79" s="151"/>
      <c r="AB79" s="151"/>
      <c r="AC79" s="151"/>
      <c r="AD79" s="151"/>
      <c r="AE79" s="149"/>
      <c r="AF79" s="149"/>
      <c r="AG79" s="149"/>
      <c r="AH79" s="150"/>
    </row>
    <row r="80" ht="15.75" customHeight="1">
      <c r="A80" s="151"/>
      <c r="B80" s="149"/>
      <c r="C80" s="149"/>
      <c r="D80" s="149"/>
      <c r="E80" s="149"/>
      <c r="F80" s="151"/>
      <c r="G80" s="149"/>
      <c r="H80" s="149"/>
      <c r="I80" s="149"/>
      <c r="J80" s="149"/>
      <c r="K80" s="164"/>
      <c r="L80" s="164"/>
      <c r="M80" s="374"/>
      <c r="N80" s="151"/>
      <c r="O80" s="151"/>
      <c r="P80" s="151"/>
      <c r="Q80" s="151"/>
      <c r="R80" s="151"/>
      <c r="S80" s="151"/>
      <c r="T80" s="151"/>
      <c r="U80" s="151"/>
      <c r="V80" s="151"/>
      <c r="W80" s="151"/>
      <c r="X80" s="151"/>
      <c r="Y80" s="151"/>
      <c r="Z80" s="151"/>
      <c r="AA80" s="151"/>
      <c r="AB80" s="151"/>
      <c r="AC80" s="151"/>
      <c r="AD80" s="151"/>
      <c r="AE80" s="149"/>
      <c r="AF80" s="149"/>
      <c r="AG80" s="149"/>
      <c r="AH80" s="150"/>
    </row>
    <row r="81" ht="15.75" customHeight="1">
      <c r="A81" s="151"/>
      <c r="B81" s="149"/>
      <c r="C81" s="149"/>
      <c r="D81" s="149"/>
      <c r="E81" s="149"/>
      <c r="F81" s="151"/>
      <c r="G81" s="149"/>
      <c r="H81" s="149"/>
      <c r="I81" s="149"/>
      <c r="J81" s="149"/>
      <c r="K81" s="164"/>
      <c r="L81" s="164"/>
      <c r="M81" s="374"/>
      <c r="N81" s="151"/>
      <c r="O81" s="151"/>
      <c r="P81" s="151"/>
      <c r="Q81" s="151"/>
      <c r="R81" s="151"/>
      <c r="S81" s="151"/>
      <c r="T81" s="151"/>
      <c r="U81" s="151"/>
      <c r="V81" s="151"/>
      <c r="W81" s="151"/>
      <c r="X81" s="151"/>
      <c r="Y81" s="151"/>
      <c r="Z81" s="151"/>
      <c r="AA81" s="151"/>
      <c r="AB81" s="151"/>
      <c r="AC81" s="151"/>
      <c r="AD81" s="151"/>
      <c r="AE81" s="149"/>
      <c r="AF81" s="149"/>
      <c r="AG81" s="149"/>
      <c r="AH81" s="150"/>
    </row>
    <row r="82" ht="15.75" customHeight="1">
      <c r="A82" s="151"/>
      <c r="B82" s="149"/>
      <c r="C82" s="149"/>
      <c r="D82" s="149"/>
      <c r="E82" s="149"/>
      <c r="F82" s="149"/>
      <c r="G82" s="149"/>
      <c r="H82" s="149"/>
      <c r="I82" s="149"/>
      <c r="J82" s="149"/>
      <c r="K82" s="164"/>
      <c r="L82" s="164"/>
      <c r="M82" s="374"/>
      <c r="N82" s="151"/>
      <c r="O82" s="151"/>
      <c r="P82" s="151"/>
      <c r="Q82" s="151"/>
      <c r="R82" s="151"/>
      <c r="S82" s="151"/>
      <c r="T82" s="151"/>
      <c r="U82" s="151"/>
      <c r="V82" s="151"/>
      <c r="W82" s="151"/>
      <c r="X82" s="151"/>
      <c r="Y82" s="151"/>
      <c r="Z82" s="151"/>
      <c r="AA82" s="151"/>
      <c r="AB82" s="151"/>
      <c r="AC82" s="151"/>
      <c r="AD82" s="151"/>
      <c r="AE82" s="151"/>
      <c r="AF82" s="151"/>
      <c r="AG82" s="151"/>
      <c r="AH82" s="150"/>
    </row>
    <row r="83" ht="15.75" customHeight="1">
      <c r="M83" s="385"/>
      <c r="AH83" s="156"/>
    </row>
    <row r="84" ht="15.75" customHeight="1">
      <c r="M84" s="385"/>
      <c r="AH84" s="156"/>
    </row>
    <row r="85" ht="15.75" customHeight="1">
      <c r="A85" s="403"/>
      <c r="E85" s="149"/>
      <c r="F85" s="149"/>
      <c r="G85" s="149"/>
      <c r="H85" s="149"/>
      <c r="I85" s="149"/>
      <c r="J85" s="149"/>
      <c r="K85" s="149"/>
      <c r="L85" s="149"/>
      <c r="M85" s="369"/>
      <c r="N85" s="149"/>
      <c r="O85" s="149"/>
      <c r="P85" s="149"/>
      <c r="Q85" s="149"/>
      <c r="R85" s="149"/>
      <c r="S85" s="149"/>
      <c r="T85" s="149"/>
      <c r="U85" s="149"/>
      <c r="V85" s="149"/>
      <c r="W85" s="149"/>
      <c r="X85" s="149"/>
      <c r="Y85" s="149"/>
      <c r="Z85" s="149"/>
      <c r="AA85" s="149"/>
      <c r="AB85" s="149"/>
      <c r="AC85" s="149"/>
      <c r="AD85" s="149"/>
      <c r="AE85" s="149"/>
      <c r="AF85" s="149"/>
      <c r="AG85" s="149"/>
      <c r="AH85" s="156"/>
    </row>
    <row r="86" ht="15.75" customHeight="1">
      <c r="A86" s="403"/>
      <c r="B86" s="403"/>
      <c r="C86" s="149"/>
      <c r="D86" s="149"/>
      <c r="E86" s="149"/>
      <c r="F86" s="149"/>
      <c r="G86" s="149"/>
      <c r="H86" s="149"/>
      <c r="I86" s="149"/>
      <c r="J86" s="149"/>
      <c r="K86" s="149"/>
      <c r="L86" s="149"/>
      <c r="M86" s="369"/>
      <c r="N86" s="149"/>
      <c r="O86" s="149"/>
      <c r="P86" s="149"/>
      <c r="Q86" s="149"/>
      <c r="R86" s="149"/>
      <c r="S86" s="149"/>
      <c r="T86" s="149"/>
      <c r="U86" s="149"/>
      <c r="V86" s="149"/>
      <c r="W86" s="149"/>
      <c r="X86" s="149"/>
      <c r="Y86" s="149"/>
      <c r="Z86" s="149"/>
      <c r="AA86" s="149"/>
      <c r="AB86" s="149"/>
      <c r="AC86" s="149"/>
      <c r="AD86" s="149"/>
      <c r="AE86" s="149"/>
      <c r="AF86" s="149"/>
      <c r="AG86" s="149"/>
      <c r="AH86" s="156"/>
    </row>
    <row r="87" ht="15.75" customHeight="1">
      <c r="A87" s="403"/>
      <c r="B87" s="403"/>
      <c r="E87" s="149"/>
      <c r="F87" s="149"/>
      <c r="G87" s="149"/>
      <c r="H87" s="149"/>
      <c r="I87" s="149"/>
      <c r="J87" s="149"/>
      <c r="K87" s="149"/>
      <c r="L87" s="149"/>
      <c r="M87" s="369"/>
      <c r="N87" s="149"/>
      <c r="O87" s="149"/>
      <c r="P87" s="149"/>
      <c r="Q87" s="149"/>
      <c r="R87" s="149"/>
      <c r="S87" s="149"/>
      <c r="T87" s="149"/>
      <c r="U87" s="149"/>
      <c r="V87" s="149"/>
      <c r="W87" s="149"/>
      <c r="X87" s="149"/>
      <c r="Y87" s="149"/>
      <c r="Z87" s="149"/>
      <c r="AA87" s="149"/>
      <c r="AB87" s="149"/>
      <c r="AC87" s="149"/>
      <c r="AD87" s="149"/>
      <c r="AE87" s="149"/>
      <c r="AF87" s="149"/>
      <c r="AG87" s="149"/>
      <c r="AH87" s="156"/>
    </row>
    <row r="88" ht="15.75" customHeight="1">
      <c r="A88" s="403"/>
      <c r="B88" s="151"/>
      <c r="C88" s="149"/>
      <c r="D88" s="149"/>
      <c r="E88" s="149"/>
      <c r="F88" s="149"/>
      <c r="G88" s="149"/>
      <c r="H88" s="149"/>
      <c r="I88" s="149"/>
      <c r="J88" s="149"/>
      <c r="K88" s="149"/>
      <c r="L88" s="149"/>
      <c r="M88" s="369"/>
      <c r="N88" s="149"/>
      <c r="O88" s="149"/>
      <c r="P88" s="149"/>
      <c r="Q88" s="149"/>
      <c r="R88" s="149"/>
      <c r="S88" s="149"/>
      <c r="T88" s="149"/>
      <c r="U88" s="149"/>
      <c r="V88" s="149"/>
      <c r="W88" s="149"/>
      <c r="X88" s="149"/>
      <c r="Y88" s="149"/>
      <c r="Z88" s="149"/>
      <c r="AA88" s="149"/>
      <c r="AB88" s="149"/>
      <c r="AC88" s="149"/>
      <c r="AD88" s="149"/>
      <c r="AE88" s="149"/>
      <c r="AF88" s="149"/>
      <c r="AG88" s="149"/>
      <c r="AH88" s="156"/>
    </row>
    <row r="89" ht="15.75" customHeight="1">
      <c r="A89" s="403"/>
      <c r="B89" s="404"/>
      <c r="C89" s="149"/>
      <c r="D89" s="149"/>
      <c r="E89" s="149"/>
      <c r="F89" s="149"/>
      <c r="G89" s="149"/>
      <c r="H89" s="149"/>
      <c r="I89" s="149"/>
      <c r="J89" s="149"/>
      <c r="K89" s="149"/>
      <c r="L89" s="149"/>
      <c r="M89" s="369"/>
      <c r="N89" s="149"/>
      <c r="O89" s="149"/>
      <c r="P89" s="149"/>
      <c r="Q89" s="149"/>
      <c r="R89" s="149"/>
      <c r="S89" s="149"/>
      <c r="T89" s="149"/>
      <c r="U89" s="149"/>
      <c r="V89" s="149"/>
      <c r="W89" s="149"/>
      <c r="X89" s="149"/>
      <c r="Y89" s="149"/>
      <c r="Z89" s="149"/>
      <c r="AA89" s="149"/>
      <c r="AB89" s="149"/>
      <c r="AC89" s="149"/>
      <c r="AD89" s="149"/>
      <c r="AE89" s="149"/>
      <c r="AF89" s="149"/>
      <c r="AG89" s="149"/>
      <c r="AH89" s="156"/>
    </row>
    <row r="90" ht="15.75" customHeight="1">
      <c r="A90" s="403"/>
      <c r="B90" s="403"/>
      <c r="C90" s="149"/>
      <c r="D90" s="149"/>
      <c r="E90" s="149"/>
      <c r="F90" s="149"/>
      <c r="G90" s="149"/>
      <c r="H90" s="149"/>
      <c r="I90" s="149"/>
      <c r="J90" s="149"/>
      <c r="K90" s="149"/>
      <c r="L90" s="149"/>
      <c r="M90" s="369"/>
      <c r="N90" s="149"/>
      <c r="O90" s="149"/>
      <c r="P90" s="149"/>
      <c r="Q90" s="149"/>
      <c r="R90" s="149"/>
      <c r="S90" s="149"/>
      <c r="T90" s="149"/>
      <c r="U90" s="149"/>
      <c r="V90" s="149"/>
      <c r="W90" s="149"/>
      <c r="X90" s="149"/>
      <c r="Y90" s="149"/>
      <c r="Z90" s="149"/>
      <c r="AA90" s="149"/>
      <c r="AB90" s="149"/>
      <c r="AC90" s="149"/>
      <c r="AD90" s="149"/>
      <c r="AE90" s="149"/>
      <c r="AF90" s="149"/>
      <c r="AG90" s="149"/>
      <c r="AH90" s="156"/>
    </row>
    <row r="91" ht="15.75" customHeight="1">
      <c r="A91" s="149"/>
      <c r="B91" s="149"/>
      <c r="C91" s="149"/>
      <c r="D91" s="149"/>
      <c r="E91" s="149"/>
      <c r="F91" s="149"/>
      <c r="G91" s="149"/>
      <c r="H91" s="149"/>
      <c r="I91" s="149"/>
      <c r="J91" s="149"/>
      <c r="K91" s="149"/>
      <c r="L91" s="149"/>
      <c r="M91" s="369"/>
      <c r="N91" s="149"/>
      <c r="O91" s="149"/>
      <c r="P91" s="149"/>
      <c r="Q91" s="149"/>
      <c r="R91" s="149"/>
      <c r="S91" s="149"/>
      <c r="T91" s="149"/>
      <c r="U91" s="149"/>
      <c r="V91" s="149"/>
      <c r="W91" s="149"/>
      <c r="X91" s="153"/>
      <c r="Y91" s="153"/>
      <c r="Z91" s="153"/>
      <c r="AA91" s="149"/>
      <c r="AB91" s="149"/>
      <c r="AC91" s="149"/>
      <c r="AD91" s="149"/>
      <c r="AE91" s="149"/>
      <c r="AF91" s="149"/>
      <c r="AG91" s="149"/>
      <c r="AH91" s="156"/>
    </row>
    <row r="92" ht="15.75" customHeight="1">
      <c r="A92" s="149"/>
      <c r="B92" s="149"/>
      <c r="C92" s="149"/>
      <c r="D92" s="149"/>
      <c r="E92" s="149"/>
      <c r="F92" s="149"/>
      <c r="G92" s="149"/>
      <c r="H92" s="149"/>
      <c r="I92" s="149"/>
      <c r="J92" s="149"/>
      <c r="K92" s="149"/>
      <c r="L92" s="149"/>
      <c r="M92" s="369"/>
      <c r="N92" s="149"/>
      <c r="O92" s="149"/>
      <c r="P92" s="149"/>
      <c r="Q92" s="149"/>
      <c r="R92" s="149"/>
      <c r="S92" s="149"/>
      <c r="T92" s="149"/>
      <c r="U92" s="149"/>
      <c r="V92" s="149"/>
      <c r="W92" s="149"/>
      <c r="X92" s="149"/>
      <c r="Y92" s="149"/>
      <c r="Z92" s="149"/>
      <c r="AA92" s="149"/>
      <c r="AB92" s="149"/>
      <c r="AC92" s="149"/>
      <c r="AD92" s="149"/>
      <c r="AE92" s="149"/>
      <c r="AF92" s="149"/>
      <c r="AG92" s="149"/>
      <c r="AH92" s="156"/>
    </row>
    <row r="93" ht="15.75" customHeight="1">
      <c r="A93" s="151"/>
      <c r="B93" s="403"/>
      <c r="C93" s="403"/>
      <c r="D93" s="403"/>
      <c r="E93" s="403"/>
      <c r="F93" s="403"/>
      <c r="G93" s="403"/>
      <c r="H93" s="403"/>
      <c r="I93" s="403"/>
      <c r="J93" s="403"/>
      <c r="K93" s="152"/>
      <c r="L93" s="403"/>
      <c r="M93" s="374"/>
      <c r="N93" s="151"/>
      <c r="O93" s="151"/>
      <c r="P93" s="151"/>
      <c r="Q93" s="151"/>
      <c r="R93" s="151"/>
      <c r="S93" s="151"/>
      <c r="T93" s="151"/>
      <c r="U93" s="151"/>
      <c r="V93" s="151"/>
      <c r="W93" s="151"/>
      <c r="X93" s="151"/>
      <c r="Y93" s="151"/>
      <c r="Z93" s="151"/>
      <c r="AA93" s="151"/>
      <c r="AB93" s="151"/>
      <c r="AC93" s="151"/>
      <c r="AD93" s="151"/>
      <c r="AE93" s="151"/>
      <c r="AF93" s="151"/>
      <c r="AG93" s="151"/>
      <c r="AH93" s="156"/>
    </row>
    <row r="94" ht="15.75" customHeight="1">
      <c r="A94" s="151"/>
      <c r="B94" s="403"/>
      <c r="C94" s="403"/>
      <c r="D94" s="403"/>
      <c r="E94" s="403"/>
      <c r="F94" s="151"/>
      <c r="G94" s="403"/>
      <c r="H94" s="403"/>
      <c r="I94" s="403"/>
      <c r="J94" s="403"/>
      <c r="K94" s="152"/>
      <c r="L94" s="403"/>
      <c r="M94" s="374"/>
      <c r="N94" s="151"/>
      <c r="O94" s="151"/>
      <c r="P94" s="151"/>
      <c r="Q94" s="151"/>
      <c r="R94" s="151"/>
      <c r="S94" s="151"/>
      <c r="T94" s="151"/>
      <c r="U94" s="151"/>
      <c r="V94" s="151"/>
      <c r="W94" s="151"/>
      <c r="X94" s="151"/>
      <c r="Y94" s="151"/>
      <c r="Z94" s="151"/>
      <c r="AA94" s="151"/>
      <c r="AB94" s="151"/>
      <c r="AC94" s="151"/>
      <c r="AD94" s="151"/>
      <c r="AE94" s="403"/>
      <c r="AF94" s="403"/>
      <c r="AG94" s="403"/>
      <c r="AH94" s="156"/>
    </row>
    <row r="95" ht="15.75" customHeight="1">
      <c r="A95" s="151"/>
      <c r="B95" s="403"/>
      <c r="C95" s="403"/>
      <c r="D95" s="403"/>
      <c r="E95" s="403"/>
      <c r="F95" s="151"/>
      <c r="G95" s="403"/>
      <c r="H95" s="403"/>
      <c r="I95" s="403"/>
      <c r="J95" s="403"/>
      <c r="K95" s="405"/>
      <c r="L95" s="403"/>
      <c r="M95" s="374"/>
      <c r="N95" s="151"/>
      <c r="O95" s="151"/>
      <c r="P95" s="151"/>
      <c r="Q95" s="151"/>
      <c r="R95" s="151"/>
      <c r="S95" s="151"/>
      <c r="T95" s="151"/>
      <c r="U95" s="151"/>
      <c r="V95" s="151"/>
      <c r="W95" s="151"/>
      <c r="X95" s="151"/>
      <c r="Y95" s="151"/>
      <c r="Z95" s="151"/>
      <c r="AA95" s="160"/>
      <c r="AB95" s="160"/>
      <c r="AC95" s="151"/>
      <c r="AD95" s="151"/>
      <c r="AE95" s="403"/>
      <c r="AF95" s="403"/>
      <c r="AG95" s="403"/>
      <c r="AH95" s="156"/>
    </row>
    <row r="96" ht="15.75" customHeight="1">
      <c r="A96" s="151"/>
      <c r="B96" s="403"/>
      <c r="C96" s="403"/>
      <c r="D96" s="403"/>
      <c r="E96" s="403"/>
      <c r="F96" s="151"/>
      <c r="G96" s="403"/>
      <c r="H96" s="403"/>
      <c r="I96" s="403"/>
      <c r="J96" s="403"/>
      <c r="K96" s="405"/>
      <c r="L96" s="403"/>
      <c r="M96" s="374"/>
      <c r="N96" s="151"/>
      <c r="O96" s="151"/>
      <c r="P96" s="151"/>
      <c r="Q96" s="151"/>
      <c r="R96" s="151"/>
      <c r="S96" s="151"/>
      <c r="T96" s="151"/>
      <c r="U96" s="151"/>
      <c r="V96" s="151"/>
      <c r="W96" s="151"/>
      <c r="X96" s="151"/>
      <c r="Y96" s="151"/>
      <c r="Z96" s="151"/>
      <c r="AA96" s="151"/>
      <c r="AB96" s="151"/>
      <c r="AC96" s="151"/>
      <c r="AD96" s="151"/>
      <c r="AE96" s="403"/>
      <c r="AF96" s="403"/>
      <c r="AG96" s="403"/>
      <c r="AH96" s="156"/>
    </row>
    <row r="97" ht="15.75" customHeight="1">
      <c r="A97" s="151"/>
      <c r="B97" s="403"/>
      <c r="C97" s="403"/>
      <c r="D97" s="403"/>
      <c r="E97" s="403"/>
      <c r="F97" s="151"/>
      <c r="G97" s="403"/>
      <c r="H97" s="403"/>
      <c r="I97" s="403"/>
      <c r="J97" s="403"/>
      <c r="K97" s="405"/>
      <c r="L97" s="403"/>
      <c r="M97" s="374"/>
      <c r="N97" s="151"/>
      <c r="O97" s="151"/>
      <c r="P97" s="151"/>
      <c r="Q97" s="151"/>
      <c r="R97" s="151"/>
      <c r="S97" s="151"/>
      <c r="T97" s="151"/>
      <c r="U97" s="151"/>
      <c r="V97" s="151"/>
      <c r="W97" s="151"/>
      <c r="X97" s="151"/>
      <c r="Y97" s="151"/>
      <c r="Z97" s="151"/>
      <c r="AA97" s="151"/>
      <c r="AB97" s="151"/>
      <c r="AC97" s="151"/>
      <c r="AD97" s="151"/>
      <c r="AE97" s="403"/>
      <c r="AF97" s="403"/>
      <c r="AG97" s="403"/>
      <c r="AH97" s="156"/>
    </row>
    <row r="98" ht="15.75" customHeight="1">
      <c r="A98" s="151"/>
      <c r="B98" s="403"/>
      <c r="C98" s="403"/>
      <c r="D98" s="403"/>
      <c r="E98" s="403"/>
      <c r="F98" s="151"/>
      <c r="G98" s="403"/>
      <c r="H98" s="403"/>
      <c r="I98" s="403"/>
      <c r="J98" s="403"/>
      <c r="K98" s="405"/>
      <c r="L98" s="403"/>
      <c r="M98" s="374"/>
      <c r="N98" s="151"/>
      <c r="O98" s="151"/>
      <c r="P98" s="151"/>
      <c r="Q98" s="151"/>
      <c r="R98" s="151"/>
      <c r="S98" s="151"/>
      <c r="T98" s="151"/>
      <c r="U98" s="151"/>
      <c r="V98" s="151"/>
      <c r="W98" s="151"/>
      <c r="X98" s="151"/>
      <c r="Y98" s="151"/>
      <c r="Z98" s="151"/>
      <c r="AA98" s="151"/>
      <c r="AB98" s="151"/>
      <c r="AC98" s="151"/>
      <c r="AD98" s="151"/>
      <c r="AE98" s="403"/>
      <c r="AF98" s="403"/>
      <c r="AG98" s="403"/>
      <c r="AH98" s="156"/>
    </row>
    <row r="99" ht="15.75" customHeight="1">
      <c r="A99" s="151"/>
      <c r="B99" s="403"/>
      <c r="C99" s="403"/>
      <c r="D99" s="403"/>
      <c r="E99" s="403"/>
      <c r="F99" s="151"/>
      <c r="G99" s="403"/>
      <c r="H99" s="403"/>
      <c r="I99" s="403"/>
      <c r="J99" s="403"/>
      <c r="K99" s="405"/>
      <c r="L99" s="405"/>
      <c r="M99" s="374"/>
      <c r="N99" s="151"/>
      <c r="O99" s="151"/>
      <c r="P99" s="151"/>
      <c r="Q99" s="151"/>
      <c r="R99" s="151"/>
      <c r="S99" s="151"/>
      <c r="T99" s="151"/>
      <c r="U99" s="151"/>
      <c r="V99" s="151"/>
      <c r="W99" s="151"/>
      <c r="X99" s="151"/>
      <c r="Y99" s="151"/>
      <c r="Z99" s="151"/>
      <c r="AA99" s="151"/>
      <c r="AB99" s="151"/>
      <c r="AC99" s="151"/>
      <c r="AD99" s="151"/>
      <c r="AE99" s="403"/>
      <c r="AF99" s="403"/>
      <c r="AG99" s="403"/>
      <c r="AH99" s="156"/>
    </row>
    <row r="100" ht="15.75" customHeight="1">
      <c r="A100" s="151"/>
      <c r="B100" s="403"/>
      <c r="C100" s="403"/>
      <c r="D100" s="403"/>
      <c r="E100" s="403"/>
      <c r="F100" s="151"/>
      <c r="G100" s="403"/>
      <c r="H100" s="403"/>
      <c r="I100" s="403"/>
      <c r="J100" s="403"/>
      <c r="K100" s="405"/>
      <c r="L100" s="405"/>
      <c r="M100" s="374"/>
      <c r="N100" s="151"/>
      <c r="O100" s="151"/>
      <c r="P100" s="151"/>
      <c r="Q100" s="151"/>
      <c r="R100" s="151"/>
      <c r="S100" s="151"/>
      <c r="T100" s="151"/>
      <c r="U100" s="151"/>
      <c r="V100" s="151"/>
      <c r="W100" s="151"/>
      <c r="X100" s="151"/>
      <c r="Y100" s="151"/>
      <c r="Z100" s="151"/>
      <c r="AA100" s="151"/>
      <c r="AB100" s="151"/>
      <c r="AC100" s="151"/>
      <c r="AD100" s="151"/>
      <c r="AE100" s="403"/>
      <c r="AF100" s="403"/>
      <c r="AG100" s="403"/>
      <c r="AH100" s="156"/>
    </row>
    <row r="101" ht="15.75" customHeight="1">
      <c r="A101" s="151"/>
      <c r="B101" s="403"/>
      <c r="C101" s="403"/>
      <c r="D101" s="403"/>
      <c r="E101" s="403"/>
      <c r="F101" s="151"/>
      <c r="G101" s="403"/>
      <c r="H101" s="403"/>
      <c r="I101" s="403"/>
      <c r="J101" s="403"/>
      <c r="K101" s="404"/>
      <c r="L101" s="404"/>
      <c r="M101" s="374"/>
      <c r="N101" s="151"/>
      <c r="O101" s="151"/>
      <c r="P101" s="151"/>
      <c r="Q101" s="151"/>
      <c r="R101" s="151"/>
      <c r="S101" s="151"/>
      <c r="T101" s="151"/>
      <c r="U101" s="151"/>
      <c r="V101" s="151"/>
      <c r="W101" s="151"/>
      <c r="X101" s="151"/>
      <c r="Y101" s="151"/>
      <c r="Z101" s="151"/>
      <c r="AA101" s="151"/>
      <c r="AB101" s="151"/>
      <c r="AC101" s="151"/>
      <c r="AD101" s="151"/>
      <c r="AE101" s="403"/>
      <c r="AF101" s="403"/>
      <c r="AG101" s="403"/>
      <c r="AH101" s="156"/>
    </row>
    <row r="102" ht="15.75" customHeight="1">
      <c r="A102" s="151"/>
      <c r="B102" s="403"/>
      <c r="C102" s="403"/>
      <c r="D102" s="403"/>
      <c r="E102" s="403"/>
      <c r="F102" s="403"/>
      <c r="G102" s="403"/>
      <c r="H102" s="403"/>
      <c r="I102" s="403"/>
      <c r="J102" s="403"/>
      <c r="K102" s="152"/>
      <c r="L102" s="152"/>
      <c r="M102" s="374"/>
      <c r="N102" s="151"/>
      <c r="O102" s="151"/>
      <c r="P102" s="151"/>
      <c r="Q102" s="151"/>
      <c r="R102" s="151"/>
      <c r="S102" s="151"/>
      <c r="T102" s="151"/>
      <c r="U102" s="151"/>
      <c r="V102" s="151"/>
      <c r="W102" s="151"/>
      <c r="X102" s="151"/>
      <c r="Y102" s="151"/>
      <c r="Z102" s="151"/>
      <c r="AA102" s="151"/>
      <c r="AB102" s="151"/>
      <c r="AC102" s="151"/>
      <c r="AD102" s="151"/>
      <c r="AE102" s="151"/>
      <c r="AF102" s="151"/>
      <c r="AG102" s="151"/>
      <c r="AH102" s="156"/>
    </row>
    <row r="103" ht="15.75" customHeight="1">
      <c r="M103" s="385"/>
      <c r="AH103" s="156"/>
    </row>
    <row r="104" ht="15.75" customHeight="1">
      <c r="M104" s="385"/>
      <c r="AH104" s="156"/>
    </row>
    <row r="105" ht="15.75" customHeight="1">
      <c r="M105" s="385"/>
      <c r="AH105" s="156"/>
    </row>
    <row r="106" ht="15.75" customHeight="1">
      <c r="M106" s="385"/>
      <c r="AH106" s="156"/>
    </row>
    <row r="107" ht="15.75" customHeight="1">
      <c r="M107" s="385"/>
      <c r="AH107" s="156"/>
    </row>
    <row r="108" ht="15.75" customHeight="1">
      <c r="M108" s="385"/>
      <c r="AH108" s="156"/>
    </row>
    <row r="109" ht="15.75" customHeight="1">
      <c r="M109" s="385"/>
      <c r="AH109" s="156"/>
    </row>
    <row r="110" ht="15.75" customHeight="1">
      <c r="M110" s="385"/>
      <c r="AH110" s="156"/>
    </row>
    <row r="111" ht="15.75" customHeight="1">
      <c r="M111" s="385"/>
      <c r="AH111" s="156"/>
    </row>
    <row r="112" ht="15.75" customHeight="1">
      <c r="M112" s="385"/>
      <c r="AH112" s="156"/>
    </row>
    <row r="113" ht="15.75" customHeight="1">
      <c r="M113" s="385"/>
      <c r="AH113" s="156"/>
    </row>
    <row r="114" ht="15.75" customHeight="1">
      <c r="M114" s="385"/>
      <c r="AH114" s="156"/>
    </row>
    <row r="115" ht="15.75" customHeight="1">
      <c r="M115" s="385"/>
      <c r="AH115" s="156"/>
    </row>
    <row r="116" ht="15.75" customHeight="1">
      <c r="M116" s="385"/>
      <c r="AH116" s="156"/>
    </row>
    <row r="117" ht="15.75" customHeight="1">
      <c r="M117" s="385"/>
      <c r="AH117" s="156"/>
    </row>
    <row r="118" ht="15.75" customHeight="1">
      <c r="M118" s="385"/>
      <c r="AH118" s="156"/>
    </row>
    <row r="119" ht="15.75" customHeight="1">
      <c r="M119" s="385"/>
      <c r="AH119" s="156"/>
    </row>
    <row r="120" ht="15.75" customHeight="1">
      <c r="M120" s="385"/>
      <c r="AH120" s="156"/>
    </row>
    <row r="121" ht="15.75" customHeight="1">
      <c r="M121" s="385"/>
      <c r="AH121" s="156"/>
    </row>
    <row r="122" ht="15.75" customHeight="1">
      <c r="M122" s="385"/>
      <c r="AH122" s="156"/>
    </row>
    <row r="123" ht="15.75" customHeight="1">
      <c r="M123" s="385"/>
      <c r="AH123" s="156"/>
    </row>
    <row r="124" ht="15.75" customHeight="1">
      <c r="M124" s="385"/>
      <c r="AH124" s="156"/>
    </row>
    <row r="125" ht="15.75" customHeight="1">
      <c r="M125" s="385"/>
      <c r="AH125" s="156"/>
    </row>
    <row r="126" ht="15.75" customHeight="1">
      <c r="M126" s="385"/>
      <c r="AH126" s="156"/>
    </row>
    <row r="127" ht="15.75" customHeight="1">
      <c r="M127" s="385"/>
      <c r="AH127" s="156"/>
    </row>
    <row r="128" ht="15.75" customHeight="1">
      <c r="M128" s="385"/>
      <c r="AH128" s="156"/>
    </row>
    <row r="129" ht="15.75" customHeight="1">
      <c r="M129" s="385"/>
      <c r="AH129" s="156"/>
    </row>
    <row r="130" ht="15.75" customHeight="1">
      <c r="M130" s="385"/>
      <c r="AH130" s="156"/>
    </row>
    <row r="131" ht="15.75" customHeight="1">
      <c r="M131" s="385"/>
      <c r="AH131" s="156"/>
    </row>
    <row r="132" ht="15.75" customHeight="1">
      <c r="M132" s="385"/>
      <c r="AH132" s="156"/>
    </row>
    <row r="133" ht="15.75" customHeight="1">
      <c r="M133" s="385"/>
      <c r="AH133" s="156"/>
    </row>
    <row r="134" ht="15.75" customHeight="1">
      <c r="M134" s="385"/>
      <c r="AH134" s="156"/>
    </row>
    <row r="135" ht="15.75" customHeight="1">
      <c r="M135" s="385"/>
      <c r="AH135" s="156"/>
    </row>
    <row r="136" ht="15.75" customHeight="1">
      <c r="M136" s="385"/>
      <c r="AH136" s="156"/>
    </row>
    <row r="137" ht="15.75" customHeight="1">
      <c r="M137" s="385"/>
      <c r="AH137" s="156"/>
    </row>
    <row r="138" ht="15.75" customHeight="1">
      <c r="M138" s="385"/>
      <c r="AH138" s="156"/>
    </row>
    <row r="139" ht="15.75" customHeight="1">
      <c r="M139" s="385"/>
      <c r="AH139" s="156"/>
    </row>
    <row r="140" ht="15.75" customHeight="1">
      <c r="M140" s="385"/>
      <c r="AH140" s="156"/>
    </row>
    <row r="141" ht="15.75" customHeight="1">
      <c r="M141" s="385"/>
      <c r="AH141" s="156"/>
    </row>
    <row r="142" ht="15.75" customHeight="1">
      <c r="M142" s="385"/>
      <c r="AH142" s="156"/>
    </row>
    <row r="143" ht="15.75" customHeight="1">
      <c r="M143" s="385"/>
      <c r="AH143" s="156"/>
    </row>
    <row r="144" ht="15.75" customHeight="1">
      <c r="M144" s="385"/>
      <c r="AH144" s="156"/>
    </row>
    <row r="145" ht="15.75" customHeight="1">
      <c r="M145" s="385"/>
      <c r="AH145" s="156"/>
    </row>
    <row r="146" ht="15.75" customHeight="1">
      <c r="M146" s="385"/>
      <c r="AH146" s="156"/>
    </row>
    <row r="147" ht="15.75" customHeight="1">
      <c r="M147" s="385"/>
      <c r="AH147" s="156"/>
    </row>
    <row r="148" ht="15.75" customHeight="1">
      <c r="M148" s="385"/>
      <c r="AH148" s="156"/>
    </row>
    <row r="149" ht="15.75" customHeight="1">
      <c r="M149" s="385"/>
      <c r="AH149" s="156"/>
    </row>
    <row r="150" ht="15.75" customHeight="1">
      <c r="M150" s="385"/>
      <c r="AH150" s="156"/>
    </row>
    <row r="151" ht="15.75" customHeight="1">
      <c r="M151" s="385"/>
      <c r="AH151" s="156"/>
    </row>
    <row r="152" ht="15.75" customHeight="1">
      <c r="M152" s="385"/>
      <c r="AH152" s="156"/>
    </row>
    <row r="153" ht="15.75" customHeight="1">
      <c r="M153" s="385"/>
      <c r="AH153" s="156"/>
    </row>
    <row r="154" ht="15.75" customHeight="1">
      <c r="M154" s="385"/>
      <c r="AH154" s="156"/>
    </row>
    <row r="155" ht="15.75" customHeight="1">
      <c r="M155" s="385"/>
      <c r="AH155" s="156"/>
    </row>
    <row r="156" ht="15.75" customHeight="1">
      <c r="M156" s="385"/>
      <c r="AH156" s="156"/>
    </row>
    <row r="157" ht="15.75" customHeight="1">
      <c r="M157" s="385"/>
      <c r="AH157" s="156"/>
    </row>
    <row r="158" ht="15.75" customHeight="1">
      <c r="M158" s="385"/>
      <c r="AH158" s="156"/>
    </row>
    <row r="159" ht="15.75" customHeight="1">
      <c r="M159" s="385"/>
      <c r="AH159" s="156"/>
    </row>
    <row r="160" ht="15.75" customHeight="1">
      <c r="M160" s="385"/>
      <c r="AH160" s="156"/>
    </row>
    <row r="161" ht="15.75" customHeight="1">
      <c r="M161" s="385"/>
      <c r="AH161" s="156"/>
    </row>
    <row r="162" ht="15.75" customHeight="1">
      <c r="M162" s="385"/>
      <c r="AH162" s="156"/>
    </row>
    <row r="163" ht="15.75" customHeight="1">
      <c r="M163" s="385"/>
      <c r="AH163" s="156"/>
    </row>
    <row r="164" ht="15.75" customHeight="1">
      <c r="M164" s="385"/>
      <c r="AH164" s="156"/>
    </row>
    <row r="165" ht="15.75" customHeight="1">
      <c r="M165" s="385"/>
      <c r="AH165" s="156"/>
    </row>
    <row r="166" ht="15.75" customHeight="1">
      <c r="M166" s="385"/>
      <c r="AH166" s="156"/>
    </row>
    <row r="167" ht="15.75" customHeight="1">
      <c r="M167" s="385"/>
      <c r="AH167" s="156"/>
    </row>
    <row r="168" ht="15.75" customHeight="1">
      <c r="M168" s="385"/>
      <c r="AH168" s="156"/>
    </row>
    <row r="169" ht="15.75" customHeight="1">
      <c r="M169" s="385"/>
      <c r="AH169" s="156"/>
    </row>
    <row r="170" ht="15.75" customHeight="1">
      <c r="M170" s="385"/>
      <c r="AH170" s="156"/>
    </row>
    <row r="171" ht="15.75" customHeight="1">
      <c r="M171" s="385"/>
      <c r="AH171" s="156"/>
    </row>
    <row r="172" ht="15.75" customHeight="1">
      <c r="M172" s="385"/>
      <c r="AH172" s="156"/>
    </row>
    <row r="173" ht="15.75" customHeight="1">
      <c r="M173" s="385"/>
      <c r="AH173" s="156"/>
    </row>
    <row r="174" ht="15.75" customHeight="1">
      <c r="M174" s="385"/>
      <c r="AH174" s="156"/>
    </row>
    <row r="175" ht="15.75" customHeight="1">
      <c r="M175" s="385"/>
      <c r="AH175" s="156"/>
    </row>
    <row r="176" ht="15.75" customHeight="1">
      <c r="M176" s="385"/>
      <c r="AH176" s="156"/>
    </row>
    <row r="177" ht="15.75" customHeight="1">
      <c r="M177" s="385"/>
      <c r="AH177" s="156"/>
    </row>
    <row r="178" ht="15.75" customHeight="1">
      <c r="M178" s="385"/>
      <c r="AH178" s="156"/>
    </row>
    <row r="179" ht="15.75" customHeight="1">
      <c r="M179" s="385"/>
      <c r="AH179" s="156"/>
    </row>
    <row r="180" ht="15.75" customHeight="1">
      <c r="M180" s="385"/>
      <c r="AH180" s="156"/>
    </row>
    <row r="181" ht="15.75" customHeight="1">
      <c r="M181" s="385"/>
      <c r="AH181" s="156"/>
    </row>
    <row r="182" ht="15.75" customHeight="1">
      <c r="M182" s="385"/>
      <c r="AH182" s="156"/>
    </row>
    <row r="183" ht="15.75" customHeight="1">
      <c r="M183" s="385"/>
      <c r="AH183" s="156"/>
    </row>
    <row r="184" ht="15.75" customHeight="1">
      <c r="M184" s="385"/>
      <c r="AH184" s="156"/>
    </row>
    <row r="185" ht="15.75" customHeight="1">
      <c r="M185" s="385"/>
      <c r="AH185" s="156"/>
    </row>
    <row r="186" ht="15.75" customHeight="1">
      <c r="M186" s="385"/>
      <c r="AH186" s="156"/>
    </row>
    <row r="187" ht="15.75" customHeight="1">
      <c r="M187" s="385"/>
      <c r="AH187" s="156"/>
    </row>
    <row r="188" ht="15.75" customHeight="1">
      <c r="M188" s="385"/>
      <c r="AH188" s="156"/>
    </row>
    <row r="189" ht="15.75" customHeight="1">
      <c r="M189" s="385"/>
      <c r="AH189" s="156"/>
    </row>
    <row r="190" ht="15.75" customHeight="1">
      <c r="M190" s="385"/>
      <c r="AH190" s="156"/>
    </row>
    <row r="191" ht="15.75" customHeight="1">
      <c r="M191" s="385"/>
      <c r="AH191" s="156"/>
    </row>
    <row r="192" ht="15.75" customHeight="1">
      <c r="M192" s="385"/>
      <c r="AH192" s="156"/>
    </row>
    <row r="193" ht="15.75" customHeight="1">
      <c r="M193" s="385"/>
      <c r="AH193" s="156"/>
    </row>
    <row r="194" ht="15.75" customHeight="1">
      <c r="M194" s="385"/>
      <c r="AH194" s="156"/>
    </row>
    <row r="195" ht="15.75" customHeight="1">
      <c r="M195" s="385"/>
      <c r="AH195" s="156"/>
    </row>
    <row r="196" ht="15.75" customHeight="1">
      <c r="M196" s="385"/>
      <c r="AH196" s="156"/>
    </row>
    <row r="197" ht="15.75" customHeight="1">
      <c r="M197" s="385"/>
      <c r="AH197" s="156"/>
    </row>
    <row r="198" ht="15.75" customHeight="1">
      <c r="M198" s="385"/>
      <c r="AH198" s="156"/>
    </row>
    <row r="199" ht="15.75" customHeight="1">
      <c r="M199" s="385"/>
      <c r="AH199" s="156"/>
    </row>
    <row r="200" ht="15.75" customHeight="1">
      <c r="M200" s="385"/>
      <c r="AH200" s="156"/>
    </row>
    <row r="201" ht="15.75" customHeight="1">
      <c r="M201" s="385"/>
      <c r="AH201" s="156"/>
    </row>
    <row r="202" ht="15.75" customHeight="1">
      <c r="M202" s="385"/>
      <c r="AH202" s="156"/>
    </row>
    <row r="203" ht="15.75" customHeight="1">
      <c r="M203" s="385"/>
      <c r="AH203" s="156"/>
    </row>
    <row r="204" ht="15.75" customHeight="1">
      <c r="M204" s="385"/>
      <c r="AH204" s="156"/>
    </row>
    <row r="205" ht="15.75" customHeight="1">
      <c r="M205" s="385"/>
      <c r="AH205" s="156"/>
    </row>
    <row r="206" ht="15.75" customHeight="1">
      <c r="M206" s="385"/>
      <c r="AH206" s="156"/>
    </row>
    <row r="207" ht="15.75" customHeight="1">
      <c r="M207" s="385"/>
      <c r="AH207" s="156"/>
    </row>
    <row r="208" ht="15.75" customHeight="1">
      <c r="M208" s="385"/>
      <c r="AH208" s="156"/>
    </row>
    <row r="209" ht="15.75" customHeight="1">
      <c r="M209" s="385"/>
      <c r="AH209" s="156"/>
    </row>
    <row r="210" ht="15.75" customHeight="1">
      <c r="M210" s="385"/>
      <c r="AH210" s="156"/>
    </row>
    <row r="211" ht="15.75" customHeight="1">
      <c r="M211" s="385"/>
    </row>
    <row r="212" ht="15.75" customHeight="1">
      <c r="M212" s="385"/>
    </row>
    <row r="213" ht="15.75" customHeight="1">
      <c r="M213" s="385"/>
    </row>
    <row r="214" ht="15.75" customHeight="1">
      <c r="M214" s="385"/>
    </row>
    <row r="215" ht="15.75" customHeight="1">
      <c r="M215" s="385"/>
    </row>
    <row r="216" ht="15.75" customHeight="1">
      <c r="M216" s="385"/>
    </row>
    <row r="217" ht="15.75" customHeight="1">
      <c r="M217" s="385"/>
    </row>
    <row r="218" ht="15.75" customHeight="1">
      <c r="M218" s="385"/>
    </row>
    <row r="219" ht="15.75" customHeight="1">
      <c r="M219" s="385"/>
    </row>
    <row r="220" ht="15.75" customHeight="1">
      <c r="M220" s="385"/>
    </row>
    <row r="221" ht="15.75" customHeight="1">
      <c r="M221" s="385"/>
    </row>
    <row r="222" ht="15.75" customHeight="1">
      <c r="M222" s="385"/>
    </row>
    <row r="223" ht="15.75" customHeight="1">
      <c r="M223" s="385"/>
    </row>
    <row r="224" ht="15.75" customHeight="1">
      <c r="M224" s="385"/>
    </row>
    <row r="225" ht="15.75" customHeight="1">
      <c r="M225" s="385"/>
    </row>
    <row r="226" ht="15.75" customHeight="1">
      <c r="M226" s="385"/>
    </row>
    <row r="227" ht="15.75" customHeight="1">
      <c r="M227" s="385"/>
    </row>
    <row r="228" ht="15.75" customHeight="1">
      <c r="M228" s="385"/>
    </row>
    <row r="229" ht="15.75" customHeight="1">
      <c r="M229" s="385"/>
    </row>
    <row r="230" ht="15.75" customHeight="1">
      <c r="M230" s="385"/>
    </row>
    <row r="231" ht="15.75" customHeight="1">
      <c r="M231" s="385"/>
    </row>
    <row r="232" ht="15.75" customHeight="1">
      <c r="M232" s="385"/>
    </row>
    <row r="233" ht="15.75" customHeight="1">
      <c r="M233" s="385"/>
    </row>
    <row r="234" ht="15.75" customHeight="1">
      <c r="M234" s="385"/>
    </row>
    <row r="235" ht="15.75" customHeight="1">
      <c r="M235" s="385"/>
    </row>
    <row r="236" ht="15.75" customHeight="1">
      <c r="M236" s="385"/>
    </row>
    <row r="237" ht="15.75" customHeight="1">
      <c r="M237" s="385"/>
    </row>
    <row r="238" ht="15.75" customHeight="1">
      <c r="M238" s="385"/>
    </row>
    <row r="239" ht="15.75" customHeight="1">
      <c r="M239" s="385"/>
    </row>
    <row r="240" ht="15.75" customHeight="1">
      <c r="M240" s="385"/>
    </row>
    <row r="241" ht="15.75" customHeight="1">
      <c r="M241" s="385"/>
    </row>
    <row r="242" ht="15.75" customHeight="1">
      <c r="M242" s="385"/>
    </row>
    <row r="243" ht="15.75" customHeight="1">
      <c r="M243" s="385"/>
    </row>
    <row r="244" ht="15.75" customHeight="1">
      <c r="M244" s="385"/>
    </row>
    <row r="245" ht="15.75" customHeight="1">
      <c r="M245" s="385"/>
    </row>
    <row r="246" ht="15.75" customHeight="1">
      <c r="M246" s="385"/>
    </row>
    <row r="247" ht="15.75" customHeight="1">
      <c r="M247" s="385"/>
    </row>
    <row r="248" ht="15.75" customHeight="1">
      <c r="M248" s="385"/>
    </row>
    <row r="249" ht="15.75" customHeight="1">
      <c r="M249" s="385"/>
    </row>
    <row r="250" ht="15.75" customHeight="1">
      <c r="M250" s="385"/>
    </row>
    <row r="251" ht="15.75" customHeight="1">
      <c r="M251" s="385"/>
    </row>
    <row r="252" ht="15.75" customHeight="1">
      <c r="M252" s="385"/>
    </row>
    <row r="253" ht="15.75" customHeight="1">
      <c r="M253" s="385"/>
    </row>
    <row r="254" ht="15.75" customHeight="1">
      <c r="M254" s="385"/>
    </row>
    <row r="255" ht="15.75" customHeight="1">
      <c r="M255" s="385"/>
    </row>
    <row r="256" ht="15.75" customHeight="1">
      <c r="M256" s="385"/>
    </row>
    <row r="257" ht="15.75" customHeight="1">
      <c r="M257" s="385"/>
    </row>
    <row r="258" ht="15.75" customHeight="1">
      <c r="M258" s="385"/>
    </row>
    <row r="259" ht="15.75" customHeight="1">
      <c r="M259" s="385"/>
    </row>
    <row r="260" ht="15.75" customHeight="1">
      <c r="M260" s="385"/>
    </row>
    <row r="261" ht="15.75" customHeight="1">
      <c r="M261" s="385"/>
    </row>
    <row r="262" ht="15.75" customHeight="1">
      <c r="M262" s="385"/>
    </row>
    <row r="263" ht="15.75" customHeight="1">
      <c r="M263" s="385"/>
    </row>
    <row r="264" ht="15.75" customHeight="1">
      <c r="M264" s="385"/>
    </row>
    <row r="265" ht="15.75" customHeight="1">
      <c r="M265" s="385"/>
    </row>
    <row r="266" ht="15.75" customHeight="1">
      <c r="M266" s="385"/>
    </row>
    <row r="267" ht="15.75" customHeight="1">
      <c r="M267" s="385"/>
    </row>
    <row r="268" ht="15.75" customHeight="1">
      <c r="M268" s="385"/>
    </row>
    <row r="269" ht="15.75" customHeight="1">
      <c r="M269" s="385"/>
    </row>
    <row r="270" ht="15.75" customHeight="1">
      <c r="M270" s="385"/>
    </row>
    <row r="271" ht="15.75" customHeight="1">
      <c r="M271" s="385"/>
    </row>
    <row r="272" ht="15.75" customHeight="1">
      <c r="M272" s="385"/>
    </row>
    <row r="273" ht="15.75" customHeight="1">
      <c r="M273" s="385"/>
    </row>
    <row r="274" ht="15.75" customHeight="1">
      <c r="M274" s="385"/>
    </row>
    <row r="275" ht="15.75" customHeight="1">
      <c r="M275" s="385"/>
    </row>
    <row r="276" ht="15.75" customHeight="1">
      <c r="M276" s="385"/>
    </row>
    <row r="277" ht="15.75" customHeight="1">
      <c r="M277" s="385"/>
    </row>
    <row r="278" ht="15.75" customHeight="1">
      <c r="M278" s="385"/>
    </row>
    <row r="279" ht="15.75" customHeight="1">
      <c r="M279" s="385"/>
    </row>
    <row r="280" ht="15.75" customHeight="1">
      <c r="M280" s="385"/>
    </row>
    <row r="281" ht="15.75" customHeight="1">
      <c r="M281" s="385"/>
    </row>
    <row r="282" ht="15.75" customHeight="1">
      <c r="M282" s="385"/>
    </row>
    <row r="283" ht="15.75" customHeight="1">
      <c r="M283" s="385"/>
    </row>
    <row r="284" ht="15.75" customHeight="1">
      <c r="M284" s="385"/>
    </row>
    <row r="285" ht="15.75" customHeight="1">
      <c r="M285" s="385"/>
    </row>
    <row r="286" ht="15.75" customHeight="1">
      <c r="M286" s="385"/>
    </row>
    <row r="287" ht="15.75" customHeight="1">
      <c r="M287" s="385"/>
    </row>
    <row r="288" ht="15.75" customHeight="1">
      <c r="M288" s="385"/>
    </row>
    <row r="289" ht="15.75" customHeight="1">
      <c r="M289" s="385"/>
    </row>
    <row r="290" ht="15.75" customHeight="1">
      <c r="M290" s="385"/>
    </row>
    <row r="291" ht="15.75" customHeight="1">
      <c r="M291" s="385"/>
    </row>
    <row r="292" ht="15.75" customHeight="1">
      <c r="M292" s="385"/>
    </row>
    <row r="293" ht="15.75" customHeight="1">
      <c r="M293" s="385"/>
    </row>
    <row r="294" ht="15.75" customHeight="1">
      <c r="M294" s="385"/>
    </row>
    <row r="295" ht="15.75" customHeight="1">
      <c r="M295" s="385"/>
    </row>
    <row r="296" ht="15.75" customHeight="1">
      <c r="M296" s="385"/>
    </row>
    <row r="297" ht="15.75" customHeight="1">
      <c r="M297" s="385"/>
    </row>
    <row r="298" ht="15.75" customHeight="1">
      <c r="M298" s="385"/>
    </row>
    <row r="299" ht="15.75" customHeight="1">
      <c r="M299" s="385"/>
    </row>
    <row r="300" ht="15.75" customHeight="1">
      <c r="M300" s="385"/>
    </row>
    <row r="301" ht="15.75" customHeight="1">
      <c r="M301" s="385"/>
    </row>
    <row r="302" ht="15.75" customHeight="1">
      <c r="M302" s="385"/>
    </row>
    <row r="303" ht="15.75" customHeight="1">
      <c r="M303" s="385"/>
    </row>
    <row r="304" ht="15.75" customHeight="1">
      <c r="M304" s="385"/>
    </row>
    <row r="305" ht="15.75" customHeight="1">
      <c r="M305" s="385"/>
    </row>
    <row r="306" ht="15.75" customHeight="1">
      <c r="M306" s="385"/>
    </row>
    <row r="307" ht="15.75" customHeight="1">
      <c r="M307" s="385"/>
    </row>
    <row r="308" ht="15.75" customHeight="1">
      <c r="M308" s="385"/>
    </row>
    <row r="309" ht="15.75" customHeight="1">
      <c r="M309" s="385"/>
    </row>
    <row r="310" ht="15.75" customHeight="1">
      <c r="M310" s="385"/>
    </row>
    <row r="311" ht="15.75" customHeight="1">
      <c r="M311" s="385"/>
    </row>
    <row r="312" ht="15.75" customHeight="1">
      <c r="M312" s="385"/>
    </row>
    <row r="313" ht="15.75" customHeight="1">
      <c r="M313" s="385"/>
    </row>
    <row r="314" ht="15.75" customHeight="1">
      <c r="M314" s="385"/>
    </row>
    <row r="315" ht="15.75" customHeight="1">
      <c r="M315" s="385"/>
    </row>
    <row r="316" ht="15.75" customHeight="1">
      <c r="M316" s="385"/>
    </row>
    <row r="317" ht="15.75" customHeight="1">
      <c r="M317" s="385"/>
    </row>
    <row r="318" ht="15.75" customHeight="1">
      <c r="M318" s="385"/>
    </row>
    <row r="319" ht="15.75" customHeight="1">
      <c r="M319" s="385"/>
    </row>
    <row r="320" ht="15.75" customHeight="1">
      <c r="M320" s="385"/>
    </row>
    <row r="321" ht="15.75" customHeight="1">
      <c r="M321" s="385"/>
    </row>
    <row r="322" ht="15.75" customHeight="1">
      <c r="M322" s="385"/>
    </row>
    <row r="323" ht="15.75" customHeight="1">
      <c r="M323" s="385"/>
    </row>
    <row r="324" ht="15.75" customHeight="1">
      <c r="M324" s="385"/>
    </row>
    <row r="325" ht="15.75" customHeight="1">
      <c r="M325" s="385"/>
    </row>
    <row r="326" ht="15.75" customHeight="1">
      <c r="M326" s="385"/>
    </row>
    <row r="327" ht="15.75" customHeight="1">
      <c r="M327" s="385"/>
    </row>
    <row r="328" ht="15.75" customHeight="1">
      <c r="M328" s="385"/>
    </row>
    <row r="329" ht="15.75" customHeight="1">
      <c r="M329" s="385"/>
    </row>
    <row r="330" ht="15.75" customHeight="1">
      <c r="M330" s="385"/>
    </row>
    <row r="331" ht="15.75" customHeight="1">
      <c r="M331" s="385"/>
    </row>
    <row r="332" ht="15.75" customHeight="1">
      <c r="M332" s="385"/>
    </row>
    <row r="333" ht="15.75" customHeight="1">
      <c r="M333" s="385"/>
    </row>
    <row r="334" ht="15.75" customHeight="1">
      <c r="M334" s="385"/>
    </row>
    <row r="335" ht="15.75" customHeight="1">
      <c r="M335" s="385"/>
    </row>
    <row r="336" ht="15.75" customHeight="1">
      <c r="M336" s="385"/>
    </row>
    <row r="337" ht="15.75" customHeight="1">
      <c r="M337" s="385"/>
    </row>
    <row r="338" ht="15.75" customHeight="1">
      <c r="M338" s="385"/>
    </row>
    <row r="339" ht="15.75" customHeight="1">
      <c r="M339" s="385"/>
    </row>
    <row r="340" ht="15.75" customHeight="1">
      <c r="M340" s="385"/>
    </row>
    <row r="341" ht="15.75" customHeight="1">
      <c r="M341" s="385"/>
    </row>
    <row r="342" ht="15.75" customHeight="1">
      <c r="M342" s="385"/>
    </row>
    <row r="343" ht="15.75" customHeight="1">
      <c r="M343" s="385"/>
    </row>
    <row r="344" ht="15.75" customHeight="1">
      <c r="M344" s="385"/>
    </row>
    <row r="345" ht="15.75" customHeight="1">
      <c r="M345" s="385"/>
    </row>
    <row r="346" ht="15.75" customHeight="1">
      <c r="M346" s="385"/>
    </row>
    <row r="347" ht="15.75" customHeight="1">
      <c r="M347" s="385"/>
    </row>
    <row r="348" ht="15.75" customHeight="1">
      <c r="M348" s="385"/>
    </row>
    <row r="349" ht="15.75" customHeight="1">
      <c r="M349" s="385"/>
    </row>
    <row r="350" ht="15.75" customHeight="1">
      <c r="M350" s="385"/>
    </row>
    <row r="351" ht="15.75" customHeight="1">
      <c r="M351" s="385"/>
    </row>
    <row r="352" ht="15.75" customHeight="1">
      <c r="M352" s="385"/>
    </row>
    <row r="353" ht="15.75" customHeight="1">
      <c r="M353" s="385"/>
    </row>
    <row r="354" ht="15.75" customHeight="1">
      <c r="M354" s="385"/>
    </row>
    <row r="355" ht="15.75" customHeight="1">
      <c r="M355" s="385"/>
    </row>
    <row r="356" ht="15.75" customHeight="1">
      <c r="M356" s="385"/>
    </row>
    <row r="357" ht="15.75" customHeight="1">
      <c r="M357" s="385"/>
    </row>
    <row r="358" ht="15.75" customHeight="1">
      <c r="M358" s="385"/>
    </row>
    <row r="359" ht="15.75" customHeight="1">
      <c r="M359" s="385"/>
    </row>
    <row r="360" ht="15.75" customHeight="1">
      <c r="M360" s="385"/>
    </row>
    <row r="361" ht="15.75" customHeight="1">
      <c r="M361" s="385"/>
    </row>
    <row r="362" ht="15.75" customHeight="1">
      <c r="M362" s="385"/>
    </row>
    <row r="363" ht="15.75" customHeight="1">
      <c r="M363" s="385"/>
    </row>
    <row r="364" ht="15.75" customHeight="1">
      <c r="M364" s="385"/>
    </row>
    <row r="365" ht="15.75" customHeight="1">
      <c r="M365" s="385"/>
    </row>
    <row r="366" ht="15.75" customHeight="1">
      <c r="M366" s="385"/>
    </row>
    <row r="367" ht="15.75" customHeight="1">
      <c r="M367" s="385"/>
    </row>
    <row r="368" ht="15.75" customHeight="1">
      <c r="M368" s="385"/>
    </row>
    <row r="369" ht="15.75" customHeight="1">
      <c r="M369" s="385"/>
    </row>
    <row r="370" ht="15.75" customHeight="1">
      <c r="M370" s="385"/>
    </row>
    <row r="371" ht="15.75" customHeight="1">
      <c r="M371" s="385"/>
    </row>
    <row r="372" ht="15.75" customHeight="1">
      <c r="M372" s="385"/>
    </row>
    <row r="373" ht="15.75" customHeight="1">
      <c r="M373" s="385"/>
    </row>
    <row r="374" ht="15.75" customHeight="1">
      <c r="M374" s="385"/>
    </row>
    <row r="375" ht="15.75" customHeight="1">
      <c r="M375" s="385"/>
    </row>
    <row r="376" ht="15.75" customHeight="1">
      <c r="M376" s="385"/>
    </row>
    <row r="377" ht="15.75" customHeight="1">
      <c r="M377" s="385"/>
    </row>
    <row r="378" ht="15.75" customHeight="1">
      <c r="M378" s="385"/>
    </row>
    <row r="379" ht="15.75" customHeight="1">
      <c r="M379" s="385"/>
    </row>
    <row r="380" ht="15.75" customHeight="1">
      <c r="M380" s="385"/>
    </row>
    <row r="381" ht="15.75" customHeight="1">
      <c r="M381" s="385"/>
    </row>
    <row r="382" ht="15.75" customHeight="1">
      <c r="M382" s="385"/>
    </row>
    <row r="383" ht="15.75" customHeight="1">
      <c r="M383" s="385"/>
    </row>
    <row r="384" ht="15.75" customHeight="1">
      <c r="M384" s="385"/>
    </row>
    <row r="385" ht="15.75" customHeight="1">
      <c r="M385" s="385"/>
    </row>
    <row r="386" ht="15.75" customHeight="1">
      <c r="M386" s="385"/>
    </row>
    <row r="387" ht="15.75" customHeight="1">
      <c r="M387" s="385"/>
    </row>
    <row r="388" ht="15.75" customHeight="1">
      <c r="M388" s="385"/>
    </row>
    <row r="389" ht="15.75" customHeight="1">
      <c r="M389" s="385"/>
    </row>
    <row r="390" ht="15.75" customHeight="1">
      <c r="M390" s="385"/>
    </row>
    <row r="391" ht="15.75" customHeight="1">
      <c r="M391" s="385"/>
    </row>
    <row r="392" ht="15.75" customHeight="1">
      <c r="M392" s="385"/>
    </row>
    <row r="393" ht="15.75" customHeight="1">
      <c r="M393" s="385"/>
    </row>
    <row r="394" ht="15.75" customHeight="1">
      <c r="M394" s="385"/>
    </row>
    <row r="395" ht="15.75" customHeight="1">
      <c r="M395" s="385"/>
    </row>
    <row r="396" ht="15.75" customHeight="1">
      <c r="M396" s="385"/>
    </row>
    <row r="397" ht="15.75" customHeight="1">
      <c r="M397" s="385"/>
    </row>
    <row r="398" ht="15.75" customHeight="1">
      <c r="M398" s="385"/>
    </row>
    <row r="399" ht="15.75" customHeight="1">
      <c r="M399" s="385"/>
    </row>
    <row r="400" ht="15.75" customHeight="1">
      <c r="M400" s="385"/>
    </row>
    <row r="401" ht="15.75" customHeight="1">
      <c r="M401" s="385"/>
    </row>
    <row r="402" ht="15.75" customHeight="1">
      <c r="M402" s="385"/>
    </row>
    <row r="403" ht="15.75" customHeight="1">
      <c r="M403" s="385"/>
    </row>
    <row r="404" ht="15.75" customHeight="1">
      <c r="M404" s="385"/>
    </row>
    <row r="405" ht="15.75" customHeight="1">
      <c r="M405" s="385"/>
    </row>
    <row r="406" ht="15.75" customHeight="1">
      <c r="M406" s="385"/>
    </row>
    <row r="407" ht="15.75" customHeight="1">
      <c r="M407" s="385"/>
    </row>
    <row r="408" ht="15.75" customHeight="1">
      <c r="M408" s="385"/>
    </row>
    <row r="409" ht="15.75" customHeight="1">
      <c r="M409" s="385"/>
    </row>
    <row r="410" ht="15.75" customHeight="1">
      <c r="M410" s="385"/>
    </row>
    <row r="411" ht="15.75" customHeight="1">
      <c r="M411" s="385"/>
    </row>
    <row r="412" ht="15.75" customHeight="1">
      <c r="M412" s="385"/>
    </row>
    <row r="413" ht="15.75" customHeight="1">
      <c r="M413" s="385"/>
    </row>
    <row r="414" ht="15.75" customHeight="1">
      <c r="M414" s="385"/>
    </row>
    <row r="415" ht="15.75" customHeight="1">
      <c r="M415" s="385"/>
    </row>
    <row r="416" ht="15.75" customHeight="1">
      <c r="M416" s="385"/>
    </row>
    <row r="417" ht="15.75" customHeight="1">
      <c r="M417" s="385"/>
    </row>
    <row r="418" ht="15.75" customHeight="1">
      <c r="M418" s="385"/>
    </row>
    <row r="419" ht="15.75" customHeight="1">
      <c r="M419" s="385"/>
    </row>
    <row r="420" ht="15.75" customHeight="1">
      <c r="M420" s="385"/>
    </row>
    <row r="421" ht="15.75" customHeight="1">
      <c r="M421" s="385"/>
    </row>
    <row r="422" ht="15.75" customHeight="1">
      <c r="M422" s="385"/>
    </row>
    <row r="423" ht="15.75" customHeight="1">
      <c r="M423" s="385"/>
    </row>
    <row r="424" ht="15.75" customHeight="1">
      <c r="M424" s="385"/>
    </row>
    <row r="425" ht="15.75" customHeight="1">
      <c r="M425" s="385"/>
    </row>
    <row r="426" ht="15.75" customHeight="1">
      <c r="M426" s="385"/>
    </row>
    <row r="427" ht="15.75" customHeight="1">
      <c r="M427" s="385"/>
    </row>
    <row r="428" ht="15.75" customHeight="1">
      <c r="M428" s="385"/>
    </row>
    <row r="429" ht="15.75" customHeight="1">
      <c r="M429" s="385"/>
    </row>
    <row r="430" ht="15.75" customHeight="1">
      <c r="M430" s="385"/>
    </row>
    <row r="431" ht="15.75" customHeight="1">
      <c r="M431" s="385"/>
    </row>
    <row r="432" ht="15.75" customHeight="1">
      <c r="M432" s="385"/>
    </row>
    <row r="433" ht="15.75" customHeight="1">
      <c r="M433" s="385"/>
    </row>
    <row r="434" ht="15.75" customHeight="1">
      <c r="M434" s="385"/>
    </row>
    <row r="435" ht="15.75" customHeight="1">
      <c r="M435" s="385"/>
    </row>
    <row r="436" ht="15.75" customHeight="1">
      <c r="M436" s="385"/>
    </row>
    <row r="437" ht="15.75" customHeight="1">
      <c r="M437" s="385"/>
    </row>
    <row r="438" ht="15.75" customHeight="1">
      <c r="M438" s="385"/>
    </row>
    <row r="439" ht="15.75" customHeight="1">
      <c r="M439" s="385"/>
    </row>
    <row r="440" ht="15.75" customHeight="1">
      <c r="M440" s="385"/>
    </row>
    <row r="441" ht="15.75" customHeight="1">
      <c r="M441" s="385"/>
    </row>
    <row r="442" ht="15.75" customHeight="1">
      <c r="M442" s="385"/>
    </row>
    <row r="443" ht="15.75" customHeight="1">
      <c r="M443" s="385"/>
    </row>
    <row r="444" ht="15.75" customHeight="1">
      <c r="M444" s="385"/>
    </row>
    <row r="445" ht="15.75" customHeight="1">
      <c r="M445" s="385"/>
    </row>
    <row r="446" ht="15.75" customHeight="1">
      <c r="M446" s="385"/>
    </row>
    <row r="447" ht="15.75" customHeight="1">
      <c r="M447" s="385"/>
    </row>
    <row r="448" ht="15.75" customHeight="1">
      <c r="M448" s="385"/>
    </row>
    <row r="449" ht="15.75" customHeight="1">
      <c r="M449" s="385"/>
    </row>
    <row r="450" ht="15.75" customHeight="1">
      <c r="M450" s="385"/>
    </row>
    <row r="451" ht="15.75" customHeight="1">
      <c r="M451" s="385"/>
    </row>
    <row r="452" ht="15.75" customHeight="1">
      <c r="M452" s="385"/>
    </row>
    <row r="453" ht="15.75" customHeight="1">
      <c r="M453" s="385"/>
    </row>
    <row r="454" ht="15.75" customHeight="1">
      <c r="M454" s="385"/>
    </row>
    <row r="455" ht="15.75" customHeight="1">
      <c r="M455" s="385"/>
    </row>
    <row r="456" ht="15.75" customHeight="1">
      <c r="M456" s="385"/>
    </row>
    <row r="457" ht="15.75" customHeight="1">
      <c r="M457" s="385"/>
    </row>
    <row r="458" ht="15.75" customHeight="1">
      <c r="M458" s="385"/>
    </row>
    <row r="459" ht="15.75" customHeight="1">
      <c r="M459" s="385"/>
    </row>
    <row r="460" ht="15.75" customHeight="1">
      <c r="M460" s="385"/>
    </row>
    <row r="461" ht="15.75" customHeight="1">
      <c r="M461" s="385"/>
    </row>
    <row r="462" ht="15.75" customHeight="1">
      <c r="M462" s="385"/>
    </row>
    <row r="463" ht="15.75" customHeight="1">
      <c r="M463" s="385"/>
    </row>
    <row r="464" ht="15.75" customHeight="1">
      <c r="M464" s="385"/>
    </row>
    <row r="465" ht="15.75" customHeight="1">
      <c r="M465" s="385"/>
    </row>
    <row r="466" ht="15.75" customHeight="1">
      <c r="M466" s="385"/>
    </row>
    <row r="467" ht="15.75" customHeight="1">
      <c r="M467" s="385"/>
    </row>
    <row r="468" ht="15.75" customHeight="1">
      <c r="M468" s="385"/>
    </row>
    <row r="469" ht="15.75" customHeight="1">
      <c r="M469" s="385"/>
    </row>
    <row r="470" ht="15.75" customHeight="1">
      <c r="M470" s="385"/>
    </row>
    <row r="471" ht="15.75" customHeight="1">
      <c r="M471" s="385"/>
    </row>
    <row r="472" ht="15.75" customHeight="1">
      <c r="M472" s="385"/>
    </row>
    <row r="473" ht="15.75" customHeight="1">
      <c r="M473" s="385"/>
    </row>
    <row r="474" ht="15.75" customHeight="1">
      <c r="M474" s="385"/>
    </row>
    <row r="475" ht="15.75" customHeight="1">
      <c r="M475" s="385"/>
    </row>
    <row r="476" ht="15.75" customHeight="1">
      <c r="M476" s="385"/>
    </row>
    <row r="477" ht="15.75" customHeight="1">
      <c r="M477" s="385"/>
    </row>
    <row r="478" ht="15.75" customHeight="1">
      <c r="M478" s="385"/>
    </row>
    <row r="479" ht="15.75" customHeight="1">
      <c r="M479" s="385"/>
    </row>
    <row r="480" ht="15.75" customHeight="1">
      <c r="M480" s="385"/>
    </row>
    <row r="481" ht="15.75" customHeight="1">
      <c r="M481" s="385"/>
    </row>
    <row r="482" ht="15.75" customHeight="1">
      <c r="M482" s="385"/>
    </row>
    <row r="483" ht="15.75" customHeight="1">
      <c r="M483" s="385"/>
    </row>
    <row r="484" ht="15.75" customHeight="1">
      <c r="M484" s="385"/>
    </row>
    <row r="485" ht="15.75" customHeight="1">
      <c r="M485" s="385"/>
    </row>
    <row r="486" ht="15.75" customHeight="1">
      <c r="M486" s="385"/>
    </row>
    <row r="487" ht="15.75" customHeight="1">
      <c r="M487" s="385"/>
    </row>
    <row r="488" ht="15.75" customHeight="1">
      <c r="M488" s="385"/>
    </row>
    <row r="489" ht="15.75" customHeight="1">
      <c r="M489" s="385"/>
    </row>
    <row r="490" ht="15.75" customHeight="1">
      <c r="M490" s="385"/>
    </row>
    <row r="491" ht="15.75" customHeight="1">
      <c r="M491" s="385"/>
    </row>
    <row r="492" ht="15.75" customHeight="1">
      <c r="M492" s="385"/>
    </row>
    <row r="493" ht="15.75" customHeight="1">
      <c r="M493" s="385"/>
    </row>
    <row r="494" ht="15.75" customHeight="1">
      <c r="M494" s="385"/>
    </row>
    <row r="495" ht="15.75" customHeight="1">
      <c r="M495" s="385"/>
    </row>
    <row r="496" ht="15.75" customHeight="1">
      <c r="M496" s="385"/>
    </row>
    <row r="497" ht="15.75" customHeight="1">
      <c r="M497" s="385"/>
    </row>
    <row r="498" ht="15.75" customHeight="1">
      <c r="M498" s="385"/>
    </row>
    <row r="499" ht="15.75" customHeight="1">
      <c r="M499" s="385"/>
    </row>
    <row r="500" ht="15.75" customHeight="1">
      <c r="M500" s="385"/>
    </row>
    <row r="501" ht="15.75" customHeight="1">
      <c r="M501" s="385"/>
    </row>
    <row r="502" ht="15.75" customHeight="1">
      <c r="M502" s="385"/>
    </row>
    <row r="503" ht="15.75" customHeight="1">
      <c r="M503" s="385"/>
    </row>
    <row r="504" ht="15.75" customHeight="1">
      <c r="M504" s="385"/>
    </row>
    <row r="505" ht="15.75" customHeight="1">
      <c r="M505" s="385"/>
    </row>
    <row r="506" ht="15.75" customHeight="1">
      <c r="M506" s="385"/>
    </row>
    <row r="507" ht="15.75" customHeight="1">
      <c r="M507" s="385"/>
    </row>
    <row r="508" ht="15.75" customHeight="1">
      <c r="M508" s="385"/>
    </row>
    <row r="509" ht="15.75" customHeight="1">
      <c r="M509" s="385"/>
    </row>
    <row r="510" ht="15.75" customHeight="1">
      <c r="M510" s="385"/>
    </row>
    <row r="511" ht="15.75" customHeight="1">
      <c r="M511" s="385"/>
    </row>
    <row r="512" ht="15.75" customHeight="1">
      <c r="M512" s="385"/>
    </row>
    <row r="513" ht="15.75" customHeight="1">
      <c r="M513" s="385"/>
    </row>
    <row r="514" ht="15.75" customHeight="1">
      <c r="M514" s="385"/>
    </row>
    <row r="515" ht="15.75" customHeight="1">
      <c r="M515" s="385"/>
    </row>
    <row r="516" ht="15.75" customHeight="1">
      <c r="M516" s="385"/>
    </row>
    <row r="517" ht="15.75" customHeight="1">
      <c r="M517" s="385"/>
    </row>
    <row r="518" ht="15.75" customHeight="1">
      <c r="M518" s="385"/>
    </row>
    <row r="519" ht="15.75" customHeight="1">
      <c r="M519" s="385"/>
    </row>
    <row r="520" ht="15.75" customHeight="1">
      <c r="M520" s="385"/>
    </row>
    <row r="521" ht="15.75" customHeight="1">
      <c r="M521" s="385"/>
    </row>
    <row r="522" ht="15.75" customHeight="1">
      <c r="M522" s="385"/>
    </row>
    <row r="523" ht="15.75" customHeight="1">
      <c r="M523" s="385"/>
    </row>
    <row r="524" ht="15.75" customHeight="1">
      <c r="M524" s="385"/>
    </row>
    <row r="525" ht="15.75" customHeight="1">
      <c r="M525" s="385"/>
    </row>
    <row r="526" ht="15.75" customHeight="1">
      <c r="M526" s="385"/>
    </row>
    <row r="527" ht="15.75" customHeight="1">
      <c r="M527" s="385"/>
    </row>
    <row r="528" ht="15.75" customHeight="1">
      <c r="M528" s="385"/>
    </row>
    <row r="529" ht="15.75" customHeight="1">
      <c r="M529" s="385"/>
    </row>
    <row r="530" ht="15.75" customHeight="1">
      <c r="M530" s="385"/>
    </row>
    <row r="531" ht="15.75" customHeight="1">
      <c r="M531" s="385"/>
    </row>
    <row r="532" ht="15.75" customHeight="1">
      <c r="M532" s="385"/>
    </row>
    <row r="533" ht="15.75" customHeight="1">
      <c r="M533" s="385"/>
    </row>
    <row r="534" ht="15.75" customHeight="1">
      <c r="M534" s="385"/>
    </row>
    <row r="535" ht="15.75" customHeight="1">
      <c r="M535" s="385"/>
    </row>
    <row r="536" ht="15.75" customHeight="1">
      <c r="M536" s="385"/>
    </row>
    <row r="537" ht="15.75" customHeight="1">
      <c r="M537" s="385"/>
    </row>
    <row r="538" ht="15.75" customHeight="1">
      <c r="M538" s="385"/>
    </row>
    <row r="539" ht="15.75" customHeight="1">
      <c r="M539" s="385"/>
    </row>
    <row r="540" ht="15.75" customHeight="1">
      <c r="M540" s="385"/>
    </row>
    <row r="541" ht="15.75" customHeight="1">
      <c r="M541" s="385"/>
    </row>
    <row r="542" ht="15.75" customHeight="1">
      <c r="M542" s="385"/>
    </row>
    <row r="543" ht="15.75" customHeight="1">
      <c r="M543" s="385"/>
    </row>
    <row r="544" ht="15.75" customHeight="1">
      <c r="M544" s="385"/>
    </row>
    <row r="545" ht="15.75" customHeight="1">
      <c r="M545" s="385"/>
    </row>
    <row r="546" ht="15.75" customHeight="1">
      <c r="M546" s="385"/>
    </row>
    <row r="547" ht="15.75" customHeight="1">
      <c r="M547" s="385"/>
    </row>
    <row r="548" ht="15.75" customHeight="1">
      <c r="M548" s="385"/>
    </row>
    <row r="549" ht="15.75" customHeight="1">
      <c r="M549" s="385"/>
    </row>
    <row r="550" ht="15.75" customHeight="1">
      <c r="M550" s="385"/>
    </row>
    <row r="551" ht="15.75" customHeight="1">
      <c r="M551" s="385"/>
    </row>
    <row r="552" ht="15.75" customHeight="1">
      <c r="M552" s="385"/>
    </row>
    <row r="553" ht="15.75" customHeight="1">
      <c r="M553" s="385"/>
    </row>
    <row r="554" ht="15.75" customHeight="1">
      <c r="M554" s="385"/>
    </row>
    <row r="555" ht="15.75" customHeight="1">
      <c r="M555" s="385"/>
    </row>
    <row r="556" ht="15.75" customHeight="1">
      <c r="M556" s="385"/>
    </row>
    <row r="557" ht="15.75" customHeight="1">
      <c r="M557" s="385"/>
    </row>
    <row r="558" ht="15.75" customHeight="1">
      <c r="M558" s="385"/>
    </row>
    <row r="559" ht="15.75" customHeight="1">
      <c r="M559" s="385"/>
    </row>
    <row r="560" ht="15.75" customHeight="1">
      <c r="M560" s="385"/>
    </row>
    <row r="561" ht="15.75" customHeight="1">
      <c r="M561" s="385"/>
    </row>
    <row r="562" ht="15.75" customHeight="1">
      <c r="M562" s="385"/>
    </row>
    <row r="563" ht="15.75" customHeight="1">
      <c r="M563" s="385"/>
    </row>
    <row r="564" ht="15.75" customHeight="1">
      <c r="M564" s="385"/>
    </row>
    <row r="565" ht="15.75" customHeight="1">
      <c r="M565" s="385"/>
    </row>
    <row r="566" ht="15.75" customHeight="1">
      <c r="M566" s="385"/>
    </row>
    <row r="567" ht="15.75" customHeight="1">
      <c r="M567" s="385"/>
    </row>
    <row r="568" ht="15.75" customHeight="1">
      <c r="M568" s="385"/>
    </row>
    <row r="569" ht="15.75" customHeight="1">
      <c r="M569" s="385"/>
    </row>
    <row r="570" ht="15.75" customHeight="1">
      <c r="M570" s="385"/>
    </row>
    <row r="571" ht="15.75" customHeight="1">
      <c r="M571" s="385"/>
    </row>
    <row r="572" ht="15.75" customHeight="1">
      <c r="M572" s="385"/>
    </row>
    <row r="573" ht="15.75" customHeight="1">
      <c r="M573" s="385"/>
    </row>
    <row r="574" ht="15.75" customHeight="1">
      <c r="M574" s="385"/>
    </row>
    <row r="575" ht="15.75" customHeight="1">
      <c r="M575" s="385"/>
    </row>
    <row r="576" ht="15.75" customHeight="1">
      <c r="M576" s="385"/>
    </row>
    <row r="577" ht="15.75" customHeight="1">
      <c r="M577" s="385"/>
    </row>
    <row r="578" ht="15.75" customHeight="1">
      <c r="M578" s="385"/>
    </row>
    <row r="579" ht="15.75" customHeight="1">
      <c r="M579" s="385"/>
    </row>
    <row r="580" ht="15.75" customHeight="1">
      <c r="M580" s="385"/>
    </row>
    <row r="581" ht="15.75" customHeight="1">
      <c r="M581" s="385"/>
    </row>
    <row r="582" ht="15.75" customHeight="1">
      <c r="M582" s="385"/>
    </row>
    <row r="583" ht="15.75" customHeight="1">
      <c r="M583" s="385"/>
    </row>
    <row r="584" ht="15.75" customHeight="1">
      <c r="M584" s="385"/>
    </row>
    <row r="585" ht="15.75" customHeight="1">
      <c r="M585" s="385"/>
    </row>
    <row r="586" ht="15.75" customHeight="1">
      <c r="M586" s="385"/>
    </row>
    <row r="587" ht="15.75" customHeight="1">
      <c r="M587" s="385"/>
    </row>
    <row r="588" ht="15.75" customHeight="1">
      <c r="M588" s="385"/>
    </row>
    <row r="589" ht="15.75" customHeight="1">
      <c r="M589" s="385"/>
    </row>
    <row r="590" ht="15.75" customHeight="1">
      <c r="M590" s="385"/>
    </row>
    <row r="591" ht="15.75" customHeight="1">
      <c r="M591" s="385"/>
    </row>
    <row r="592" ht="15.75" customHeight="1">
      <c r="M592" s="385"/>
    </row>
    <row r="593" ht="15.75" customHeight="1">
      <c r="M593" s="385"/>
    </row>
    <row r="594" ht="15.75" customHeight="1">
      <c r="M594" s="385"/>
    </row>
    <row r="595" ht="15.75" customHeight="1">
      <c r="M595" s="385"/>
    </row>
    <row r="596" ht="15.75" customHeight="1">
      <c r="M596" s="385"/>
    </row>
    <row r="597" ht="15.75" customHeight="1">
      <c r="M597" s="385"/>
    </row>
    <row r="598" ht="15.75" customHeight="1">
      <c r="M598" s="385"/>
    </row>
    <row r="599" ht="15.75" customHeight="1">
      <c r="M599" s="385"/>
    </row>
    <row r="600" ht="15.75" customHeight="1">
      <c r="M600" s="385"/>
    </row>
    <row r="601" ht="15.75" customHeight="1">
      <c r="M601" s="385"/>
    </row>
    <row r="602" ht="15.75" customHeight="1">
      <c r="M602" s="385"/>
    </row>
    <row r="603" ht="15.75" customHeight="1">
      <c r="M603" s="385"/>
    </row>
    <row r="604" ht="15.75" customHeight="1">
      <c r="M604" s="385"/>
    </row>
    <row r="605" ht="15.75" customHeight="1">
      <c r="M605" s="385"/>
    </row>
    <row r="606" ht="15.75" customHeight="1">
      <c r="M606" s="385"/>
    </row>
    <row r="607" ht="15.75" customHeight="1">
      <c r="M607" s="385"/>
    </row>
    <row r="608" ht="15.75" customHeight="1">
      <c r="M608" s="385"/>
    </row>
    <row r="609" ht="15.75" customHeight="1">
      <c r="M609" s="385"/>
    </row>
    <row r="610" ht="15.75" customHeight="1">
      <c r="M610" s="385"/>
    </row>
    <row r="611" ht="15.75" customHeight="1">
      <c r="M611" s="385"/>
    </row>
    <row r="612" ht="15.75" customHeight="1">
      <c r="M612" s="385"/>
    </row>
    <row r="613" ht="15.75" customHeight="1">
      <c r="M613" s="385"/>
    </row>
    <row r="614" ht="15.75" customHeight="1">
      <c r="M614" s="385"/>
    </row>
    <row r="615" ht="15.75" customHeight="1">
      <c r="M615" s="385"/>
    </row>
    <row r="616" ht="15.75" customHeight="1">
      <c r="M616" s="385"/>
    </row>
    <row r="617" ht="15.75" customHeight="1">
      <c r="M617" s="385"/>
    </row>
    <row r="618" ht="15.75" customHeight="1">
      <c r="M618" s="385"/>
    </row>
    <row r="619" ht="15.75" customHeight="1">
      <c r="M619" s="385"/>
    </row>
    <row r="620" ht="15.75" customHeight="1">
      <c r="M620" s="385"/>
    </row>
    <row r="621" ht="15.75" customHeight="1">
      <c r="M621" s="385"/>
    </row>
    <row r="622" ht="15.75" customHeight="1">
      <c r="M622" s="385"/>
    </row>
    <row r="623" ht="15.75" customHeight="1">
      <c r="M623" s="385"/>
    </row>
    <row r="624" ht="15.75" customHeight="1">
      <c r="M624" s="385"/>
    </row>
    <row r="625" ht="15.75" customHeight="1">
      <c r="M625" s="385"/>
    </row>
    <row r="626" ht="15.75" customHeight="1">
      <c r="M626" s="385"/>
    </row>
    <row r="627" ht="15.75" customHeight="1">
      <c r="M627" s="385"/>
    </row>
    <row r="628" ht="15.75" customHeight="1">
      <c r="M628" s="385"/>
    </row>
    <row r="629" ht="15.75" customHeight="1">
      <c r="M629" s="385"/>
    </row>
    <row r="630" ht="15.75" customHeight="1">
      <c r="M630" s="385"/>
    </row>
    <row r="631" ht="15.75" customHeight="1">
      <c r="M631" s="385"/>
    </row>
    <row r="632" ht="15.75" customHeight="1">
      <c r="M632" s="385"/>
    </row>
    <row r="633" ht="15.75" customHeight="1">
      <c r="M633" s="385"/>
    </row>
    <row r="634" ht="15.75" customHeight="1">
      <c r="M634" s="385"/>
    </row>
    <row r="635" ht="15.75" customHeight="1">
      <c r="M635" s="385"/>
    </row>
    <row r="636" ht="15.75" customHeight="1">
      <c r="M636" s="385"/>
    </row>
    <row r="637" ht="15.75" customHeight="1">
      <c r="M637" s="385"/>
    </row>
    <row r="638" ht="15.75" customHeight="1">
      <c r="M638" s="385"/>
    </row>
    <row r="639" ht="15.75" customHeight="1">
      <c r="M639" s="385"/>
    </row>
    <row r="640" ht="15.75" customHeight="1">
      <c r="M640" s="385"/>
    </row>
    <row r="641" ht="15.75" customHeight="1">
      <c r="M641" s="385"/>
    </row>
    <row r="642" ht="15.75" customHeight="1">
      <c r="M642" s="385"/>
    </row>
    <row r="643" ht="15.75" customHeight="1">
      <c r="M643" s="385"/>
    </row>
    <row r="644" ht="15.75" customHeight="1">
      <c r="M644" s="385"/>
    </row>
    <row r="645" ht="15.75" customHeight="1">
      <c r="M645" s="385"/>
    </row>
    <row r="646" ht="15.75" customHeight="1">
      <c r="M646" s="385"/>
    </row>
    <row r="647" ht="15.75" customHeight="1">
      <c r="M647" s="385"/>
    </row>
    <row r="648" ht="15.75" customHeight="1">
      <c r="M648" s="385"/>
    </row>
    <row r="649" ht="15.75" customHeight="1">
      <c r="M649" s="385"/>
    </row>
    <row r="650" ht="15.75" customHeight="1">
      <c r="M650" s="385"/>
    </row>
    <row r="651" ht="15.75" customHeight="1">
      <c r="M651" s="385"/>
    </row>
    <row r="652" ht="15.75" customHeight="1">
      <c r="M652" s="385"/>
    </row>
    <row r="653" ht="15.75" customHeight="1">
      <c r="M653" s="385"/>
    </row>
    <row r="654" ht="15.75" customHeight="1">
      <c r="M654" s="385"/>
    </row>
    <row r="655" ht="15.75" customHeight="1">
      <c r="M655" s="385"/>
    </row>
    <row r="656" ht="15.75" customHeight="1">
      <c r="M656" s="385"/>
    </row>
    <row r="657" ht="15.75" customHeight="1">
      <c r="M657" s="385"/>
    </row>
    <row r="658" ht="15.75" customHeight="1">
      <c r="M658" s="385"/>
    </row>
    <row r="659" ht="15.75" customHeight="1">
      <c r="M659" s="385"/>
    </row>
    <row r="660" ht="15.75" customHeight="1">
      <c r="M660" s="385"/>
    </row>
    <row r="661" ht="15.75" customHeight="1">
      <c r="M661" s="385"/>
    </row>
    <row r="662" ht="15.75" customHeight="1">
      <c r="M662" s="385"/>
    </row>
    <row r="663" ht="15.75" customHeight="1">
      <c r="M663" s="385"/>
    </row>
    <row r="664" ht="15.75" customHeight="1">
      <c r="M664" s="385"/>
    </row>
    <row r="665" ht="15.75" customHeight="1">
      <c r="M665" s="385"/>
    </row>
    <row r="666" ht="15.75" customHeight="1">
      <c r="M666" s="385"/>
    </row>
    <row r="667" ht="15.75" customHeight="1">
      <c r="M667" s="385"/>
    </row>
    <row r="668" ht="15.75" customHeight="1">
      <c r="M668" s="385"/>
    </row>
    <row r="669" ht="15.75" customHeight="1">
      <c r="M669" s="385"/>
    </row>
    <row r="670" ht="15.75" customHeight="1">
      <c r="M670" s="385"/>
    </row>
    <row r="671" ht="15.75" customHeight="1">
      <c r="M671" s="385"/>
    </row>
    <row r="672" ht="15.75" customHeight="1">
      <c r="M672" s="385"/>
    </row>
    <row r="673" ht="15.75" customHeight="1">
      <c r="M673" s="385"/>
    </row>
    <row r="674" ht="15.75" customHeight="1">
      <c r="M674" s="385"/>
    </row>
    <row r="675" ht="15.75" customHeight="1">
      <c r="M675" s="385"/>
    </row>
    <row r="676" ht="15.75" customHeight="1">
      <c r="M676" s="385"/>
    </row>
    <row r="677" ht="15.75" customHeight="1">
      <c r="M677" s="385"/>
    </row>
    <row r="678" ht="15.75" customHeight="1">
      <c r="M678" s="385"/>
    </row>
    <row r="679" ht="15.75" customHeight="1">
      <c r="M679" s="385"/>
    </row>
    <row r="680" ht="15.75" customHeight="1">
      <c r="M680" s="385"/>
    </row>
    <row r="681" ht="15.75" customHeight="1">
      <c r="M681" s="385"/>
    </row>
    <row r="682" ht="15.75" customHeight="1">
      <c r="M682" s="385"/>
    </row>
    <row r="683" ht="15.75" customHeight="1">
      <c r="M683" s="385"/>
    </row>
    <row r="684" ht="15.75" customHeight="1">
      <c r="M684" s="385"/>
    </row>
    <row r="685" ht="15.75" customHeight="1">
      <c r="M685" s="385"/>
    </row>
    <row r="686" ht="15.75" customHeight="1">
      <c r="M686" s="385"/>
    </row>
    <row r="687" ht="15.75" customHeight="1">
      <c r="M687" s="385"/>
    </row>
    <row r="688" ht="15.75" customHeight="1">
      <c r="M688" s="385"/>
    </row>
    <row r="689" ht="15.75" customHeight="1">
      <c r="M689" s="385"/>
    </row>
    <row r="690" ht="15.75" customHeight="1">
      <c r="M690" s="385"/>
    </row>
    <row r="691" ht="15.75" customHeight="1">
      <c r="M691" s="385"/>
    </row>
    <row r="692" ht="15.75" customHeight="1">
      <c r="M692" s="385"/>
    </row>
    <row r="693" ht="15.75" customHeight="1">
      <c r="M693" s="385"/>
    </row>
    <row r="694" ht="15.75" customHeight="1">
      <c r="M694" s="385"/>
    </row>
    <row r="695" ht="15.75" customHeight="1">
      <c r="M695" s="385"/>
    </row>
    <row r="696" ht="15.75" customHeight="1">
      <c r="M696" s="385"/>
    </row>
    <row r="697" ht="15.75" customHeight="1">
      <c r="M697" s="385"/>
    </row>
    <row r="698" ht="15.75" customHeight="1">
      <c r="M698" s="385"/>
    </row>
    <row r="699" ht="15.75" customHeight="1">
      <c r="M699" s="385"/>
    </row>
    <row r="700" ht="15.75" customHeight="1">
      <c r="M700" s="385"/>
    </row>
    <row r="701" ht="15.75" customHeight="1">
      <c r="M701" s="385"/>
    </row>
    <row r="702" ht="15.75" customHeight="1">
      <c r="M702" s="385"/>
    </row>
    <row r="703" ht="15.75" customHeight="1">
      <c r="M703" s="385"/>
    </row>
    <row r="704" ht="15.75" customHeight="1">
      <c r="M704" s="385"/>
    </row>
    <row r="705" ht="15.75" customHeight="1">
      <c r="M705" s="385"/>
    </row>
    <row r="706" ht="15.75" customHeight="1">
      <c r="M706" s="385"/>
    </row>
    <row r="707" ht="15.75" customHeight="1">
      <c r="M707" s="385"/>
    </row>
    <row r="708" ht="15.75" customHeight="1">
      <c r="M708" s="385"/>
    </row>
    <row r="709" ht="15.75" customHeight="1">
      <c r="M709" s="385"/>
    </row>
    <row r="710" ht="15.75" customHeight="1">
      <c r="M710" s="385"/>
    </row>
    <row r="711" ht="15.75" customHeight="1">
      <c r="M711" s="385"/>
    </row>
    <row r="712" ht="15.75" customHeight="1">
      <c r="M712" s="385"/>
    </row>
    <row r="713" ht="15.75" customHeight="1">
      <c r="M713" s="385"/>
    </row>
    <row r="714" ht="15.75" customHeight="1">
      <c r="M714" s="385"/>
    </row>
    <row r="715" ht="15.75" customHeight="1">
      <c r="M715" s="385"/>
    </row>
    <row r="716" ht="15.75" customHeight="1">
      <c r="M716" s="385"/>
    </row>
    <row r="717" ht="15.75" customHeight="1">
      <c r="M717" s="385"/>
    </row>
    <row r="718" ht="15.75" customHeight="1">
      <c r="M718" s="385"/>
    </row>
    <row r="719" ht="15.75" customHeight="1">
      <c r="M719" s="385"/>
    </row>
    <row r="720" ht="15.75" customHeight="1">
      <c r="M720" s="385"/>
    </row>
    <row r="721" ht="15.75" customHeight="1">
      <c r="M721" s="385"/>
    </row>
    <row r="722" ht="15.75" customHeight="1">
      <c r="M722" s="385"/>
    </row>
    <row r="723" ht="15.75" customHeight="1">
      <c r="M723" s="385"/>
    </row>
    <row r="724" ht="15.75" customHeight="1">
      <c r="M724" s="385"/>
    </row>
    <row r="725" ht="15.75" customHeight="1">
      <c r="M725" s="385"/>
    </row>
    <row r="726" ht="15.75" customHeight="1">
      <c r="M726" s="385"/>
    </row>
    <row r="727" ht="15.75" customHeight="1">
      <c r="M727" s="385"/>
    </row>
    <row r="728" ht="15.75" customHeight="1">
      <c r="M728" s="385"/>
    </row>
    <row r="729" ht="15.75" customHeight="1">
      <c r="M729" s="385"/>
    </row>
    <row r="730" ht="15.75" customHeight="1">
      <c r="M730" s="385"/>
    </row>
    <row r="731" ht="15.75" customHeight="1">
      <c r="M731" s="385"/>
    </row>
    <row r="732" ht="15.75" customHeight="1">
      <c r="M732" s="385"/>
    </row>
    <row r="733" ht="15.75" customHeight="1">
      <c r="M733" s="385"/>
    </row>
    <row r="734" ht="15.75" customHeight="1">
      <c r="M734" s="385"/>
    </row>
    <row r="735" ht="15.75" customHeight="1">
      <c r="M735" s="385"/>
    </row>
    <row r="736" ht="15.75" customHeight="1">
      <c r="M736" s="385"/>
    </row>
    <row r="737" ht="15.75" customHeight="1">
      <c r="M737" s="385"/>
    </row>
    <row r="738" ht="15.75" customHeight="1">
      <c r="M738" s="385"/>
    </row>
    <row r="739" ht="15.75" customHeight="1">
      <c r="M739" s="385"/>
    </row>
    <row r="740" ht="15.75" customHeight="1">
      <c r="M740" s="385"/>
    </row>
    <row r="741" ht="15.75" customHeight="1">
      <c r="M741" s="385"/>
    </row>
    <row r="742" ht="15.75" customHeight="1">
      <c r="M742" s="385"/>
    </row>
    <row r="743" ht="15.75" customHeight="1">
      <c r="M743" s="385"/>
    </row>
    <row r="744" ht="15.75" customHeight="1">
      <c r="M744" s="385"/>
    </row>
    <row r="745" ht="15.75" customHeight="1">
      <c r="M745" s="385"/>
    </row>
    <row r="746" ht="15.75" customHeight="1">
      <c r="M746" s="385"/>
    </row>
    <row r="747" ht="15.75" customHeight="1">
      <c r="M747" s="385"/>
    </row>
    <row r="748" ht="15.75" customHeight="1">
      <c r="M748" s="385"/>
    </row>
    <row r="749" ht="15.75" customHeight="1">
      <c r="M749" s="385"/>
    </row>
    <row r="750" ht="15.75" customHeight="1">
      <c r="M750" s="385"/>
    </row>
    <row r="751" ht="15.75" customHeight="1">
      <c r="M751" s="385"/>
    </row>
    <row r="752" ht="15.75" customHeight="1">
      <c r="M752" s="385"/>
    </row>
    <row r="753" ht="15.75" customHeight="1">
      <c r="M753" s="385"/>
    </row>
    <row r="754" ht="15.75" customHeight="1">
      <c r="M754" s="385"/>
    </row>
    <row r="755" ht="15.75" customHeight="1">
      <c r="M755" s="385"/>
    </row>
    <row r="756" ht="15.75" customHeight="1">
      <c r="M756" s="385"/>
    </row>
    <row r="757" ht="15.75" customHeight="1">
      <c r="M757" s="385"/>
    </row>
    <row r="758" ht="15.75" customHeight="1">
      <c r="M758" s="385"/>
    </row>
    <row r="759" ht="15.75" customHeight="1">
      <c r="M759" s="385"/>
    </row>
    <row r="760" ht="15.75" customHeight="1">
      <c r="M760" s="385"/>
    </row>
    <row r="761" ht="15.75" customHeight="1">
      <c r="M761" s="385"/>
    </row>
    <row r="762" ht="15.75" customHeight="1">
      <c r="M762" s="385"/>
    </row>
    <row r="763" ht="15.75" customHeight="1">
      <c r="M763" s="385"/>
    </row>
    <row r="764" ht="15.75" customHeight="1">
      <c r="M764" s="385"/>
    </row>
    <row r="765" ht="15.75" customHeight="1">
      <c r="M765" s="385"/>
    </row>
    <row r="766" ht="15.75" customHeight="1">
      <c r="M766" s="385"/>
    </row>
    <row r="767" ht="15.75" customHeight="1">
      <c r="M767" s="385"/>
    </row>
    <row r="768" ht="15.75" customHeight="1">
      <c r="M768" s="385"/>
    </row>
    <row r="769" ht="15.75" customHeight="1">
      <c r="M769" s="385"/>
    </row>
    <row r="770" ht="15.75" customHeight="1">
      <c r="M770" s="385"/>
    </row>
    <row r="771" ht="15.75" customHeight="1">
      <c r="M771" s="385"/>
    </row>
    <row r="772" ht="15.75" customHeight="1">
      <c r="M772" s="385"/>
    </row>
    <row r="773" ht="15.75" customHeight="1">
      <c r="M773" s="385"/>
    </row>
    <row r="774" ht="15.75" customHeight="1">
      <c r="M774" s="385"/>
    </row>
    <row r="775" ht="15.75" customHeight="1">
      <c r="M775" s="385"/>
    </row>
    <row r="776" ht="15.75" customHeight="1">
      <c r="M776" s="385"/>
    </row>
    <row r="777" ht="15.75" customHeight="1">
      <c r="M777" s="385"/>
    </row>
    <row r="778" ht="15.75" customHeight="1">
      <c r="M778" s="385"/>
    </row>
    <row r="779" ht="15.75" customHeight="1">
      <c r="M779" s="385"/>
    </row>
    <row r="780" ht="15.75" customHeight="1">
      <c r="M780" s="385"/>
    </row>
    <row r="781" ht="15.75" customHeight="1">
      <c r="M781" s="385"/>
    </row>
    <row r="782" ht="15.75" customHeight="1">
      <c r="M782" s="385"/>
    </row>
    <row r="783" ht="15.75" customHeight="1">
      <c r="M783" s="385"/>
    </row>
    <row r="784" ht="15.75" customHeight="1">
      <c r="M784" s="385"/>
    </row>
    <row r="785" ht="15.75" customHeight="1">
      <c r="M785" s="385"/>
    </row>
    <row r="786" ht="15.75" customHeight="1">
      <c r="M786" s="385"/>
    </row>
    <row r="787" ht="15.75" customHeight="1">
      <c r="M787" s="385"/>
    </row>
    <row r="788" ht="15.75" customHeight="1">
      <c r="M788" s="385"/>
    </row>
    <row r="789" ht="15.75" customHeight="1">
      <c r="M789" s="385"/>
    </row>
    <row r="790" ht="15.75" customHeight="1">
      <c r="M790" s="385"/>
    </row>
    <row r="791" ht="15.75" customHeight="1">
      <c r="M791" s="385"/>
    </row>
    <row r="792" ht="15.75" customHeight="1">
      <c r="M792" s="385"/>
    </row>
    <row r="793" ht="15.75" customHeight="1">
      <c r="M793" s="385"/>
    </row>
    <row r="794" ht="15.75" customHeight="1">
      <c r="M794" s="385"/>
    </row>
    <row r="795" ht="15.75" customHeight="1">
      <c r="M795" s="385"/>
    </row>
    <row r="796" ht="15.75" customHeight="1">
      <c r="M796" s="385"/>
    </row>
    <row r="797" ht="15.75" customHeight="1">
      <c r="M797" s="385"/>
    </row>
    <row r="798" ht="15.75" customHeight="1">
      <c r="M798" s="385"/>
    </row>
    <row r="799" ht="15.75" customHeight="1">
      <c r="M799" s="385"/>
    </row>
    <row r="800" ht="15.75" customHeight="1">
      <c r="M800" s="385"/>
    </row>
    <row r="801" ht="15.75" customHeight="1">
      <c r="M801" s="385"/>
    </row>
    <row r="802" ht="15.75" customHeight="1">
      <c r="M802" s="385"/>
    </row>
    <row r="803" ht="15.75" customHeight="1">
      <c r="M803" s="385"/>
    </row>
    <row r="804" ht="15.75" customHeight="1">
      <c r="M804" s="385"/>
    </row>
    <row r="805" ht="15.75" customHeight="1">
      <c r="M805" s="385"/>
    </row>
    <row r="806" ht="15.75" customHeight="1">
      <c r="M806" s="385"/>
    </row>
    <row r="807" ht="15.75" customHeight="1">
      <c r="M807" s="385"/>
    </row>
    <row r="808" ht="15.75" customHeight="1">
      <c r="M808" s="385"/>
    </row>
    <row r="809" ht="15.75" customHeight="1">
      <c r="M809" s="385"/>
    </row>
    <row r="810" ht="15.75" customHeight="1">
      <c r="M810" s="385"/>
    </row>
    <row r="811" ht="15.75" customHeight="1">
      <c r="M811" s="385"/>
    </row>
    <row r="812" ht="15.75" customHeight="1">
      <c r="M812" s="385"/>
    </row>
    <row r="813" ht="15.75" customHeight="1">
      <c r="M813" s="385"/>
    </row>
    <row r="814" ht="15.75" customHeight="1">
      <c r="M814" s="385"/>
    </row>
    <row r="815" ht="15.75" customHeight="1">
      <c r="M815" s="385"/>
    </row>
    <row r="816" ht="15.75" customHeight="1">
      <c r="M816" s="385"/>
    </row>
    <row r="817" ht="15.75" customHeight="1">
      <c r="M817" s="385"/>
    </row>
    <row r="818" ht="15.75" customHeight="1">
      <c r="M818" s="385"/>
    </row>
    <row r="819" ht="15.75" customHeight="1">
      <c r="M819" s="385"/>
    </row>
    <row r="820" ht="15.75" customHeight="1">
      <c r="M820" s="385"/>
    </row>
    <row r="821" ht="15.75" customHeight="1">
      <c r="M821" s="385"/>
    </row>
    <row r="822" ht="15.75" customHeight="1">
      <c r="M822" s="385"/>
    </row>
    <row r="823" ht="15.75" customHeight="1">
      <c r="M823" s="385"/>
    </row>
    <row r="824" ht="15.75" customHeight="1">
      <c r="M824" s="385"/>
    </row>
    <row r="825" ht="15.75" customHeight="1">
      <c r="M825" s="385"/>
    </row>
    <row r="826" ht="15.75" customHeight="1">
      <c r="M826" s="385"/>
    </row>
    <row r="827" ht="15.75" customHeight="1">
      <c r="M827" s="385"/>
    </row>
    <row r="828" ht="15.75" customHeight="1">
      <c r="M828" s="385"/>
    </row>
    <row r="829" ht="15.75" customHeight="1">
      <c r="M829" s="385"/>
    </row>
    <row r="830" ht="15.75" customHeight="1">
      <c r="M830" s="385"/>
    </row>
    <row r="831" ht="15.75" customHeight="1">
      <c r="M831" s="385"/>
    </row>
    <row r="832" ht="15.75" customHeight="1">
      <c r="M832" s="385"/>
    </row>
    <row r="833" ht="15.75" customHeight="1">
      <c r="M833" s="385"/>
    </row>
    <row r="834" ht="15.75" customHeight="1">
      <c r="M834" s="385"/>
    </row>
    <row r="835" ht="15.75" customHeight="1">
      <c r="M835" s="385"/>
    </row>
    <row r="836" ht="15.75" customHeight="1">
      <c r="M836" s="385"/>
    </row>
    <row r="837" ht="15.75" customHeight="1">
      <c r="M837" s="385"/>
    </row>
    <row r="838" ht="15.75" customHeight="1">
      <c r="M838" s="385"/>
    </row>
    <row r="839" ht="15.75" customHeight="1">
      <c r="M839" s="385"/>
    </row>
    <row r="840" ht="15.75" customHeight="1">
      <c r="M840" s="385"/>
    </row>
    <row r="841" ht="15.75" customHeight="1">
      <c r="M841" s="385"/>
    </row>
    <row r="842" ht="15.75" customHeight="1">
      <c r="M842" s="385"/>
    </row>
    <row r="843" ht="15.75" customHeight="1">
      <c r="M843" s="385"/>
    </row>
    <row r="844" ht="15.75" customHeight="1">
      <c r="M844" s="385"/>
    </row>
    <row r="845" ht="15.75" customHeight="1">
      <c r="M845" s="385"/>
    </row>
    <row r="846" ht="15.75" customHeight="1">
      <c r="M846" s="385"/>
    </row>
    <row r="847" ht="15.75" customHeight="1">
      <c r="M847" s="385"/>
    </row>
    <row r="848" ht="15.75" customHeight="1">
      <c r="M848" s="385"/>
    </row>
    <row r="849" ht="15.75" customHeight="1">
      <c r="M849" s="385"/>
    </row>
    <row r="850" ht="15.75" customHeight="1">
      <c r="M850" s="385"/>
    </row>
    <row r="851" ht="15.75" customHeight="1">
      <c r="M851" s="385"/>
    </row>
    <row r="852" ht="15.75" customHeight="1">
      <c r="M852" s="385"/>
    </row>
    <row r="853" ht="15.75" customHeight="1">
      <c r="M853" s="385"/>
    </row>
    <row r="854" ht="15.75" customHeight="1">
      <c r="M854" s="385"/>
    </row>
    <row r="855" ht="15.75" customHeight="1">
      <c r="M855" s="385"/>
    </row>
    <row r="856" ht="15.75" customHeight="1">
      <c r="M856" s="385"/>
    </row>
    <row r="857" ht="15.75" customHeight="1">
      <c r="M857" s="385"/>
    </row>
    <row r="858" ht="15.75" customHeight="1">
      <c r="M858" s="385"/>
    </row>
    <row r="859" ht="15.75" customHeight="1">
      <c r="M859" s="385"/>
    </row>
    <row r="860" ht="15.75" customHeight="1">
      <c r="M860" s="385"/>
    </row>
    <row r="861" ht="15.75" customHeight="1">
      <c r="M861" s="385"/>
    </row>
    <row r="862" ht="15.75" customHeight="1">
      <c r="M862" s="385"/>
    </row>
    <row r="863" ht="15.75" customHeight="1">
      <c r="M863" s="385"/>
    </row>
    <row r="864" ht="15.75" customHeight="1">
      <c r="M864" s="385"/>
    </row>
    <row r="865" ht="15.75" customHeight="1">
      <c r="M865" s="385"/>
    </row>
    <row r="866" ht="15.75" customHeight="1">
      <c r="M866" s="385"/>
    </row>
    <row r="867" ht="15.75" customHeight="1">
      <c r="M867" s="385"/>
    </row>
    <row r="868" ht="15.75" customHeight="1">
      <c r="M868" s="385"/>
    </row>
    <row r="869" ht="15.75" customHeight="1">
      <c r="M869" s="385"/>
    </row>
    <row r="870" ht="15.75" customHeight="1">
      <c r="M870" s="385"/>
    </row>
    <row r="871" ht="15.75" customHeight="1">
      <c r="M871" s="385"/>
    </row>
    <row r="872" ht="15.75" customHeight="1">
      <c r="M872" s="385"/>
    </row>
    <row r="873" ht="15.75" customHeight="1">
      <c r="M873" s="385"/>
    </row>
    <row r="874" ht="15.75" customHeight="1">
      <c r="M874" s="385"/>
    </row>
    <row r="875" ht="15.75" customHeight="1">
      <c r="M875" s="385"/>
    </row>
    <row r="876" ht="15.75" customHeight="1">
      <c r="M876" s="385"/>
    </row>
    <row r="877" ht="15.75" customHeight="1">
      <c r="M877" s="385"/>
    </row>
    <row r="878" ht="15.75" customHeight="1">
      <c r="M878" s="385"/>
    </row>
    <row r="879" ht="15.75" customHeight="1">
      <c r="M879" s="385"/>
    </row>
    <row r="880" ht="15.75" customHeight="1">
      <c r="M880" s="385"/>
    </row>
    <row r="881" ht="15.75" customHeight="1">
      <c r="M881" s="385"/>
    </row>
    <row r="882" ht="15.75" customHeight="1">
      <c r="M882" s="385"/>
    </row>
    <row r="883" ht="15.75" customHeight="1">
      <c r="M883" s="385"/>
    </row>
    <row r="884" ht="15.75" customHeight="1">
      <c r="M884" s="385"/>
    </row>
    <row r="885" ht="15.75" customHeight="1">
      <c r="M885" s="385"/>
    </row>
    <row r="886" ht="15.75" customHeight="1">
      <c r="M886" s="385"/>
    </row>
    <row r="887" ht="15.75" customHeight="1">
      <c r="M887" s="385"/>
    </row>
    <row r="888" ht="15.75" customHeight="1">
      <c r="M888" s="385"/>
    </row>
    <row r="889" ht="15.75" customHeight="1">
      <c r="M889" s="385"/>
    </row>
    <row r="890" ht="15.75" customHeight="1">
      <c r="M890" s="385"/>
    </row>
    <row r="891" ht="15.75" customHeight="1">
      <c r="M891" s="385"/>
    </row>
    <row r="892" ht="15.75" customHeight="1">
      <c r="M892" s="385"/>
    </row>
    <row r="893" ht="15.75" customHeight="1">
      <c r="M893" s="385"/>
    </row>
    <row r="894" ht="15.75" customHeight="1">
      <c r="M894" s="385"/>
    </row>
    <row r="895" ht="15.75" customHeight="1">
      <c r="M895" s="385"/>
    </row>
    <row r="896" ht="15.75" customHeight="1">
      <c r="M896" s="385"/>
    </row>
    <row r="897" ht="15.75" customHeight="1">
      <c r="M897" s="385"/>
    </row>
    <row r="898" ht="15.75" customHeight="1">
      <c r="M898" s="385"/>
    </row>
    <row r="899" ht="15.75" customHeight="1">
      <c r="M899" s="385"/>
    </row>
    <row r="900" ht="15.75" customHeight="1">
      <c r="M900" s="385"/>
    </row>
    <row r="901" ht="15.75" customHeight="1">
      <c r="M901" s="385"/>
    </row>
    <row r="902" ht="15.75" customHeight="1">
      <c r="M902" s="385"/>
    </row>
    <row r="903" ht="15.75" customHeight="1">
      <c r="M903" s="385"/>
    </row>
    <row r="904" ht="15.75" customHeight="1">
      <c r="M904" s="385"/>
    </row>
    <row r="905" ht="15.75" customHeight="1">
      <c r="M905" s="385"/>
    </row>
    <row r="906" ht="15.75" customHeight="1">
      <c r="M906" s="385"/>
    </row>
    <row r="907" ht="15.75" customHeight="1">
      <c r="M907" s="385"/>
    </row>
    <row r="908" ht="15.75" customHeight="1">
      <c r="M908" s="385"/>
    </row>
    <row r="909" ht="15.75" customHeight="1">
      <c r="M909" s="385"/>
    </row>
    <row r="910" ht="15.75" customHeight="1">
      <c r="M910" s="385"/>
    </row>
    <row r="911" ht="15.75" customHeight="1">
      <c r="M911" s="385"/>
    </row>
    <row r="912" ht="15.75" customHeight="1">
      <c r="M912" s="385"/>
    </row>
    <row r="913" ht="15.75" customHeight="1">
      <c r="M913" s="385"/>
    </row>
    <row r="914" ht="15.75" customHeight="1">
      <c r="M914" s="385"/>
    </row>
    <row r="915" ht="15.75" customHeight="1">
      <c r="M915" s="385"/>
    </row>
    <row r="916" ht="15.75" customHeight="1">
      <c r="M916" s="385"/>
    </row>
    <row r="917" ht="15.75" customHeight="1">
      <c r="M917" s="385"/>
    </row>
    <row r="918" ht="15.75" customHeight="1">
      <c r="M918" s="385"/>
    </row>
    <row r="919" ht="15.75" customHeight="1">
      <c r="M919" s="385"/>
    </row>
    <row r="920" ht="15.75" customHeight="1">
      <c r="M920" s="385"/>
    </row>
    <row r="921" ht="15.75" customHeight="1">
      <c r="M921" s="385"/>
    </row>
    <row r="922" ht="15.75" customHeight="1">
      <c r="M922" s="385"/>
    </row>
    <row r="923" ht="15.75" customHeight="1">
      <c r="M923" s="385"/>
    </row>
    <row r="924" ht="15.75" customHeight="1">
      <c r="M924" s="385"/>
    </row>
    <row r="925" ht="15.75" customHeight="1">
      <c r="M925" s="385"/>
    </row>
    <row r="926" ht="15.75" customHeight="1">
      <c r="M926" s="385"/>
    </row>
    <row r="927" ht="15.75" customHeight="1">
      <c r="M927" s="385"/>
    </row>
    <row r="928" ht="15.75" customHeight="1">
      <c r="M928" s="385"/>
    </row>
    <row r="929" ht="15.75" customHeight="1">
      <c r="M929" s="385"/>
    </row>
    <row r="930" ht="15.75" customHeight="1">
      <c r="M930" s="385"/>
    </row>
    <row r="931" ht="15.75" customHeight="1">
      <c r="M931" s="385"/>
    </row>
    <row r="932" ht="15.75" customHeight="1">
      <c r="M932" s="385"/>
    </row>
    <row r="933" ht="15.75" customHeight="1">
      <c r="M933" s="385"/>
    </row>
    <row r="934" ht="15.75" customHeight="1">
      <c r="M934" s="385"/>
    </row>
    <row r="935" ht="15.75" customHeight="1">
      <c r="M935" s="385"/>
    </row>
    <row r="936" ht="15.75" customHeight="1">
      <c r="M936" s="385"/>
    </row>
    <row r="937" ht="15.75" customHeight="1">
      <c r="M937" s="385"/>
    </row>
    <row r="938" ht="15.75" customHeight="1">
      <c r="M938" s="385"/>
    </row>
    <row r="939" ht="15.75" customHeight="1">
      <c r="M939" s="385"/>
    </row>
    <row r="940" ht="15.75" customHeight="1">
      <c r="M940" s="385"/>
    </row>
    <row r="941" ht="15.75" customHeight="1">
      <c r="M941" s="385"/>
    </row>
    <row r="942" ht="15.75" customHeight="1">
      <c r="M942" s="385"/>
    </row>
    <row r="943" ht="15.75" customHeight="1">
      <c r="M943" s="385"/>
    </row>
    <row r="944" ht="15.75" customHeight="1">
      <c r="M944" s="385"/>
    </row>
    <row r="945" ht="15.75" customHeight="1">
      <c r="M945" s="385"/>
    </row>
    <row r="946" ht="15.75" customHeight="1">
      <c r="M946" s="385"/>
    </row>
    <row r="947" ht="15.75" customHeight="1">
      <c r="M947" s="385"/>
    </row>
    <row r="948" ht="15.75" customHeight="1">
      <c r="M948" s="385"/>
    </row>
    <row r="949" ht="15.75" customHeight="1">
      <c r="M949" s="385"/>
    </row>
    <row r="950" ht="15.75" customHeight="1">
      <c r="M950" s="385"/>
    </row>
    <row r="951" ht="15.75" customHeight="1">
      <c r="M951" s="385"/>
    </row>
    <row r="952" ht="15.75" customHeight="1">
      <c r="M952" s="385"/>
    </row>
    <row r="953" ht="15.75" customHeight="1">
      <c r="M953" s="385"/>
    </row>
    <row r="954" ht="15.75" customHeight="1">
      <c r="M954" s="385"/>
    </row>
    <row r="955" ht="15.75" customHeight="1">
      <c r="M955" s="385"/>
    </row>
    <row r="956" ht="15.75" customHeight="1">
      <c r="M956" s="385"/>
    </row>
    <row r="957" ht="15.75" customHeight="1">
      <c r="M957" s="385"/>
    </row>
    <row r="958" ht="15.75" customHeight="1">
      <c r="M958" s="385"/>
    </row>
    <row r="959" ht="15.75" customHeight="1">
      <c r="M959" s="385"/>
    </row>
    <row r="960" ht="15.75" customHeight="1">
      <c r="M960" s="385"/>
    </row>
    <row r="961" ht="15.75" customHeight="1">
      <c r="M961" s="385"/>
    </row>
    <row r="962" ht="15.75" customHeight="1">
      <c r="M962" s="385"/>
    </row>
    <row r="963" ht="15.75" customHeight="1">
      <c r="M963" s="385"/>
    </row>
    <row r="964" ht="15.75" customHeight="1">
      <c r="M964" s="385"/>
    </row>
    <row r="965" ht="15.75" customHeight="1">
      <c r="M965" s="385"/>
    </row>
    <row r="966" ht="15.75" customHeight="1">
      <c r="M966" s="385"/>
    </row>
    <row r="967" ht="15.75" customHeight="1">
      <c r="M967" s="385"/>
    </row>
    <row r="968" ht="15.75" customHeight="1">
      <c r="M968" s="385"/>
    </row>
    <row r="969" ht="15.75" customHeight="1">
      <c r="M969" s="385"/>
    </row>
    <row r="970" ht="15.75" customHeight="1">
      <c r="M970" s="385"/>
    </row>
    <row r="971" ht="15.75" customHeight="1">
      <c r="M971" s="385"/>
    </row>
    <row r="972" ht="15.75" customHeight="1">
      <c r="M972" s="385"/>
    </row>
    <row r="973" ht="15.75" customHeight="1">
      <c r="M973" s="385"/>
    </row>
    <row r="974" ht="15.75" customHeight="1">
      <c r="M974" s="385"/>
    </row>
    <row r="975" ht="15.75" customHeight="1">
      <c r="M975" s="385"/>
    </row>
    <row r="976" ht="15.75" customHeight="1">
      <c r="M976" s="385"/>
    </row>
    <row r="977" ht="15.75" customHeight="1">
      <c r="M977" s="385"/>
    </row>
    <row r="978" ht="15.75" customHeight="1">
      <c r="M978" s="385"/>
    </row>
    <row r="979" ht="15.75" customHeight="1">
      <c r="M979" s="385"/>
    </row>
    <row r="980" ht="15.75" customHeight="1">
      <c r="M980" s="385"/>
    </row>
    <row r="981" ht="15.75" customHeight="1">
      <c r="M981" s="385"/>
    </row>
    <row r="982" ht="15.75" customHeight="1">
      <c r="M982" s="385"/>
    </row>
    <row r="983" ht="15.75" customHeight="1">
      <c r="M983" s="385"/>
    </row>
    <row r="984" ht="15.75" customHeight="1">
      <c r="M984" s="385"/>
    </row>
  </sheetData>
  <mergeCells count="2">
    <mergeCell ref="A85:D85"/>
    <mergeCell ref="B87:D87"/>
  </mergeCells>
  <conditionalFormatting sqref="X7:Z7 X35:Z35 X38 X46:Z46 X68:Z68 X91:Z91 Z38">
    <cfRule type="notContainsBlanks" dxfId="0" priority="1">
      <formula>LEN(TRIM(X7))&gt;0</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sheetViews>
  <sheetFormatPr customHeight="1" defaultColWidth="12.63" defaultRowHeight="15.0"/>
  <cols>
    <col customWidth="1" min="5" max="5" width="25.5"/>
    <col customWidth="1" min="12" max="12" width="16.75"/>
  </cols>
  <sheetData>
    <row r="1" ht="15.75" customHeight="1">
      <c r="A1" s="406" t="s">
        <v>33</v>
      </c>
      <c r="B1" s="406" t="s">
        <v>851</v>
      </c>
      <c r="C1" s="406" t="s">
        <v>984</v>
      </c>
      <c r="D1" s="406" t="s">
        <v>985</v>
      </c>
      <c r="E1" s="406" t="s">
        <v>986</v>
      </c>
      <c r="F1" s="406" t="s">
        <v>987</v>
      </c>
      <c r="G1" s="406" t="s">
        <v>988</v>
      </c>
      <c r="H1" s="406" t="s">
        <v>989</v>
      </c>
      <c r="I1" s="406" t="s">
        <v>990</v>
      </c>
      <c r="J1" s="406" t="s">
        <v>991</v>
      </c>
      <c r="K1" s="406" t="s">
        <v>992</v>
      </c>
      <c r="L1" s="109"/>
      <c r="M1" s="109" t="s">
        <v>993</v>
      </c>
      <c r="N1" s="109"/>
      <c r="O1" s="109"/>
      <c r="P1" s="109"/>
      <c r="Q1" s="109"/>
      <c r="R1" s="109"/>
      <c r="S1" s="109"/>
      <c r="T1" s="109"/>
      <c r="U1" s="109"/>
      <c r="V1" s="109"/>
      <c r="W1" s="109"/>
      <c r="X1" s="109"/>
      <c r="Y1" s="109"/>
      <c r="Z1" s="109"/>
    </row>
    <row r="2" ht="15.75" customHeight="1">
      <c r="A2" s="407">
        <v>45870.0</v>
      </c>
      <c r="B2" s="408">
        <v>1.0</v>
      </c>
      <c r="C2" s="408"/>
      <c r="D2" s="408">
        <v>0.0</v>
      </c>
      <c r="E2" s="109"/>
      <c r="F2" s="109"/>
      <c r="G2" s="109"/>
      <c r="H2" s="109"/>
      <c r="I2" s="109"/>
      <c r="J2" s="109"/>
      <c r="K2" s="109"/>
      <c r="L2" s="109"/>
      <c r="M2" s="109">
        <f t="shared" ref="M2:M8" si="1">MONTH(A2)</f>
        <v>8</v>
      </c>
      <c r="N2" s="109"/>
      <c r="O2" s="109"/>
      <c r="P2" s="109"/>
      <c r="Q2" s="109"/>
      <c r="R2" s="109"/>
      <c r="S2" s="109"/>
      <c r="T2" s="109"/>
      <c r="U2" s="109"/>
      <c r="V2" s="109"/>
      <c r="W2" s="109"/>
      <c r="X2" s="109"/>
      <c r="Y2" s="109"/>
      <c r="Z2" s="109"/>
    </row>
    <row r="3" ht="15.75" customHeight="1">
      <c r="A3" s="407">
        <v>45876.0</v>
      </c>
      <c r="B3" s="408">
        <v>1.0</v>
      </c>
      <c r="C3" s="408"/>
      <c r="D3" s="408">
        <v>0.0</v>
      </c>
      <c r="E3" s="109"/>
      <c r="F3" s="109"/>
      <c r="G3" s="109"/>
      <c r="H3" s="109"/>
      <c r="I3" s="109"/>
      <c r="J3" s="109"/>
      <c r="K3" s="109"/>
      <c r="L3" s="109"/>
      <c r="M3" s="109">
        <f t="shared" si="1"/>
        <v>8</v>
      </c>
      <c r="N3" s="109"/>
      <c r="O3" s="109"/>
      <c r="P3" s="109"/>
      <c r="Q3" s="109"/>
      <c r="R3" s="109"/>
      <c r="S3" s="109"/>
      <c r="T3" s="109"/>
      <c r="U3" s="109"/>
      <c r="V3" s="109"/>
      <c r="W3" s="109"/>
      <c r="X3" s="109"/>
      <c r="Y3" s="109"/>
      <c r="Z3" s="109"/>
    </row>
    <row r="4" ht="15.75" customHeight="1">
      <c r="A4" s="407">
        <v>45910.0</v>
      </c>
      <c r="B4" s="109">
        <v>1.0</v>
      </c>
      <c r="C4" s="409">
        <v>2640000.0</v>
      </c>
      <c r="D4" s="410">
        <v>0.0</v>
      </c>
      <c r="E4" s="409">
        <v>2640000.0</v>
      </c>
      <c r="F4" s="109"/>
      <c r="G4" s="109"/>
      <c r="H4" s="109"/>
      <c r="I4" s="109"/>
      <c r="J4" s="109"/>
      <c r="K4" s="109"/>
      <c r="L4" s="109" t="s">
        <v>994</v>
      </c>
      <c r="M4" s="109">
        <f t="shared" si="1"/>
        <v>9</v>
      </c>
      <c r="N4" s="109"/>
      <c r="O4" s="109"/>
      <c r="P4" s="109"/>
      <c r="Q4" s="109"/>
      <c r="R4" s="109"/>
      <c r="S4" s="109"/>
      <c r="T4" s="109"/>
      <c r="U4" s="109"/>
      <c r="V4" s="109"/>
      <c r="W4" s="109"/>
      <c r="X4" s="109"/>
      <c r="Y4" s="109"/>
      <c r="Z4" s="109"/>
    </row>
    <row r="5" ht="15.75" customHeight="1">
      <c r="A5" s="407">
        <v>45945.0</v>
      </c>
      <c r="B5" s="109">
        <v>1.0</v>
      </c>
      <c r="C5" s="109">
        <v>749000.0</v>
      </c>
      <c r="D5" s="109"/>
      <c r="E5" s="109">
        <v>749000.0</v>
      </c>
      <c r="F5" s="109"/>
      <c r="G5" s="109"/>
      <c r="H5" s="109"/>
      <c r="I5" s="109"/>
      <c r="J5" s="109"/>
      <c r="K5" s="109"/>
      <c r="L5" s="109" t="s">
        <v>995</v>
      </c>
      <c r="M5" s="109">
        <f t="shared" si="1"/>
        <v>10</v>
      </c>
      <c r="N5" s="109"/>
      <c r="O5" s="109"/>
      <c r="P5" s="109"/>
      <c r="Q5" s="109"/>
      <c r="R5" s="109"/>
      <c r="S5" s="109"/>
      <c r="T5" s="109"/>
      <c r="U5" s="109"/>
      <c r="V5" s="109"/>
      <c r="W5" s="109"/>
      <c r="X5" s="109"/>
      <c r="Y5" s="109"/>
      <c r="Z5" s="109"/>
    </row>
    <row r="6" ht="15.75" customHeight="1">
      <c r="A6" s="407">
        <v>45953.0</v>
      </c>
      <c r="B6" s="109">
        <v>1.0</v>
      </c>
      <c r="C6" s="109">
        <v>1704000.0</v>
      </c>
      <c r="D6" s="109"/>
      <c r="E6" s="109">
        <v>1704000.0</v>
      </c>
      <c r="F6" s="109"/>
      <c r="G6" s="109"/>
      <c r="H6" s="109"/>
      <c r="I6" s="109"/>
      <c r="J6" s="109"/>
      <c r="K6" s="109"/>
      <c r="L6" s="109" t="s">
        <v>996</v>
      </c>
      <c r="M6" s="109">
        <f t="shared" si="1"/>
        <v>10</v>
      </c>
      <c r="N6" s="109"/>
      <c r="O6" s="109"/>
      <c r="P6" s="109"/>
      <c r="Q6" s="109"/>
      <c r="R6" s="109"/>
      <c r="S6" s="109"/>
      <c r="T6" s="109"/>
      <c r="U6" s="109"/>
      <c r="V6" s="109"/>
      <c r="W6" s="109"/>
      <c r="X6" s="109"/>
      <c r="Y6" s="109"/>
      <c r="Z6" s="109"/>
    </row>
    <row r="7" ht="15.75" customHeight="1">
      <c r="A7" s="407">
        <v>45954.0</v>
      </c>
      <c r="B7" s="109">
        <v>1.0</v>
      </c>
      <c r="C7" s="109">
        <v>2082000.0</v>
      </c>
      <c r="D7" s="109"/>
      <c r="E7" s="109">
        <v>2082000.0</v>
      </c>
      <c r="F7" s="109"/>
      <c r="G7" s="109"/>
      <c r="H7" s="109"/>
      <c r="I7" s="109"/>
      <c r="J7" s="109"/>
      <c r="K7" s="109"/>
      <c r="L7" s="109" t="s">
        <v>997</v>
      </c>
      <c r="M7" s="109">
        <f t="shared" si="1"/>
        <v>10</v>
      </c>
      <c r="N7" s="109"/>
      <c r="O7" s="109"/>
      <c r="P7" s="109"/>
      <c r="Q7" s="109"/>
      <c r="R7" s="109"/>
      <c r="S7" s="109"/>
      <c r="T7" s="109"/>
      <c r="U7" s="109"/>
      <c r="V7" s="109"/>
      <c r="W7" s="109"/>
      <c r="X7" s="109"/>
      <c r="Y7" s="109"/>
      <c r="Z7" s="109"/>
    </row>
    <row r="8" ht="15.75" customHeight="1">
      <c r="A8" s="407">
        <v>45960.0</v>
      </c>
      <c r="B8" s="109">
        <v>1.0</v>
      </c>
      <c r="C8" s="109">
        <v>4400000.0</v>
      </c>
      <c r="D8" s="109"/>
      <c r="E8" s="109">
        <v>4400000.0</v>
      </c>
      <c r="F8" s="109"/>
      <c r="G8" s="109"/>
      <c r="H8" s="109"/>
      <c r="I8" s="109"/>
      <c r="J8" s="109"/>
      <c r="K8" s="109"/>
      <c r="L8" s="109" t="s">
        <v>994</v>
      </c>
      <c r="M8" s="109">
        <f t="shared" si="1"/>
        <v>10</v>
      </c>
      <c r="N8" s="109"/>
      <c r="O8" s="109"/>
      <c r="P8" s="109"/>
      <c r="Q8" s="109"/>
      <c r="R8" s="109"/>
      <c r="S8" s="109"/>
      <c r="T8" s="109"/>
      <c r="U8" s="109"/>
      <c r="V8" s="109"/>
      <c r="W8" s="109"/>
      <c r="X8" s="109"/>
      <c r="Y8" s="109"/>
      <c r="Z8" s="109"/>
    </row>
    <row r="9" ht="15.75" customHeight="1">
      <c r="A9" s="407">
        <v>45961.0</v>
      </c>
      <c r="B9" s="109"/>
      <c r="C9" s="109"/>
      <c r="D9" s="109"/>
      <c r="E9" s="109"/>
      <c r="F9" s="109"/>
      <c r="G9" s="109"/>
      <c r="H9" s="109"/>
      <c r="I9" s="109"/>
      <c r="J9" s="109"/>
      <c r="K9" s="109"/>
      <c r="L9" s="109"/>
      <c r="M9" s="109"/>
      <c r="N9" s="109"/>
      <c r="O9" s="109"/>
      <c r="P9" s="109"/>
      <c r="Q9" s="109"/>
      <c r="R9" s="109"/>
      <c r="S9" s="109"/>
      <c r="T9" s="109"/>
      <c r="U9" s="109"/>
      <c r="V9" s="109"/>
      <c r="W9" s="109"/>
      <c r="X9" s="109"/>
      <c r="Y9" s="109"/>
      <c r="Z9" s="109"/>
    </row>
    <row r="10" ht="15.75" customHeight="1">
      <c r="A10" s="411">
        <v>46016.0</v>
      </c>
      <c r="B10" s="109">
        <v>4.0</v>
      </c>
      <c r="C10" s="109">
        <v>1704000.0</v>
      </c>
      <c r="D10" s="109"/>
      <c r="E10" s="109"/>
      <c r="F10" s="109"/>
      <c r="G10" s="109"/>
      <c r="H10" s="109"/>
      <c r="I10" s="109"/>
      <c r="J10" s="109"/>
      <c r="K10" s="109"/>
      <c r="L10" s="109" t="s">
        <v>996</v>
      </c>
      <c r="M10" s="109">
        <v>12.0</v>
      </c>
      <c r="N10" s="109"/>
      <c r="O10" s="109"/>
      <c r="P10" s="109"/>
      <c r="Q10" s="109"/>
      <c r="R10" s="109"/>
      <c r="S10" s="109"/>
      <c r="T10" s="109"/>
      <c r="U10" s="109"/>
      <c r="V10" s="109"/>
      <c r="W10" s="109"/>
      <c r="X10" s="109"/>
      <c r="Y10" s="109"/>
      <c r="Z10" s="109"/>
    </row>
    <row r="11" ht="15.75" customHeight="1">
      <c r="A11" s="412">
        <v>46017.0</v>
      </c>
      <c r="B11" s="109">
        <v>1.0</v>
      </c>
      <c r="C11" s="109">
        <v>1992000.0</v>
      </c>
      <c r="D11" s="109"/>
      <c r="E11" s="109"/>
      <c r="F11" s="109"/>
      <c r="G11" s="109"/>
      <c r="H11" s="109"/>
      <c r="I11" s="109"/>
      <c r="J11" s="109"/>
      <c r="K11" s="109"/>
      <c r="L11" s="109" t="s">
        <v>998</v>
      </c>
      <c r="M11" s="109">
        <v>12.0</v>
      </c>
      <c r="N11" s="109"/>
      <c r="O11" s="109"/>
      <c r="P11" s="109"/>
      <c r="Q11" s="109"/>
      <c r="R11" s="109"/>
      <c r="S11" s="109"/>
      <c r="T11" s="109"/>
      <c r="U11" s="109"/>
      <c r="V11" s="109"/>
      <c r="W11" s="109"/>
      <c r="X11" s="109"/>
      <c r="Y11" s="109"/>
      <c r="Z11" s="109"/>
    </row>
    <row r="12" ht="15.75" customHeight="1">
      <c r="A12" s="412">
        <v>46031.0</v>
      </c>
      <c r="B12" s="109">
        <v>1.0</v>
      </c>
      <c r="C12" s="109">
        <v>945000.0</v>
      </c>
      <c r="D12" s="109"/>
      <c r="E12" s="109"/>
      <c r="F12" s="109"/>
      <c r="G12" s="109"/>
      <c r="H12" s="109"/>
      <c r="I12" s="109"/>
      <c r="J12" s="109"/>
      <c r="K12" s="109"/>
      <c r="L12" s="109" t="s">
        <v>999</v>
      </c>
      <c r="M12" s="109">
        <v>1.0</v>
      </c>
      <c r="N12" s="109"/>
      <c r="O12" s="109"/>
      <c r="P12" s="109"/>
      <c r="Q12" s="109"/>
      <c r="R12" s="109"/>
      <c r="S12" s="109"/>
      <c r="T12" s="109"/>
      <c r="U12" s="109"/>
      <c r="V12" s="109"/>
      <c r="W12" s="109"/>
      <c r="X12" s="109"/>
      <c r="Y12" s="109"/>
      <c r="Z12" s="109"/>
    </row>
    <row r="13" ht="15.75" customHeight="1">
      <c r="A13" s="412">
        <v>46046.0</v>
      </c>
      <c r="B13" s="109">
        <v>1.0</v>
      </c>
      <c r="C13" s="109">
        <v>749000.0</v>
      </c>
      <c r="D13" s="109"/>
      <c r="E13" s="109"/>
      <c r="F13" s="109"/>
      <c r="G13" s="109"/>
      <c r="H13" s="109"/>
      <c r="I13" s="109"/>
      <c r="J13" s="109"/>
      <c r="K13" s="109"/>
      <c r="L13" s="109" t="s">
        <v>995</v>
      </c>
      <c r="M13" s="109">
        <v>1.0</v>
      </c>
      <c r="N13" s="109"/>
      <c r="O13" s="109"/>
      <c r="P13" s="109"/>
      <c r="Q13" s="109"/>
      <c r="R13" s="109"/>
      <c r="S13" s="109"/>
      <c r="T13" s="109"/>
      <c r="U13" s="109"/>
      <c r="V13" s="109"/>
      <c r="W13" s="109"/>
      <c r="X13" s="109"/>
      <c r="Y13" s="109"/>
      <c r="Z13" s="109"/>
    </row>
    <row r="14" ht="15.75" customHeight="1">
      <c r="A14" s="412">
        <v>46049.0</v>
      </c>
      <c r="B14" s="109">
        <v>1.0</v>
      </c>
      <c r="C14" s="109">
        <v>3605000.0</v>
      </c>
      <c r="D14" s="109"/>
      <c r="E14" s="109"/>
      <c r="F14" s="109"/>
      <c r="G14" s="109"/>
      <c r="H14" s="109"/>
      <c r="I14" s="109"/>
      <c r="J14" s="109"/>
      <c r="K14" s="109"/>
      <c r="L14" s="109" t="s">
        <v>1000</v>
      </c>
      <c r="M14" s="109">
        <v>1.0</v>
      </c>
      <c r="N14" s="109"/>
      <c r="O14" s="109"/>
      <c r="P14" s="109"/>
      <c r="Q14" s="109"/>
      <c r="R14" s="109"/>
      <c r="S14" s="109"/>
      <c r="T14" s="109"/>
      <c r="U14" s="109"/>
      <c r="V14" s="109"/>
      <c r="W14" s="109"/>
      <c r="X14" s="109"/>
      <c r="Y14" s="109"/>
      <c r="Z14" s="109"/>
    </row>
    <row r="15" ht="15.75" customHeight="1">
      <c r="A15" s="412"/>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ht="15.75" customHeight="1">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ht="15.75" customHeight="1">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ht="15.75" customHeight="1">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ht="15.75" customHeight="1">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ht="15.75" customHeight="1">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ht="15.75" customHeight="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ht="15.75" customHeight="1">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ht="15.75" customHeight="1">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ht="15.75" customHeight="1">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ht="15.75" customHeight="1">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ht="15.7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ht="15.7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ht="15.7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ht="15.7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ht="15.7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ht="15.7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ht="15.7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ht="15.7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ht="15.7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ht="15.7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ht="15.7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ht="15.7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ht="15.7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ht="15.7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ht="15.7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ht="15.7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ht="15.7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ht="15.7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ht="15.7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ht="15.7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ht="15.7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ht="15.7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ht="15.7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ht="15.7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ht="15.7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ht="15.7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ht="15.7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ht="15.7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ht="15.7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ht="15.7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ht="15.7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ht="15.7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ht="15.7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ht="15.7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ht="15.7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ht="15.7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ht="15.7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ht="15.7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ht="15.7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ht="15.7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ht="15.7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ht="15.7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ht="15.7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ht="15.7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ht="15.7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ht="15.7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ht="15.7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ht="15.7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ht="15.7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ht="15.7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ht="15.7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ht="15.7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ht="15.7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ht="15.7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ht="15.7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ht="15.7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ht="15.7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ht="15.7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ht="15.7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ht="15.7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ht="15.7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ht="15.7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ht="15.7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ht="15.7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ht="15.7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ht="15.7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ht="15.7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ht="15.7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ht="15.7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ht="15.7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ht="15.7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ht="15.7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ht="15.7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ht="15.7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ht="15.7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ht="15.7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ht="15.7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ht="15.7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ht="15.7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ht="15.7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ht="15.7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ht="15.7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ht="15.7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ht="15.7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ht="15.7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ht="15.7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ht="15.7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ht="15.7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ht="15.7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ht="15.7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ht="15.7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ht="15.7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ht="15.7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ht="15.7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ht="15.7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ht="15.7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ht="15.7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ht="15.7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ht="15.7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ht="15.7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ht="15.7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ht="15.7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ht="15.7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ht="15.7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ht="15.7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ht="15.7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ht="15.7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ht="15.7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ht="15.7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ht="15.7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ht="15.7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ht="15.7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ht="15.7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ht="15.7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ht="15.7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ht="15.7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ht="15.7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ht="15.7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ht="15.7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5.7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ht="15.7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ht="15.7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ht="15.7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ht="15.7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ht="15.7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ht="15.7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ht="15.7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ht="15.7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ht="15.7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ht="15.7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ht="15.7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ht="15.7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ht="15.7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ht="15.7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ht="15.7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ht="15.7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ht="15.7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ht="15.7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ht="15.7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ht="15.7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ht="15.7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ht="15.7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ht="15.7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ht="15.7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ht="15.7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ht="15.7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ht="15.7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ht="15.7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ht="15.7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ht="15.7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ht="15.7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ht="15.7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ht="15.7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ht="15.7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ht="15.7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ht="15.7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ht="15.7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ht="15.7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ht="15.7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ht="15.7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ht="15.7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ht="15.7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ht="15.7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ht="15.7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ht="15.7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ht="15.7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ht="15.7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ht="15.7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ht="15.7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ht="15.7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ht="15.7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ht="15.7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ht="15.75" customHeight="1">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ht="15.75" customHeight="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sheetViews>
  <sheetFormatPr customHeight="1" defaultColWidth="12.63" defaultRowHeight="15.0"/>
  <cols>
    <col customWidth="1" min="1" max="1" width="4.0"/>
    <col customWidth="1" min="3" max="3" width="28.38"/>
    <col customWidth="1" min="7" max="7" width="24.13"/>
    <col customWidth="1" min="10" max="10" width="24.5"/>
    <col customWidth="1" min="15" max="15" width="22.75"/>
  </cols>
  <sheetData>
    <row r="1" ht="15.75" customHeight="1">
      <c r="A1" s="413"/>
      <c r="B1" s="414" t="s">
        <v>1001</v>
      </c>
      <c r="C1" s="415"/>
      <c r="D1" s="416"/>
      <c r="E1" s="417" t="s">
        <v>1002</v>
      </c>
      <c r="F1" s="38"/>
      <c r="G1" s="416"/>
      <c r="H1" s="416"/>
      <c r="I1" s="416"/>
      <c r="J1" s="416"/>
      <c r="K1" s="416"/>
      <c r="L1" s="416"/>
      <c r="M1" s="416"/>
      <c r="N1" s="416"/>
      <c r="O1" s="416"/>
      <c r="P1" s="416"/>
      <c r="Q1" s="416"/>
      <c r="R1" s="416"/>
      <c r="S1" s="387" t="s">
        <v>1003</v>
      </c>
    </row>
    <row r="2" ht="15.75" customHeight="1">
      <c r="A2" s="418"/>
      <c r="B2" s="418"/>
      <c r="C2" s="419"/>
      <c r="D2" s="419"/>
      <c r="E2" s="419"/>
      <c r="F2" s="419"/>
      <c r="G2" s="419"/>
      <c r="H2" s="419"/>
      <c r="I2" s="419"/>
      <c r="J2" s="419"/>
      <c r="K2" s="419"/>
      <c r="L2" s="419"/>
      <c r="M2" s="420">
        <f>M5+M7+M9+M11+M13</f>
        <v>813862</v>
      </c>
      <c r="N2" s="420"/>
      <c r="O2" s="419"/>
      <c r="P2" s="419"/>
      <c r="Q2" s="419"/>
      <c r="R2" s="419"/>
      <c r="S2" s="149" t="s">
        <v>1004</v>
      </c>
    </row>
    <row r="3" ht="15.75" customHeight="1">
      <c r="A3" s="418"/>
      <c r="B3" s="421" t="s">
        <v>1005</v>
      </c>
      <c r="C3" s="422" t="s">
        <v>1006</v>
      </c>
      <c r="D3" s="423"/>
      <c r="E3" s="422" t="s">
        <v>1007</v>
      </c>
      <c r="F3" s="422" t="s">
        <v>1008</v>
      </c>
      <c r="G3" s="424" t="s">
        <v>1009</v>
      </c>
      <c r="H3" s="422" t="s">
        <v>1010</v>
      </c>
      <c r="I3" s="422" t="s">
        <v>1011</v>
      </c>
      <c r="J3" s="422" t="s">
        <v>1003</v>
      </c>
      <c r="K3" s="422" t="s">
        <v>1012</v>
      </c>
      <c r="L3" s="422" t="s">
        <v>1013</v>
      </c>
      <c r="M3" s="424" t="s">
        <v>1014</v>
      </c>
      <c r="N3" s="424" t="s">
        <v>1015</v>
      </c>
      <c r="O3" s="422" t="s">
        <v>1016</v>
      </c>
      <c r="P3" s="424" t="s">
        <v>1017</v>
      </c>
      <c r="Q3" s="422" t="s">
        <v>1018</v>
      </c>
      <c r="R3" s="425" t="s">
        <v>1019</v>
      </c>
      <c r="S3" s="149" t="s">
        <v>1004</v>
      </c>
    </row>
    <row r="4" ht="15.75" customHeight="1">
      <c r="A4" s="418"/>
      <c r="B4" s="426" t="s">
        <v>1020</v>
      </c>
      <c r="C4" s="419" t="s">
        <v>1021</v>
      </c>
      <c r="D4" s="419"/>
      <c r="E4" s="419" t="s">
        <v>1022</v>
      </c>
      <c r="F4" s="419" t="s">
        <v>1023</v>
      </c>
      <c r="G4" s="420">
        <v>6614.0</v>
      </c>
      <c r="H4" s="419">
        <v>7839.0</v>
      </c>
      <c r="I4" s="419" t="s">
        <v>139</v>
      </c>
      <c r="J4" s="419" t="s">
        <v>1004</v>
      </c>
      <c r="K4" s="419" t="s">
        <v>1024</v>
      </c>
      <c r="L4" s="419" t="s">
        <v>1025</v>
      </c>
      <c r="M4" s="420">
        <v>558818.0</v>
      </c>
      <c r="N4" s="420" t="s">
        <v>1026</v>
      </c>
      <c r="O4" s="419"/>
      <c r="P4" s="420"/>
      <c r="Q4" s="418">
        <v>45931.0</v>
      </c>
      <c r="R4" s="427">
        <v>45961.0</v>
      </c>
      <c r="S4" s="149" t="s">
        <v>1004</v>
      </c>
    </row>
    <row r="5" ht="15.75" customHeight="1">
      <c r="A5" s="418"/>
      <c r="B5" s="428"/>
      <c r="C5" s="429" t="s">
        <v>1020</v>
      </c>
      <c r="D5" s="429"/>
      <c r="E5" s="429" t="s">
        <v>1022</v>
      </c>
      <c r="F5" s="429" t="s">
        <v>1027</v>
      </c>
      <c r="G5" s="430">
        <v>6614.0</v>
      </c>
      <c r="H5" s="429">
        <v>7839.0</v>
      </c>
      <c r="I5" s="429" t="s">
        <v>139</v>
      </c>
      <c r="J5" s="429" t="s">
        <v>1004</v>
      </c>
      <c r="K5" s="429" t="s">
        <v>1024</v>
      </c>
      <c r="L5" s="429" t="s">
        <v>1025</v>
      </c>
      <c r="M5" s="430">
        <v>558818.0</v>
      </c>
      <c r="N5" s="430" t="s">
        <v>1026</v>
      </c>
      <c r="O5" s="431">
        <v>45954.0</v>
      </c>
      <c r="P5" s="431">
        <v>45961.0</v>
      </c>
      <c r="Q5" s="431">
        <v>45931.0</v>
      </c>
      <c r="R5" s="432">
        <v>45961.0</v>
      </c>
      <c r="S5" s="149" t="s">
        <v>1004</v>
      </c>
    </row>
    <row r="6" ht="15.75" customHeight="1">
      <c r="A6" s="418"/>
      <c r="B6" s="426" t="s">
        <v>1028</v>
      </c>
      <c r="C6" s="419" t="s">
        <v>1021</v>
      </c>
      <c r="D6" s="419"/>
      <c r="E6" s="419" t="s">
        <v>1022</v>
      </c>
      <c r="F6" s="419" t="s">
        <v>1023</v>
      </c>
      <c r="G6" s="420">
        <v>4467.0</v>
      </c>
      <c r="H6" s="419">
        <v>4899.0</v>
      </c>
      <c r="I6" s="433">
        <v>45931.0</v>
      </c>
      <c r="J6" s="419" t="s">
        <v>1004</v>
      </c>
      <c r="K6" s="419" t="s">
        <v>1029</v>
      </c>
      <c r="L6" s="419" t="s">
        <v>1030</v>
      </c>
      <c r="M6" s="420">
        <v>203604.0</v>
      </c>
      <c r="N6" s="420" t="s">
        <v>1031</v>
      </c>
      <c r="O6" s="419"/>
      <c r="P6" s="419"/>
      <c r="Q6" s="418">
        <v>45931.0</v>
      </c>
      <c r="R6" s="427">
        <v>45961.0</v>
      </c>
      <c r="S6" s="149" t="s">
        <v>1004</v>
      </c>
    </row>
    <row r="7" ht="15.75" customHeight="1">
      <c r="A7" s="419"/>
      <c r="B7" s="434"/>
      <c r="C7" s="429" t="s">
        <v>1028</v>
      </c>
      <c r="D7" s="429"/>
      <c r="E7" s="429" t="s">
        <v>1022</v>
      </c>
      <c r="F7" s="429" t="s">
        <v>1027</v>
      </c>
      <c r="G7" s="429">
        <v>4467.0</v>
      </c>
      <c r="H7" s="429">
        <v>4899.0</v>
      </c>
      <c r="I7" s="435">
        <v>45931.0</v>
      </c>
      <c r="J7" s="429" t="s">
        <v>1004</v>
      </c>
      <c r="K7" s="429" t="s">
        <v>1029</v>
      </c>
      <c r="L7" s="429" t="s">
        <v>1030</v>
      </c>
      <c r="M7" s="429">
        <v>203604.0</v>
      </c>
      <c r="N7" s="429" t="s">
        <v>1031</v>
      </c>
      <c r="O7" s="431">
        <v>45954.0</v>
      </c>
      <c r="P7" s="431">
        <v>45961.0</v>
      </c>
      <c r="Q7" s="431">
        <v>45931.0</v>
      </c>
      <c r="R7" s="432">
        <v>45961.0</v>
      </c>
    </row>
    <row r="8" ht="15.75" customHeight="1">
      <c r="A8" s="419"/>
      <c r="B8" s="426" t="s">
        <v>1032</v>
      </c>
      <c r="C8" s="419" t="s">
        <v>1021</v>
      </c>
      <c r="D8" s="419"/>
      <c r="E8" s="419" t="s">
        <v>1033</v>
      </c>
      <c r="F8" s="419" t="s">
        <v>1023</v>
      </c>
      <c r="G8" s="419">
        <v>1514.0</v>
      </c>
      <c r="H8" s="419">
        <v>1557.0</v>
      </c>
      <c r="I8" s="436">
        <v>45717.0</v>
      </c>
      <c r="J8" s="419" t="s">
        <v>1004</v>
      </c>
      <c r="K8" s="419" t="s">
        <v>1034</v>
      </c>
      <c r="L8" s="419" t="s">
        <v>1035</v>
      </c>
      <c r="M8" s="419">
        <v>31368.0</v>
      </c>
      <c r="N8" s="419" t="s">
        <v>1036</v>
      </c>
      <c r="O8" s="419"/>
      <c r="P8" s="419"/>
      <c r="Q8" s="418">
        <v>45931.0</v>
      </c>
      <c r="R8" s="427">
        <v>45961.0</v>
      </c>
    </row>
    <row r="9" ht="15.75" customHeight="1">
      <c r="A9" s="419"/>
      <c r="B9" s="434"/>
      <c r="C9" s="429" t="s">
        <v>1032</v>
      </c>
      <c r="D9" s="429"/>
      <c r="E9" s="429" t="s">
        <v>1033</v>
      </c>
      <c r="F9" s="429" t="s">
        <v>1027</v>
      </c>
      <c r="G9" s="429">
        <v>1514.0</v>
      </c>
      <c r="H9" s="429">
        <v>1557.0</v>
      </c>
      <c r="I9" s="437">
        <v>45717.0</v>
      </c>
      <c r="J9" s="429" t="s">
        <v>1004</v>
      </c>
      <c r="K9" s="429" t="s">
        <v>1034</v>
      </c>
      <c r="L9" s="429" t="s">
        <v>1035</v>
      </c>
      <c r="M9" s="429">
        <v>31368.0</v>
      </c>
      <c r="N9" s="429" t="s">
        <v>1036</v>
      </c>
      <c r="O9" s="431">
        <v>45924.0</v>
      </c>
      <c r="P9" s="431">
        <v>45931.0</v>
      </c>
      <c r="Q9" s="431">
        <v>45931.0</v>
      </c>
      <c r="R9" s="432">
        <v>45961.0</v>
      </c>
    </row>
    <row r="10" ht="15.75" customHeight="1">
      <c r="A10" s="419"/>
      <c r="B10" s="426" t="s">
        <v>1037</v>
      </c>
      <c r="C10" s="419" t="s">
        <v>1021</v>
      </c>
      <c r="D10" s="419"/>
      <c r="E10" s="419" t="s">
        <v>1033</v>
      </c>
      <c r="F10" s="419" t="s">
        <v>1023</v>
      </c>
      <c r="G10" s="419">
        <v>429.0</v>
      </c>
      <c r="H10" s="419">
        <v>440.0</v>
      </c>
      <c r="I10" s="436">
        <v>45717.0</v>
      </c>
      <c r="J10" s="419" t="s">
        <v>1004</v>
      </c>
      <c r="K10" s="419" t="s">
        <v>1029</v>
      </c>
      <c r="L10" s="419" t="s">
        <v>1038</v>
      </c>
      <c r="M10" s="419">
        <v>12642.0</v>
      </c>
      <c r="N10" s="419" t="s">
        <v>1039</v>
      </c>
      <c r="O10" s="419"/>
      <c r="P10" s="419"/>
      <c r="Q10" s="418">
        <v>45931.0</v>
      </c>
      <c r="R10" s="427">
        <v>45961.0</v>
      </c>
    </row>
    <row r="11" ht="15.75" customHeight="1">
      <c r="A11" s="419"/>
      <c r="B11" s="434"/>
      <c r="C11" s="429" t="s">
        <v>1037</v>
      </c>
      <c r="D11" s="429"/>
      <c r="E11" s="429" t="s">
        <v>1033</v>
      </c>
      <c r="F11" s="429" t="s">
        <v>1027</v>
      </c>
      <c r="G11" s="429">
        <v>429.0</v>
      </c>
      <c r="H11" s="429">
        <v>440.0</v>
      </c>
      <c r="I11" s="437">
        <v>45717.0</v>
      </c>
      <c r="J11" s="429" t="s">
        <v>1004</v>
      </c>
      <c r="K11" s="429" t="s">
        <v>1029</v>
      </c>
      <c r="L11" s="429" t="s">
        <v>1038</v>
      </c>
      <c r="M11" s="429">
        <v>12642.0</v>
      </c>
      <c r="N11" s="429" t="s">
        <v>1039</v>
      </c>
      <c r="O11" s="431">
        <v>45924.0</v>
      </c>
      <c r="P11" s="431">
        <v>45931.0</v>
      </c>
      <c r="Q11" s="431">
        <v>45931.0</v>
      </c>
      <c r="R11" s="432">
        <v>45961.0</v>
      </c>
    </row>
    <row r="12" ht="15.75" customHeight="1">
      <c r="A12" s="419"/>
      <c r="B12" s="426" t="s">
        <v>1040</v>
      </c>
      <c r="C12" s="419" t="s">
        <v>1021</v>
      </c>
      <c r="D12" s="419"/>
      <c r="E12" s="419" t="s">
        <v>1041</v>
      </c>
      <c r="F12" s="419" t="s">
        <v>1023</v>
      </c>
      <c r="G12" s="419">
        <v>159.0</v>
      </c>
      <c r="H12" s="419">
        <v>188.0</v>
      </c>
      <c r="I12" s="419" t="s">
        <v>1042</v>
      </c>
      <c r="J12" s="419" t="s">
        <v>1004</v>
      </c>
      <c r="K12" s="419" t="s">
        <v>1024</v>
      </c>
      <c r="L12" s="419" t="s">
        <v>1043</v>
      </c>
      <c r="M12" s="419">
        <v>7430.0</v>
      </c>
      <c r="N12" s="419" t="s">
        <v>1044</v>
      </c>
      <c r="O12" s="419"/>
      <c r="P12" s="419"/>
      <c r="Q12" s="418">
        <v>45931.0</v>
      </c>
      <c r="R12" s="427">
        <v>45961.0</v>
      </c>
    </row>
    <row r="13" ht="15.75" customHeight="1">
      <c r="A13" s="419"/>
      <c r="B13" s="434"/>
      <c r="C13" s="429" t="s">
        <v>1040</v>
      </c>
      <c r="D13" s="429"/>
      <c r="E13" s="429" t="s">
        <v>1041</v>
      </c>
      <c r="F13" s="429" t="s">
        <v>1027</v>
      </c>
      <c r="G13" s="429">
        <v>159.0</v>
      </c>
      <c r="H13" s="429">
        <v>188.0</v>
      </c>
      <c r="I13" s="429" t="s">
        <v>1042</v>
      </c>
      <c r="J13" s="429" t="s">
        <v>1004</v>
      </c>
      <c r="K13" s="429" t="s">
        <v>1024</v>
      </c>
      <c r="L13" s="429" t="s">
        <v>1043</v>
      </c>
      <c r="M13" s="429">
        <v>7430.0</v>
      </c>
      <c r="N13" s="429" t="s">
        <v>1044</v>
      </c>
      <c r="O13" s="431">
        <v>45961.0</v>
      </c>
      <c r="P13" s="431">
        <v>45968.0</v>
      </c>
      <c r="Q13" s="431">
        <v>45931.0</v>
      </c>
      <c r="R13" s="432">
        <v>45961.0</v>
      </c>
    </row>
    <row r="14" ht="15.75" customHeight="1"/>
    <row r="15" ht="15.75" customHeight="1"/>
    <row r="16" ht="15.75" customHeight="1">
      <c r="B16" s="438" t="s">
        <v>1018</v>
      </c>
      <c r="C16" s="438" t="s">
        <v>1019</v>
      </c>
      <c r="D16" s="438" t="s">
        <v>1005</v>
      </c>
      <c r="E16" s="438" t="s">
        <v>1045</v>
      </c>
      <c r="F16" s="438" t="s">
        <v>1046</v>
      </c>
      <c r="G16" s="438" t="s">
        <v>1047</v>
      </c>
      <c r="H16" s="438" t="s">
        <v>1003</v>
      </c>
      <c r="I16" s="438" t="s">
        <v>1013</v>
      </c>
      <c r="J16" s="438" t="s">
        <v>1048</v>
      </c>
      <c r="K16" s="438" t="s">
        <v>1009</v>
      </c>
      <c r="L16" s="438" t="s">
        <v>1010</v>
      </c>
      <c r="M16" s="438" t="s">
        <v>1015</v>
      </c>
      <c r="N16" s="438" t="s">
        <v>1014</v>
      </c>
      <c r="O16" s="438" t="s">
        <v>1017</v>
      </c>
    </row>
    <row r="17" ht="15.75" customHeight="1">
      <c r="B17" s="402">
        <v>45962.0</v>
      </c>
      <c r="C17" s="402">
        <v>45965.0</v>
      </c>
      <c r="D17" s="168"/>
      <c r="E17" s="168"/>
      <c r="F17" s="168"/>
      <c r="G17" s="168"/>
      <c r="H17" s="168" t="s">
        <v>1004</v>
      </c>
      <c r="K17" s="169">
        <v>2781.0</v>
      </c>
      <c r="L17" s="169">
        <v>3162.0</v>
      </c>
      <c r="M17" s="168"/>
      <c r="N17" s="169">
        <v>181742.0</v>
      </c>
      <c r="O17" s="168"/>
    </row>
    <row r="18" ht="15.75" customHeight="1">
      <c r="B18" s="402">
        <v>45962.0</v>
      </c>
      <c r="C18" s="402">
        <v>45965.0</v>
      </c>
      <c r="D18" s="168" t="s">
        <v>1020</v>
      </c>
      <c r="E18" s="168" t="s">
        <v>1022</v>
      </c>
      <c r="F18" s="169">
        <v>80000.0</v>
      </c>
      <c r="G18" s="168" t="s">
        <v>1049</v>
      </c>
      <c r="H18" s="168" t="s">
        <v>97</v>
      </c>
      <c r="I18" s="168"/>
      <c r="J18" s="168"/>
      <c r="K18" s="168"/>
      <c r="L18" s="168"/>
      <c r="M18" s="168"/>
      <c r="N18" s="168"/>
      <c r="O18" s="402">
        <v>45961.0</v>
      </c>
    </row>
    <row r="19" ht="15.75" customHeight="1">
      <c r="B19" s="402">
        <v>45962.0</v>
      </c>
      <c r="C19" s="402">
        <v>45965.0</v>
      </c>
      <c r="D19" s="168" t="s">
        <v>1028</v>
      </c>
      <c r="E19" s="168" t="s">
        <v>1022</v>
      </c>
      <c r="F19" s="169">
        <v>30000.0</v>
      </c>
      <c r="G19" s="168" t="s">
        <v>1049</v>
      </c>
      <c r="H19" s="168" t="s">
        <v>97</v>
      </c>
      <c r="I19" s="168"/>
      <c r="J19" s="168"/>
      <c r="K19" s="168"/>
      <c r="L19" s="168"/>
      <c r="M19" s="168"/>
      <c r="N19" s="168"/>
      <c r="O19" s="402">
        <v>45961.0</v>
      </c>
    </row>
    <row r="20" ht="15.75" customHeight="1">
      <c r="B20" s="402">
        <v>45962.0</v>
      </c>
      <c r="C20" s="402">
        <v>45965.0</v>
      </c>
      <c r="D20" s="168" t="s">
        <v>1040</v>
      </c>
      <c r="E20" s="168" t="s">
        <v>1041</v>
      </c>
      <c r="F20" s="169">
        <v>50000.0</v>
      </c>
      <c r="G20" s="168" t="s">
        <v>1049</v>
      </c>
      <c r="H20" s="168" t="s">
        <v>1004</v>
      </c>
      <c r="I20" s="169">
        <v>161.0</v>
      </c>
      <c r="J20" s="168" t="s">
        <v>1050</v>
      </c>
      <c r="K20" s="169">
        <v>2781.0</v>
      </c>
      <c r="L20" s="169">
        <v>3162.0</v>
      </c>
      <c r="M20" s="439">
        <v>1.128832298E9</v>
      </c>
      <c r="N20" s="169">
        <v>181742.0</v>
      </c>
      <c r="O20" s="402">
        <v>45968.0</v>
      </c>
    </row>
    <row r="21" ht="15.75" customHeight="1">
      <c r="O21" s="440">
        <f>O33+O28+O23</f>
        <v>1174086</v>
      </c>
    </row>
    <row r="22" ht="15.75" customHeight="1">
      <c r="A22" s="441" t="s">
        <v>1005</v>
      </c>
      <c r="B22" s="441" t="s">
        <v>1006</v>
      </c>
      <c r="C22" s="441" t="s">
        <v>1051</v>
      </c>
      <c r="D22" s="441" t="s">
        <v>1052</v>
      </c>
      <c r="E22" s="441" t="s">
        <v>993</v>
      </c>
      <c r="F22" s="441" t="s">
        <v>1053</v>
      </c>
      <c r="G22" s="441" t="s">
        <v>1007</v>
      </c>
      <c r="H22" s="441" t="s">
        <v>1008</v>
      </c>
      <c r="I22" s="441" t="s">
        <v>1009</v>
      </c>
      <c r="J22" s="441" t="s">
        <v>1010</v>
      </c>
      <c r="K22" s="441" t="s">
        <v>1011</v>
      </c>
      <c r="L22" s="441" t="s">
        <v>1003</v>
      </c>
      <c r="M22" s="441" t="s">
        <v>1012</v>
      </c>
      <c r="N22" s="441" t="s">
        <v>1013</v>
      </c>
      <c r="O22" s="441" t="s">
        <v>1014</v>
      </c>
      <c r="P22" s="441" t="s">
        <v>1015</v>
      </c>
      <c r="Q22" s="441" t="s">
        <v>1016</v>
      </c>
      <c r="R22" s="441" t="s">
        <v>1017</v>
      </c>
      <c r="S22" s="441" t="s">
        <v>1054</v>
      </c>
      <c r="T22" s="441" t="s">
        <v>1034</v>
      </c>
      <c r="U22" s="441" t="s">
        <v>1055</v>
      </c>
      <c r="V22" s="441" t="s">
        <v>1018</v>
      </c>
      <c r="W22" s="441" t="s">
        <v>1019</v>
      </c>
    </row>
    <row r="23" ht="15.75" customHeight="1">
      <c r="A23" s="442" t="s">
        <v>1056</v>
      </c>
      <c r="B23" s="442" t="s">
        <v>1021</v>
      </c>
      <c r="C23" s="442" t="s">
        <v>1021</v>
      </c>
      <c r="D23" s="442" t="s">
        <v>1021</v>
      </c>
      <c r="E23" s="442" t="s">
        <v>1021</v>
      </c>
      <c r="F23" s="442" t="s">
        <v>1021</v>
      </c>
      <c r="G23" s="443" t="s">
        <v>1041</v>
      </c>
      <c r="H23" s="443" t="s">
        <v>1023</v>
      </c>
      <c r="I23" s="443">
        <v>7195.0</v>
      </c>
      <c r="J23" s="443">
        <v>10086.0</v>
      </c>
      <c r="K23" s="444">
        <v>1.40180681E8</v>
      </c>
      <c r="L23" s="443" t="s">
        <v>1004</v>
      </c>
      <c r="M23" s="443" t="s">
        <v>1024</v>
      </c>
      <c r="N23" s="443">
        <v>291.0</v>
      </c>
      <c r="O23" s="443">
        <v>286388.0</v>
      </c>
      <c r="P23" s="443" t="s">
        <v>1057</v>
      </c>
      <c r="Q23" s="443"/>
      <c r="R23" s="443"/>
      <c r="S23" s="444">
        <v>8.301101449E9</v>
      </c>
      <c r="T23" s="443">
        <v>345.0</v>
      </c>
      <c r="U23" s="444">
        <v>4.09478485E8</v>
      </c>
      <c r="V23" s="445">
        <v>45962.0</v>
      </c>
      <c r="W23" s="445">
        <v>45989.0</v>
      </c>
      <c r="X23" s="446"/>
      <c r="Y23" s="446"/>
      <c r="Z23" s="446"/>
      <c r="AA23" s="446"/>
      <c r="AB23" s="446"/>
      <c r="AC23" s="446"/>
      <c r="AD23" s="446"/>
      <c r="AE23" s="446"/>
      <c r="AF23" s="446"/>
      <c r="AG23" s="446"/>
    </row>
    <row r="24" ht="15.75" customHeight="1">
      <c r="A24" s="447" t="s">
        <v>1056</v>
      </c>
      <c r="B24" s="447" t="s">
        <v>1056</v>
      </c>
      <c r="C24" s="447" t="s">
        <v>1021</v>
      </c>
      <c r="D24" s="447" t="s">
        <v>1021</v>
      </c>
      <c r="E24" s="447" t="s">
        <v>1021</v>
      </c>
      <c r="F24" s="447" t="s">
        <v>1021</v>
      </c>
      <c r="G24" s="448" t="s">
        <v>1041</v>
      </c>
      <c r="H24" s="448" t="s">
        <v>1027</v>
      </c>
      <c r="I24" s="448">
        <v>7195.0</v>
      </c>
      <c r="J24" s="448">
        <v>10086.0</v>
      </c>
      <c r="K24" s="449">
        <v>1.40180681E8</v>
      </c>
      <c r="L24" s="448" t="s">
        <v>1004</v>
      </c>
      <c r="M24" s="448" t="s">
        <v>1024</v>
      </c>
      <c r="N24" s="448">
        <v>291.0</v>
      </c>
      <c r="O24" s="448" t="s">
        <v>1058</v>
      </c>
      <c r="P24" s="448" t="s">
        <v>1057</v>
      </c>
      <c r="Q24" s="450">
        <v>45979.0</v>
      </c>
      <c r="R24" s="450">
        <v>45991.0</v>
      </c>
      <c r="S24" s="449">
        <v>8.301101449E9</v>
      </c>
      <c r="T24" s="448">
        <v>345.0</v>
      </c>
      <c r="U24" s="449">
        <v>4.09478485E8</v>
      </c>
      <c r="V24" s="450">
        <v>45962.0</v>
      </c>
      <c r="W24" s="450">
        <v>45989.0</v>
      </c>
    </row>
    <row r="25" ht="15.75" customHeight="1">
      <c r="A25" s="447" t="s">
        <v>1056</v>
      </c>
      <c r="B25" s="447" t="s">
        <v>1056</v>
      </c>
      <c r="C25" s="447" t="s">
        <v>1059</v>
      </c>
      <c r="D25" s="447" t="s">
        <v>1021</v>
      </c>
      <c r="E25" s="447" t="s">
        <v>1021</v>
      </c>
      <c r="F25" s="447" t="s">
        <v>1021</v>
      </c>
      <c r="G25" s="448"/>
      <c r="H25" s="448"/>
      <c r="I25" s="448">
        <v>7195.0</v>
      </c>
      <c r="J25" s="448">
        <v>10086.0</v>
      </c>
      <c r="K25" s="449">
        <v>1.40180681E8</v>
      </c>
      <c r="L25" s="448" t="s">
        <v>1004</v>
      </c>
      <c r="M25" s="448" t="s">
        <v>1024</v>
      </c>
      <c r="N25" s="448">
        <v>291.0</v>
      </c>
      <c r="O25" s="448" t="s">
        <v>1058</v>
      </c>
      <c r="P25" s="448" t="s">
        <v>1057</v>
      </c>
      <c r="Q25" s="450">
        <v>45979.0</v>
      </c>
      <c r="R25" s="450">
        <v>45991.0</v>
      </c>
      <c r="S25" s="449">
        <v>8.301101449E9</v>
      </c>
      <c r="T25" s="448">
        <v>345.0</v>
      </c>
      <c r="U25" s="449">
        <v>4.09478485E8</v>
      </c>
      <c r="V25" s="450">
        <v>45962.0</v>
      </c>
      <c r="W25" s="450">
        <v>45989.0</v>
      </c>
    </row>
    <row r="26" ht="15.75" customHeight="1">
      <c r="A26" s="447" t="s">
        <v>1056</v>
      </c>
      <c r="B26" s="447" t="s">
        <v>1056</v>
      </c>
      <c r="C26" s="447" t="s">
        <v>1059</v>
      </c>
      <c r="D26" s="447" t="s">
        <v>1056</v>
      </c>
      <c r="E26" s="447" t="s">
        <v>1021</v>
      </c>
      <c r="F26" s="447" t="s">
        <v>1021</v>
      </c>
      <c r="G26" s="448" t="s">
        <v>1041</v>
      </c>
      <c r="H26" s="448" t="s">
        <v>1060</v>
      </c>
      <c r="I26" s="448">
        <v>7195.0</v>
      </c>
      <c r="J26" s="448">
        <v>10086.0</v>
      </c>
      <c r="K26" s="449">
        <v>1.40180681E8</v>
      </c>
      <c r="L26" s="448" t="s">
        <v>1004</v>
      </c>
      <c r="M26" s="448" t="s">
        <v>1024</v>
      </c>
      <c r="N26" s="448">
        <v>291.0</v>
      </c>
      <c r="O26" s="448" t="s">
        <v>1058</v>
      </c>
      <c r="P26" s="448" t="s">
        <v>1057</v>
      </c>
      <c r="Q26" s="450">
        <v>45979.0</v>
      </c>
      <c r="R26" s="450">
        <v>45991.0</v>
      </c>
      <c r="S26" s="449">
        <v>8.301101449E9</v>
      </c>
      <c r="T26" s="448">
        <v>345.0</v>
      </c>
      <c r="U26" s="449">
        <v>4.09478485E8</v>
      </c>
      <c r="V26" s="450">
        <v>45962.0</v>
      </c>
      <c r="W26" s="450">
        <v>45989.0</v>
      </c>
    </row>
    <row r="27" ht="15.75" customHeight="1">
      <c r="A27" s="447" t="s">
        <v>1056</v>
      </c>
      <c r="B27" s="447" t="s">
        <v>1056</v>
      </c>
      <c r="C27" s="447" t="s">
        <v>1059</v>
      </c>
      <c r="D27" s="447" t="s">
        <v>1056</v>
      </c>
      <c r="E27" s="447" t="s">
        <v>1061</v>
      </c>
      <c r="F27" s="447" t="s">
        <v>1021</v>
      </c>
      <c r="G27" s="448"/>
      <c r="H27" s="448"/>
      <c r="I27" s="448">
        <v>7195.0</v>
      </c>
      <c r="J27" s="448">
        <v>10086.0</v>
      </c>
      <c r="K27" s="449">
        <v>1.40180681E8</v>
      </c>
      <c r="L27" s="448" t="s">
        <v>1004</v>
      </c>
      <c r="M27" s="448" t="s">
        <v>1024</v>
      </c>
      <c r="N27" s="448">
        <v>291.0</v>
      </c>
      <c r="O27" s="448" t="s">
        <v>1058</v>
      </c>
      <c r="P27" s="448" t="s">
        <v>1057</v>
      </c>
      <c r="Q27" s="450">
        <v>45979.0</v>
      </c>
      <c r="R27" s="450">
        <v>45991.0</v>
      </c>
      <c r="S27" s="449">
        <v>8.301101449E9</v>
      </c>
      <c r="T27" s="448">
        <v>345.0</v>
      </c>
      <c r="U27" s="449">
        <v>4.09478485E8</v>
      </c>
      <c r="V27" s="450">
        <v>45962.0</v>
      </c>
      <c r="W27" s="450">
        <v>45989.0</v>
      </c>
    </row>
    <row r="28" ht="15.75" customHeight="1">
      <c r="A28" s="442" t="s">
        <v>1040</v>
      </c>
      <c r="B28" s="442" t="s">
        <v>1021</v>
      </c>
      <c r="C28" s="442" t="s">
        <v>1021</v>
      </c>
      <c r="D28" s="442" t="s">
        <v>1021</v>
      </c>
      <c r="E28" s="442" t="s">
        <v>1021</v>
      </c>
      <c r="F28" s="442" t="s">
        <v>1021</v>
      </c>
      <c r="G28" s="443" t="s">
        <v>1062</v>
      </c>
      <c r="H28" s="443" t="s">
        <v>1023</v>
      </c>
      <c r="I28" s="443">
        <v>5212.0</v>
      </c>
      <c r="J28" s="443">
        <v>5940.0</v>
      </c>
      <c r="K28" s="444">
        <v>1.13967767E8</v>
      </c>
      <c r="L28" s="443" t="s">
        <v>1004</v>
      </c>
      <c r="M28" s="443" t="s">
        <v>1024</v>
      </c>
      <c r="N28" s="443">
        <v>295.0</v>
      </c>
      <c r="O28" s="443">
        <v>315997.0</v>
      </c>
      <c r="P28" s="443" t="s">
        <v>1063</v>
      </c>
      <c r="Q28" s="443"/>
      <c r="R28" s="443"/>
      <c r="S28" s="444">
        <v>9.517981928E9</v>
      </c>
      <c r="T28" s="443">
        <v>332.0</v>
      </c>
      <c r="U28" s="444">
        <v>6.32996633E8</v>
      </c>
      <c r="V28" s="445">
        <v>45962.0</v>
      </c>
      <c r="W28" s="445">
        <v>45989.0</v>
      </c>
      <c r="X28" s="446"/>
      <c r="Y28" s="446"/>
      <c r="Z28" s="446"/>
      <c r="AA28" s="446"/>
      <c r="AB28" s="446"/>
      <c r="AC28" s="446"/>
      <c r="AD28" s="446"/>
      <c r="AE28" s="446"/>
      <c r="AF28" s="446"/>
      <c r="AG28" s="446"/>
    </row>
    <row r="29" ht="15.75" customHeight="1">
      <c r="A29" s="447" t="s">
        <v>1040</v>
      </c>
      <c r="B29" s="447" t="s">
        <v>1040</v>
      </c>
      <c r="C29" s="447" t="s">
        <v>1021</v>
      </c>
      <c r="D29" s="447" t="s">
        <v>1021</v>
      </c>
      <c r="E29" s="447" t="s">
        <v>1021</v>
      </c>
      <c r="F29" s="447" t="s">
        <v>1021</v>
      </c>
      <c r="G29" s="448" t="s">
        <v>1064</v>
      </c>
      <c r="H29" s="448" t="s">
        <v>1027</v>
      </c>
      <c r="I29" s="448">
        <v>5212.0</v>
      </c>
      <c r="J29" s="448">
        <v>5940.0</v>
      </c>
      <c r="K29" s="449">
        <v>1.13967767E8</v>
      </c>
      <c r="L29" s="448" t="s">
        <v>1004</v>
      </c>
      <c r="M29" s="448" t="s">
        <v>1024</v>
      </c>
      <c r="N29" s="448">
        <v>295.0</v>
      </c>
      <c r="O29" s="448" t="s">
        <v>1065</v>
      </c>
      <c r="P29" s="448" t="s">
        <v>1063</v>
      </c>
      <c r="Q29" s="450">
        <v>45961.0</v>
      </c>
      <c r="R29" s="450">
        <v>45968.0</v>
      </c>
      <c r="S29" s="449">
        <v>9.517981928E9</v>
      </c>
      <c r="T29" s="448">
        <v>332.0</v>
      </c>
      <c r="U29" s="449">
        <v>6.32996633E8</v>
      </c>
      <c r="V29" s="450">
        <v>45962.0</v>
      </c>
      <c r="W29" s="450">
        <v>45989.0</v>
      </c>
    </row>
    <row r="30" ht="15.75" customHeight="1">
      <c r="A30" s="447" t="s">
        <v>1040</v>
      </c>
      <c r="B30" s="447" t="s">
        <v>1040</v>
      </c>
      <c r="C30" s="447" t="s">
        <v>1059</v>
      </c>
      <c r="D30" s="447" t="s">
        <v>1021</v>
      </c>
      <c r="E30" s="447" t="s">
        <v>1021</v>
      </c>
      <c r="F30" s="447" t="s">
        <v>1021</v>
      </c>
      <c r="G30" s="448"/>
      <c r="H30" s="448"/>
      <c r="I30" s="448">
        <v>5212.0</v>
      </c>
      <c r="J30" s="448">
        <v>5940.0</v>
      </c>
      <c r="K30" s="449">
        <v>1.13967767E8</v>
      </c>
      <c r="L30" s="448" t="s">
        <v>1004</v>
      </c>
      <c r="M30" s="448" t="s">
        <v>1024</v>
      </c>
      <c r="N30" s="448">
        <v>295.0</v>
      </c>
      <c r="O30" s="448" t="s">
        <v>1065</v>
      </c>
      <c r="P30" s="448" t="s">
        <v>1063</v>
      </c>
      <c r="Q30" s="450">
        <v>45961.0</v>
      </c>
      <c r="R30" s="450">
        <v>45968.0</v>
      </c>
      <c r="S30" s="449">
        <v>9.517981928E9</v>
      </c>
      <c r="T30" s="448">
        <v>332.0</v>
      </c>
      <c r="U30" s="449">
        <v>6.32996633E8</v>
      </c>
      <c r="V30" s="450">
        <v>45962.0</v>
      </c>
      <c r="W30" s="450">
        <v>45989.0</v>
      </c>
    </row>
    <row r="31" ht="15.75" customHeight="1">
      <c r="A31" s="447" t="s">
        <v>1040</v>
      </c>
      <c r="B31" s="447" t="s">
        <v>1040</v>
      </c>
      <c r="C31" s="447" t="s">
        <v>1059</v>
      </c>
      <c r="D31" s="447" t="s">
        <v>1040</v>
      </c>
      <c r="E31" s="447" t="s">
        <v>1021</v>
      </c>
      <c r="F31" s="447" t="s">
        <v>1021</v>
      </c>
      <c r="G31" s="448" t="s">
        <v>1062</v>
      </c>
      <c r="H31" s="448" t="s">
        <v>1060</v>
      </c>
      <c r="I31" s="448">
        <v>5212.0</v>
      </c>
      <c r="J31" s="448">
        <v>5940.0</v>
      </c>
      <c r="K31" s="449">
        <v>1.13967767E8</v>
      </c>
      <c r="L31" s="448" t="s">
        <v>1004</v>
      </c>
      <c r="M31" s="448" t="s">
        <v>1024</v>
      </c>
      <c r="N31" s="448">
        <v>295.0</v>
      </c>
      <c r="O31" s="448" t="s">
        <v>1065</v>
      </c>
      <c r="P31" s="448" t="s">
        <v>1063</v>
      </c>
      <c r="Q31" s="450">
        <v>45961.0</v>
      </c>
      <c r="R31" s="450">
        <v>45968.0</v>
      </c>
      <c r="S31" s="449">
        <v>9.517981928E9</v>
      </c>
      <c r="T31" s="448">
        <v>332.0</v>
      </c>
      <c r="U31" s="449">
        <v>6.32996633E8</v>
      </c>
      <c r="V31" s="450">
        <v>45962.0</v>
      </c>
      <c r="W31" s="450">
        <v>45989.0</v>
      </c>
    </row>
    <row r="32" ht="15.75" customHeight="1">
      <c r="A32" s="447" t="s">
        <v>1040</v>
      </c>
      <c r="B32" s="447" t="s">
        <v>1040</v>
      </c>
      <c r="C32" s="447" t="s">
        <v>1059</v>
      </c>
      <c r="D32" s="447" t="s">
        <v>1040</v>
      </c>
      <c r="E32" s="447" t="s">
        <v>1061</v>
      </c>
      <c r="F32" s="447" t="s">
        <v>1021</v>
      </c>
      <c r="G32" s="448"/>
      <c r="H32" s="448"/>
      <c r="I32" s="448">
        <v>5212.0</v>
      </c>
      <c r="J32" s="448">
        <v>5940.0</v>
      </c>
      <c r="K32" s="449">
        <v>1.13967767E8</v>
      </c>
      <c r="L32" s="448" t="s">
        <v>1004</v>
      </c>
      <c r="M32" s="448" t="s">
        <v>1024</v>
      </c>
      <c r="N32" s="448">
        <v>295.0</v>
      </c>
      <c r="O32" s="448" t="s">
        <v>1065</v>
      </c>
      <c r="P32" s="448" t="s">
        <v>1063</v>
      </c>
      <c r="Q32" s="450">
        <v>45961.0</v>
      </c>
      <c r="R32" s="450">
        <v>45968.0</v>
      </c>
      <c r="S32" s="449">
        <v>9.517981928E9</v>
      </c>
      <c r="T32" s="448">
        <v>332.0</v>
      </c>
      <c r="U32" s="449">
        <v>6.32996633E8</v>
      </c>
      <c r="V32" s="450">
        <v>45962.0</v>
      </c>
      <c r="W32" s="450">
        <v>45989.0</v>
      </c>
    </row>
    <row r="33" ht="15.75" customHeight="1">
      <c r="A33" s="442" t="s">
        <v>1066</v>
      </c>
      <c r="B33" s="442" t="s">
        <v>1021</v>
      </c>
      <c r="C33" s="442" t="s">
        <v>1021</v>
      </c>
      <c r="D33" s="442" t="s">
        <v>1021</v>
      </c>
      <c r="E33" s="442" t="s">
        <v>1021</v>
      </c>
      <c r="F33" s="442" t="s">
        <v>1021</v>
      </c>
      <c r="G33" s="443" t="s">
        <v>1062</v>
      </c>
      <c r="H33" s="443" t="s">
        <v>1023</v>
      </c>
      <c r="I33" s="443">
        <v>3591.0</v>
      </c>
      <c r="J33" s="443">
        <v>5178.0</v>
      </c>
      <c r="K33" s="444">
        <v>1.44193818E8</v>
      </c>
      <c r="L33" s="443" t="s">
        <v>1004</v>
      </c>
      <c r="M33" s="443"/>
      <c r="N33" s="443"/>
      <c r="O33" s="443">
        <v>571701.0</v>
      </c>
      <c r="P33" s="443"/>
      <c r="Q33" s="443"/>
      <c r="R33" s="443"/>
      <c r="S33" s="444">
        <v>2.056478417E9</v>
      </c>
      <c r="T33" s="443">
        <v>278.0</v>
      </c>
      <c r="U33" s="444">
        <v>6.54692932E8</v>
      </c>
      <c r="V33" s="445">
        <v>45962.0</v>
      </c>
      <c r="W33" s="445">
        <v>45989.0</v>
      </c>
      <c r="X33" s="446"/>
      <c r="Y33" s="446"/>
      <c r="Z33" s="446"/>
      <c r="AA33" s="446"/>
      <c r="AB33" s="446"/>
      <c r="AC33" s="446"/>
      <c r="AD33" s="446"/>
      <c r="AE33" s="446"/>
      <c r="AF33" s="446"/>
      <c r="AG33" s="446"/>
    </row>
    <row r="34" ht="15.75" customHeight="1">
      <c r="A34" s="447" t="s">
        <v>1066</v>
      </c>
      <c r="B34" s="447" t="s">
        <v>1067</v>
      </c>
      <c r="C34" s="447" t="s">
        <v>1021</v>
      </c>
      <c r="D34" s="447" t="s">
        <v>1021</v>
      </c>
      <c r="E34" s="447" t="s">
        <v>1021</v>
      </c>
      <c r="F34" s="447" t="s">
        <v>1021</v>
      </c>
      <c r="G34" s="448" t="s">
        <v>1064</v>
      </c>
      <c r="H34" s="448" t="s">
        <v>1027</v>
      </c>
      <c r="I34" s="448">
        <v>3591.0</v>
      </c>
      <c r="J34" s="448">
        <v>5178.0</v>
      </c>
      <c r="K34" s="449">
        <v>1.44193818E8</v>
      </c>
      <c r="L34" s="448" t="s">
        <v>1004</v>
      </c>
      <c r="M34" s="448"/>
      <c r="N34" s="448"/>
      <c r="O34" s="448" t="s">
        <v>1068</v>
      </c>
      <c r="P34" s="448"/>
      <c r="Q34" s="450">
        <v>45966.0</v>
      </c>
      <c r="R34" s="450">
        <v>45991.0</v>
      </c>
      <c r="S34" s="449">
        <v>2.056478417E9</v>
      </c>
      <c r="T34" s="448">
        <v>278.0</v>
      </c>
      <c r="U34" s="449">
        <v>6.54692932E8</v>
      </c>
      <c r="V34" s="450">
        <v>45962.0</v>
      </c>
      <c r="W34" s="450">
        <v>45989.0</v>
      </c>
    </row>
    <row r="35" ht="15.75" customHeight="1">
      <c r="A35" s="447" t="s">
        <v>1066</v>
      </c>
      <c r="B35" s="447" t="s">
        <v>1067</v>
      </c>
      <c r="C35" s="447" t="s">
        <v>1059</v>
      </c>
      <c r="D35" s="447" t="s">
        <v>1021</v>
      </c>
      <c r="E35" s="447" t="s">
        <v>1021</v>
      </c>
      <c r="F35" s="447" t="s">
        <v>1021</v>
      </c>
      <c r="G35" s="448"/>
      <c r="H35" s="448"/>
      <c r="I35" s="448">
        <v>3591.0</v>
      </c>
      <c r="J35" s="448">
        <v>5178.0</v>
      </c>
      <c r="K35" s="449">
        <v>1.44193818E8</v>
      </c>
      <c r="L35" s="448" t="s">
        <v>1004</v>
      </c>
      <c r="M35" s="448"/>
      <c r="N35" s="448"/>
      <c r="O35" s="448" t="s">
        <v>1068</v>
      </c>
      <c r="P35" s="448"/>
      <c r="Q35" s="450">
        <v>45966.0</v>
      </c>
      <c r="R35" s="450">
        <v>45991.0</v>
      </c>
      <c r="S35" s="449">
        <v>2.056478417E9</v>
      </c>
      <c r="T35" s="448">
        <v>278.0</v>
      </c>
      <c r="U35" s="449">
        <v>6.54692932E8</v>
      </c>
      <c r="V35" s="450">
        <v>45962.0</v>
      </c>
      <c r="W35" s="450">
        <v>45989.0</v>
      </c>
    </row>
    <row r="36" ht="15.75" customHeight="1">
      <c r="A36" s="447" t="s">
        <v>1066</v>
      </c>
      <c r="B36" s="447" t="s">
        <v>1067</v>
      </c>
      <c r="C36" s="447" t="s">
        <v>1059</v>
      </c>
      <c r="D36" s="447" t="s">
        <v>1069</v>
      </c>
      <c r="E36" s="447" t="s">
        <v>1021</v>
      </c>
      <c r="F36" s="447" t="s">
        <v>1021</v>
      </c>
      <c r="G36" s="448" t="s">
        <v>1062</v>
      </c>
      <c r="H36" s="448" t="s">
        <v>1060</v>
      </c>
      <c r="I36" s="448">
        <v>3591.0</v>
      </c>
      <c r="J36" s="448">
        <v>5178.0</v>
      </c>
      <c r="K36" s="449">
        <v>1.44193818E8</v>
      </c>
      <c r="L36" s="448" t="s">
        <v>1004</v>
      </c>
      <c r="M36" s="448"/>
      <c r="N36" s="448"/>
      <c r="O36" s="448" t="s">
        <v>1068</v>
      </c>
      <c r="P36" s="448"/>
      <c r="Q36" s="450">
        <v>45966.0</v>
      </c>
      <c r="R36" s="450">
        <v>45991.0</v>
      </c>
      <c r="S36" s="449">
        <v>2.056478417E9</v>
      </c>
      <c r="T36" s="448">
        <v>278.0</v>
      </c>
      <c r="U36" s="449">
        <v>6.54692932E8</v>
      </c>
      <c r="V36" s="450">
        <v>45962.0</v>
      </c>
      <c r="W36" s="450">
        <v>45989.0</v>
      </c>
    </row>
    <row r="37" ht="15.75" customHeight="1">
      <c r="A37" s="447" t="s">
        <v>1066</v>
      </c>
      <c r="B37" s="447" t="s">
        <v>1067</v>
      </c>
      <c r="C37" s="447" t="s">
        <v>1059</v>
      </c>
      <c r="D37" s="447" t="s">
        <v>1069</v>
      </c>
      <c r="E37" s="447" t="s">
        <v>1061</v>
      </c>
      <c r="F37" s="447" t="s">
        <v>1021</v>
      </c>
      <c r="G37" s="448"/>
      <c r="H37" s="448"/>
      <c r="I37" s="448">
        <v>3591.0</v>
      </c>
      <c r="J37" s="448">
        <v>5178.0</v>
      </c>
      <c r="K37" s="449">
        <v>1.44193818E8</v>
      </c>
      <c r="L37" s="448" t="s">
        <v>1004</v>
      </c>
      <c r="M37" s="448"/>
      <c r="N37" s="448"/>
      <c r="O37" s="448" t="s">
        <v>1068</v>
      </c>
      <c r="P37" s="448"/>
      <c r="Q37" s="450">
        <v>45966.0</v>
      </c>
      <c r="R37" s="450">
        <v>45991.0</v>
      </c>
      <c r="S37" s="449">
        <v>2.056478417E9</v>
      </c>
      <c r="T37" s="448">
        <v>278.0</v>
      </c>
      <c r="U37" s="449">
        <v>6.54692932E8</v>
      </c>
      <c r="V37" s="450">
        <v>45962.0</v>
      </c>
      <c r="W37" s="450">
        <v>45989.0</v>
      </c>
    </row>
    <row r="38" ht="15.75" customHeight="1"/>
    <row r="39" ht="15.75" customHeight="1"/>
    <row r="40" ht="15.75" customHeight="1">
      <c r="A40" s="451"/>
      <c r="B40" s="451"/>
      <c r="C40" s="451"/>
      <c r="D40" s="451"/>
      <c r="E40" s="451"/>
      <c r="F40" s="451"/>
      <c r="G40" s="451"/>
      <c r="H40" s="451"/>
      <c r="I40" s="451"/>
      <c r="J40" s="451"/>
      <c r="K40" s="451"/>
      <c r="L40" s="451"/>
      <c r="M40" s="451"/>
      <c r="N40" s="451"/>
      <c r="O40" s="451"/>
      <c r="P40" s="451"/>
      <c r="Q40" s="451"/>
      <c r="R40" s="452" t="s">
        <v>1070</v>
      </c>
      <c r="S40" s="451"/>
      <c r="T40" s="451"/>
      <c r="U40" s="451"/>
      <c r="V40" s="451"/>
      <c r="W40" s="451"/>
      <c r="X40" s="451"/>
      <c r="Y40" s="451"/>
      <c r="Z40" s="451"/>
      <c r="AA40" s="451"/>
      <c r="AB40" s="451"/>
      <c r="AC40" s="451"/>
      <c r="AD40" s="451"/>
      <c r="AE40" s="451"/>
      <c r="AF40" s="451"/>
      <c r="AG40" s="451"/>
    </row>
    <row r="41" ht="15.75" customHeight="1">
      <c r="A41" s="441" t="s">
        <v>1005</v>
      </c>
      <c r="B41" s="441" t="s">
        <v>1006</v>
      </c>
      <c r="C41" s="441" t="s">
        <v>63</v>
      </c>
      <c r="D41" s="441" t="s">
        <v>1051</v>
      </c>
      <c r="E41" s="441" t="s">
        <v>1052</v>
      </c>
      <c r="F41" s="441" t="s">
        <v>1071</v>
      </c>
      <c r="G41" s="441" t="s">
        <v>1072</v>
      </c>
      <c r="H41" s="441" t="s">
        <v>33</v>
      </c>
      <c r="I41" s="441" t="s">
        <v>1073</v>
      </c>
      <c r="J41" s="441" t="s">
        <v>1007</v>
      </c>
      <c r="K41" s="441" t="s">
        <v>1008</v>
      </c>
      <c r="L41" s="441" t="s">
        <v>1009</v>
      </c>
      <c r="M41" s="441" t="s">
        <v>1010</v>
      </c>
      <c r="N41" s="441" t="s">
        <v>1011</v>
      </c>
      <c r="O41" s="441" t="s">
        <v>1003</v>
      </c>
      <c r="P41" s="441" t="s">
        <v>1012</v>
      </c>
      <c r="Q41" s="441" t="s">
        <v>1013</v>
      </c>
      <c r="R41" s="441" t="s">
        <v>1014</v>
      </c>
      <c r="S41" s="441" t="s">
        <v>1015</v>
      </c>
      <c r="T41" s="441" t="s">
        <v>1016</v>
      </c>
      <c r="U41" s="441" t="s">
        <v>1017</v>
      </c>
      <c r="V41" s="441" t="s">
        <v>1054</v>
      </c>
      <c r="W41" s="441" t="s">
        <v>1034</v>
      </c>
      <c r="X41" s="441" t="s">
        <v>1074</v>
      </c>
      <c r="Y41" s="441" t="s">
        <v>1055</v>
      </c>
      <c r="Z41" s="441" t="s">
        <v>1075</v>
      </c>
      <c r="AA41" s="441" t="s">
        <v>852</v>
      </c>
      <c r="AB41" s="441" t="s">
        <v>1076</v>
      </c>
      <c r="AC41" s="441" t="s">
        <v>1077</v>
      </c>
      <c r="AD41" s="441" t="s">
        <v>1078</v>
      </c>
      <c r="AE41" s="441" t="s">
        <v>1079</v>
      </c>
      <c r="AF41" s="441" t="s">
        <v>1018</v>
      </c>
      <c r="AG41" s="441" t="s">
        <v>1019</v>
      </c>
    </row>
    <row r="42" ht="15.75" customHeight="1">
      <c r="A42" s="447" t="s">
        <v>1080</v>
      </c>
      <c r="B42" s="447" t="s">
        <v>1021</v>
      </c>
      <c r="C42" s="447" t="s">
        <v>1021</v>
      </c>
      <c r="D42" s="447" t="s">
        <v>1021</v>
      </c>
      <c r="E42" s="447" t="s">
        <v>1021</v>
      </c>
      <c r="F42" s="447" t="s">
        <v>1021</v>
      </c>
      <c r="G42" s="447" t="s">
        <v>1021</v>
      </c>
      <c r="H42" s="447" t="s">
        <v>1021</v>
      </c>
      <c r="I42" s="447" t="s">
        <v>1021</v>
      </c>
      <c r="J42" s="448" t="s">
        <v>1022</v>
      </c>
      <c r="K42" s="448" t="s">
        <v>1023</v>
      </c>
      <c r="L42" s="448">
        <v>21816.0</v>
      </c>
      <c r="M42" s="448">
        <v>36237.0</v>
      </c>
      <c r="N42" s="449">
        <v>1.6610286E7</v>
      </c>
      <c r="O42" s="448" t="s">
        <v>1004</v>
      </c>
      <c r="P42" s="448" t="s">
        <v>1024</v>
      </c>
      <c r="Q42" s="448">
        <v>2471.0</v>
      </c>
      <c r="R42" s="448" t="s">
        <v>1081</v>
      </c>
      <c r="S42" s="448" t="s">
        <v>1082</v>
      </c>
      <c r="T42" s="448"/>
      <c r="U42" s="448"/>
      <c r="V42" s="449">
        <v>6.403548978E9</v>
      </c>
      <c r="W42" s="448">
        <v>3277.0</v>
      </c>
      <c r="X42" s="449">
        <v>5.790885007E9</v>
      </c>
      <c r="Y42" s="449">
        <v>1.191323785E9</v>
      </c>
      <c r="Z42" s="449">
        <v>6.81899716E8</v>
      </c>
      <c r="AA42" s="448">
        <v>14861.0</v>
      </c>
      <c r="AB42" s="448">
        <v>4317.0</v>
      </c>
      <c r="AC42" s="449">
        <v>4.860882557E9</v>
      </c>
      <c r="AD42" s="448"/>
      <c r="AE42" s="448"/>
      <c r="AF42" s="450">
        <v>45992.0</v>
      </c>
      <c r="AG42" s="450">
        <v>46022.0</v>
      </c>
    </row>
    <row r="43" ht="15.75" customHeight="1">
      <c r="A43" s="447" t="s">
        <v>1083</v>
      </c>
      <c r="B43" s="447" t="s">
        <v>1021</v>
      </c>
      <c r="C43" s="447" t="s">
        <v>1021</v>
      </c>
      <c r="D43" s="447" t="s">
        <v>1021</v>
      </c>
      <c r="E43" s="447" t="s">
        <v>1021</v>
      </c>
      <c r="F43" s="447" t="s">
        <v>1021</v>
      </c>
      <c r="G43" s="447" t="s">
        <v>1021</v>
      </c>
      <c r="H43" s="447" t="s">
        <v>1021</v>
      </c>
      <c r="I43" s="447" t="s">
        <v>1021</v>
      </c>
      <c r="J43" s="448" t="s">
        <v>1033</v>
      </c>
      <c r="K43" s="448" t="s">
        <v>1023</v>
      </c>
      <c r="L43" s="448">
        <v>20046.0</v>
      </c>
      <c r="M43" s="448">
        <v>33890.0</v>
      </c>
      <c r="N43" s="449">
        <v>1.69061159E8</v>
      </c>
      <c r="O43" s="448" t="s">
        <v>1004</v>
      </c>
      <c r="P43" s="448" t="s">
        <v>1024</v>
      </c>
      <c r="Q43" s="448">
        <v>605.0</v>
      </c>
      <c r="R43" s="448" t="s">
        <v>1084</v>
      </c>
      <c r="S43" s="453" t="s">
        <v>1085</v>
      </c>
      <c r="T43" s="448"/>
      <c r="U43" s="448"/>
      <c r="V43" s="449">
        <v>1.089668937E9</v>
      </c>
      <c r="W43" s="448">
        <v>734.0</v>
      </c>
      <c r="X43" s="449">
        <v>2.360038359E9</v>
      </c>
      <c r="Y43" s="449">
        <v>2.44319858E8</v>
      </c>
      <c r="Z43" s="449">
        <v>1.78518737E8</v>
      </c>
      <c r="AA43" s="448">
        <v>33934.0</v>
      </c>
      <c r="AB43" s="448">
        <v>828.0</v>
      </c>
      <c r="AC43" s="449">
        <v>9.659625604E9</v>
      </c>
      <c r="AD43" s="448"/>
      <c r="AE43" s="448"/>
      <c r="AF43" s="450">
        <v>45992.0</v>
      </c>
      <c r="AG43" s="450">
        <v>46022.0</v>
      </c>
    </row>
    <row r="44" ht="15.75" customHeight="1">
      <c r="A44" s="447" t="s">
        <v>1086</v>
      </c>
      <c r="B44" s="447" t="s">
        <v>1021</v>
      </c>
      <c r="C44" s="447" t="s">
        <v>1021</v>
      </c>
      <c r="D44" s="447" t="s">
        <v>1021</v>
      </c>
      <c r="E44" s="447" t="s">
        <v>1021</v>
      </c>
      <c r="F44" s="447" t="s">
        <v>1021</v>
      </c>
      <c r="G44" s="447" t="s">
        <v>1021</v>
      </c>
      <c r="H44" s="447" t="s">
        <v>1021</v>
      </c>
      <c r="I44" s="447" t="s">
        <v>1021</v>
      </c>
      <c r="J44" s="448" t="s">
        <v>1022</v>
      </c>
      <c r="K44" s="448" t="s">
        <v>1023</v>
      </c>
      <c r="L44" s="448">
        <v>16835.0</v>
      </c>
      <c r="M44" s="448">
        <v>28399.0</v>
      </c>
      <c r="N44" s="449">
        <v>1.68690229E8</v>
      </c>
      <c r="O44" s="448" t="s">
        <v>1004</v>
      </c>
      <c r="P44" s="448" t="s">
        <v>1024</v>
      </c>
      <c r="Q44" s="448">
        <v>556.0</v>
      </c>
      <c r="R44" s="448" t="s">
        <v>1087</v>
      </c>
      <c r="S44" s="448" t="s">
        <v>1088</v>
      </c>
      <c r="T44" s="448"/>
      <c r="U44" s="448"/>
      <c r="V44" s="449">
        <v>1.031016224E9</v>
      </c>
      <c r="W44" s="448">
        <v>678.0</v>
      </c>
      <c r="X44" s="449">
        <v>2.461456389E9</v>
      </c>
      <c r="Y44" s="449">
        <v>4.35930843E8</v>
      </c>
      <c r="Z44" s="449">
        <v>1.95781542E8</v>
      </c>
      <c r="AA44" s="448">
        <v>29891.0</v>
      </c>
      <c r="AB44" s="448">
        <v>1238.0</v>
      </c>
      <c r="AC44" s="449">
        <v>5.646437803E9</v>
      </c>
      <c r="AD44" s="448"/>
      <c r="AE44" s="448"/>
      <c r="AF44" s="450">
        <v>45992.0</v>
      </c>
      <c r="AG44" s="450">
        <v>46022.0</v>
      </c>
    </row>
    <row r="45" ht="15.75" customHeight="1">
      <c r="A45" s="447" t="s">
        <v>1089</v>
      </c>
      <c r="B45" s="447" t="s">
        <v>1021</v>
      </c>
      <c r="C45" s="447" t="s">
        <v>1021</v>
      </c>
      <c r="D45" s="447" t="s">
        <v>1021</v>
      </c>
      <c r="E45" s="447" t="s">
        <v>1021</v>
      </c>
      <c r="F45" s="447" t="s">
        <v>1021</v>
      </c>
      <c r="G45" s="447" t="s">
        <v>1021</v>
      </c>
      <c r="H45" s="447" t="s">
        <v>1021</v>
      </c>
      <c r="I45" s="447" t="s">
        <v>1021</v>
      </c>
      <c r="J45" s="448" t="s">
        <v>1033</v>
      </c>
      <c r="K45" s="448" t="s">
        <v>1023</v>
      </c>
      <c r="L45" s="448">
        <v>10260.0</v>
      </c>
      <c r="M45" s="448">
        <v>14190.0</v>
      </c>
      <c r="N45" s="449">
        <v>1.38304094E8</v>
      </c>
      <c r="O45" s="448" t="s">
        <v>97</v>
      </c>
      <c r="P45" s="448" t="s">
        <v>1024</v>
      </c>
      <c r="Q45" s="448">
        <v>335.0</v>
      </c>
      <c r="R45" s="448" t="s">
        <v>1090</v>
      </c>
      <c r="S45" s="448" t="s">
        <v>1091</v>
      </c>
      <c r="T45" s="448"/>
      <c r="U45" s="448"/>
      <c r="V45" s="449">
        <v>1.030540052E9</v>
      </c>
      <c r="W45" s="448">
        <v>387.0</v>
      </c>
      <c r="X45" s="449">
        <v>2.810563777E9</v>
      </c>
      <c r="Y45" s="449">
        <v>4.0944327E7</v>
      </c>
      <c r="Z45" s="449">
        <v>2.36081748E8</v>
      </c>
      <c r="AA45" s="448">
        <v>14274.0</v>
      </c>
      <c r="AB45" s="448">
        <v>581.0</v>
      </c>
      <c r="AC45" s="449">
        <v>6.864354561E9</v>
      </c>
      <c r="AD45" s="448"/>
      <c r="AE45" s="448"/>
      <c r="AF45" s="450">
        <v>45992.0</v>
      </c>
      <c r="AG45" s="450">
        <v>46022.0</v>
      </c>
    </row>
    <row r="46" ht="15.75" customHeight="1">
      <c r="A46" s="447" t="s">
        <v>1092</v>
      </c>
      <c r="B46" s="447" t="s">
        <v>1021</v>
      </c>
      <c r="C46" s="447" t="s">
        <v>1021</v>
      </c>
      <c r="D46" s="447" t="s">
        <v>1021</v>
      </c>
      <c r="E46" s="447" t="s">
        <v>1021</v>
      </c>
      <c r="F46" s="447" t="s">
        <v>1021</v>
      </c>
      <c r="G46" s="447" t="s">
        <v>1021</v>
      </c>
      <c r="H46" s="447" t="s">
        <v>1021</v>
      </c>
      <c r="I46" s="447" t="s">
        <v>1021</v>
      </c>
      <c r="J46" s="448" t="s">
        <v>1041</v>
      </c>
      <c r="K46" s="448" t="s">
        <v>1023</v>
      </c>
      <c r="L46" s="448">
        <v>7250.0</v>
      </c>
      <c r="M46" s="448">
        <v>9772.0</v>
      </c>
      <c r="N46" s="449">
        <v>1.34786207E8</v>
      </c>
      <c r="O46" s="448" t="s">
        <v>1004</v>
      </c>
      <c r="P46" s="448" t="s">
        <v>1024</v>
      </c>
      <c r="Q46" s="448">
        <v>240.0</v>
      </c>
      <c r="R46" s="448" t="s">
        <v>1093</v>
      </c>
      <c r="S46" s="448" t="s">
        <v>1094</v>
      </c>
      <c r="T46" s="448"/>
      <c r="U46" s="448"/>
      <c r="V46" s="449">
        <v>7.050457143E9</v>
      </c>
      <c r="W46" s="448">
        <v>350.0</v>
      </c>
      <c r="X46" s="449">
        <v>2.525235366E9</v>
      </c>
      <c r="Y46" s="449">
        <v>6.69259108E8</v>
      </c>
      <c r="Z46" s="449">
        <v>2.45599673E8</v>
      </c>
      <c r="AA46" s="448">
        <v>9807.0</v>
      </c>
      <c r="AB46" s="448">
        <v>654.0</v>
      </c>
      <c r="AC46" s="449">
        <v>3.773180428E9</v>
      </c>
      <c r="AD46" s="448"/>
      <c r="AE46" s="448"/>
      <c r="AF46" s="450">
        <v>45992.0</v>
      </c>
      <c r="AG46" s="450">
        <v>46022.0</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1:F1"/>
    <mergeCell ref="H17:J1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75"/>
    <col customWidth="1" min="2" max="2" width="16.63"/>
    <col customWidth="1" min="3" max="3" width="17.38"/>
    <col customWidth="1" min="4" max="4" width="15.88"/>
    <col customWidth="1" min="5" max="5" width="22.5"/>
    <col customWidth="1" min="6" max="6" width="14.88"/>
    <col customWidth="1" min="7" max="7" width="20.38"/>
    <col customWidth="1" min="8" max="8" width="19.88"/>
    <col customWidth="1" min="9" max="9" width="14.13"/>
    <col customWidth="1" min="10" max="10" width="15.75"/>
    <col customWidth="1" min="11" max="11" width="18.88"/>
    <col customWidth="1" min="12" max="12" width="20.75"/>
    <col customWidth="1" min="13" max="13" width="24.88"/>
    <col customWidth="1" min="14" max="14" width="13.5"/>
  </cols>
  <sheetData>
    <row r="1" ht="15.75" customHeight="1">
      <c r="A1" s="454" t="s">
        <v>33</v>
      </c>
      <c r="B1" s="455" t="s">
        <v>851</v>
      </c>
      <c r="C1" s="455" t="s">
        <v>984</v>
      </c>
      <c r="D1" s="455" t="s">
        <v>985</v>
      </c>
      <c r="E1" s="455" t="s">
        <v>986</v>
      </c>
      <c r="F1" s="456" t="s">
        <v>1095</v>
      </c>
      <c r="G1" s="456" t="s">
        <v>1096</v>
      </c>
      <c r="H1" s="455" t="s">
        <v>987</v>
      </c>
      <c r="I1" s="455" t="s">
        <v>988</v>
      </c>
      <c r="J1" s="455" t="s">
        <v>989</v>
      </c>
      <c r="K1" s="455" t="s">
        <v>990</v>
      </c>
      <c r="L1" s="455" t="s">
        <v>991</v>
      </c>
      <c r="M1" s="455" t="s">
        <v>992</v>
      </c>
      <c r="N1" s="456" t="s">
        <v>1097</v>
      </c>
      <c r="O1" s="456" t="s">
        <v>1098</v>
      </c>
    </row>
    <row r="2" ht="15.75" customHeight="1">
      <c r="A2" s="457">
        <v>45870.0</v>
      </c>
      <c r="B2" s="458">
        <v>1.0</v>
      </c>
      <c r="C2" s="459">
        <v>576000.0</v>
      </c>
      <c r="D2" s="459">
        <v>0.0</v>
      </c>
      <c r="E2" s="458">
        <v>576.0</v>
      </c>
      <c r="F2" s="460"/>
      <c r="G2" s="460"/>
      <c r="H2" s="458">
        <v>576000.0</v>
      </c>
      <c r="I2" s="459">
        <v>0.0</v>
      </c>
      <c r="J2" s="459">
        <v>0.0</v>
      </c>
      <c r="K2" s="458">
        <v>0.0</v>
      </c>
      <c r="L2" s="458">
        <v>576000.0</v>
      </c>
      <c r="M2" s="458" t="s">
        <v>874</v>
      </c>
      <c r="N2" s="461">
        <f t="shared" ref="N2:N146" si="1">MONTH(A2)</f>
        <v>8</v>
      </c>
      <c r="O2" s="461"/>
    </row>
    <row r="3" ht="15.75" customHeight="1">
      <c r="A3" s="457">
        <v>45876.0</v>
      </c>
      <c r="B3" s="458">
        <v>1.0</v>
      </c>
      <c r="C3" s="459">
        <v>576000.0</v>
      </c>
      <c r="D3" s="459">
        <v>0.0</v>
      </c>
      <c r="E3" s="458">
        <v>576.0</v>
      </c>
      <c r="F3" s="460"/>
      <c r="G3" s="460"/>
      <c r="H3" s="458">
        <v>576000.0</v>
      </c>
      <c r="I3" s="459">
        <v>0.0</v>
      </c>
      <c r="J3" s="459">
        <v>0.0</v>
      </c>
      <c r="K3" s="458">
        <v>0.0</v>
      </c>
      <c r="L3" s="458">
        <v>576000.0</v>
      </c>
      <c r="M3" s="458" t="s">
        <v>874</v>
      </c>
      <c r="N3" s="461">
        <f t="shared" si="1"/>
        <v>8</v>
      </c>
      <c r="O3" s="461"/>
    </row>
    <row r="4" ht="15.75" customHeight="1">
      <c r="A4" s="457">
        <v>45878.0</v>
      </c>
      <c r="B4" s="458">
        <v>1.0</v>
      </c>
      <c r="C4" s="459">
        <v>748000.0</v>
      </c>
      <c r="D4" s="459">
        <v>0.0</v>
      </c>
      <c r="E4" s="458">
        <v>748.0</v>
      </c>
      <c r="F4" s="460"/>
      <c r="G4" s="460"/>
      <c r="H4" s="458">
        <v>748000.0</v>
      </c>
      <c r="I4" s="459">
        <v>0.0</v>
      </c>
      <c r="J4" s="459">
        <v>0.0</v>
      </c>
      <c r="K4" s="458">
        <v>0.0</v>
      </c>
      <c r="L4" s="458">
        <v>748000.0</v>
      </c>
      <c r="M4" s="458" t="s">
        <v>874</v>
      </c>
      <c r="N4" s="461">
        <f t="shared" si="1"/>
        <v>8</v>
      </c>
      <c r="O4" s="461"/>
    </row>
    <row r="5" ht="15.75" customHeight="1">
      <c r="A5" s="457">
        <v>45881.0</v>
      </c>
      <c r="B5" s="458">
        <v>1.0</v>
      </c>
      <c r="C5" s="459">
        <v>1700000.0</v>
      </c>
      <c r="D5" s="459">
        <v>0.0</v>
      </c>
      <c r="E5" s="458">
        <v>1700000.0</v>
      </c>
      <c r="F5" s="460"/>
      <c r="G5" s="460"/>
      <c r="H5" s="458">
        <v>1700000.0</v>
      </c>
      <c r="I5" s="459">
        <v>0.0</v>
      </c>
      <c r="J5" s="459">
        <v>0.0</v>
      </c>
      <c r="K5" s="458">
        <v>0.0</v>
      </c>
      <c r="L5" s="458">
        <v>1700000.0</v>
      </c>
      <c r="M5" s="458" t="s">
        <v>874</v>
      </c>
      <c r="N5" s="461">
        <f t="shared" si="1"/>
        <v>8</v>
      </c>
      <c r="O5" s="461"/>
    </row>
    <row r="6" ht="15.75" customHeight="1">
      <c r="A6" s="457">
        <v>45883.0</v>
      </c>
      <c r="B6" s="458">
        <v>2.0</v>
      </c>
      <c r="C6" s="459">
        <v>1611000.0</v>
      </c>
      <c r="D6" s="459">
        <v>0.0</v>
      </c>
      <c r="E6" s="458">
        <v>1611000.0</v>
      </c>
      <c r="F6" s="460"/>
      <c r="G6" s="460"/>
      <c r="H6" s="458">
        <v>1611000.0</v>
      </c>
      <c r="I6" s="459">
        <v>0.0</v>
      </c>
      <c r="J6" s="459">
        <v>0.0</v>
      </c>
      <c r="K6" s="458">
        <v>666.0</v>
      </c>
      <c r="L6" s="458">
        <v>945000.0</v>
      </c>
      <c r="M6" s="458" t="s">
        <v>1099</v>
      </c>
      <c r="N6" s="461">
        <f t="shared" si="1"/>
        <v>8</v>
      </c>
      <c r="O6" s="461"/>
    </row>
    <row r="7" ht="15.75" customHeight="1">
      <c r="A7" s="457">
        <v>45889.0</v>
      </c>
      <c r="B7" s="458">
        <v>1.0</v>
      </c>
      <c r="C7" s="459">
        <v>302167.0</v>
      </c>
      <c r="D7" s="459">
        <v>0.0</v>
      </c>
      <c r="E7" s="458">
        <v>302167.0</v>
      </c>
      <c r="F7" s="460"/>
      <c r="G7" s="460"/>
      <c r="H7" s="458">
        <v>302167.0</v>
      </c>
      <c r="I7" s="459">
        <v>0.0</v>
      </c>
      <c r="J7" s="459">
        <v>0.0</v>
      </c>
      <c r="K7" s="458">
        <v>0.0</v>
      </c>
      <c r="L7" s="458">
        <v>302167.0</v>
      </c>
      <c r="M7" s="458" t="s">
        <v>874</v>
      </c>
      <c r="N7" s="461">
        <f t="shared" si="1"/>
        <v>8</v>
      </c>
      <c r="O7" s="461"/>
    </row>
    <row r="8" ht="15.75" customHeight="1">
      <c r="A8" s="457">
        <v>45891.0</v>
      </c>
      <c r="B8" s="458">
        <v>1.0</v>
      </c>
      <c r="C8" s="459">
        <v>945000.0</v>
      </c>
      <c r="D8" s="459">
        <v>0.0</v>
      </c>
      <c r="E8" s="458">
        <v>945000.0</v>
      </c>
      <c r="F8" s="460"/>
      <c r="G8" s="460"/>
      <c r="H8" s="458">
        <v>945000.0</v>
      </c>
      <c r="I8" s="459">
        <v>945.0</v>
      </c>
      <c r="J8" s="459">
        <v>0.0</v>
      </c>
      <c r="K8" s="458">
        <v>0.0</v>
      </c>
      <c r="L8" s="458">
        <v>945000.0</v>
      </c>
      <c r="M8" s="458" t="s">
        <v>874</v>
      </c>
      <c r="N8" s="461">
        <f t="shared" si="1"/>
        <v>8</v>
      </c>
      <c r="O8" s="461"/>
    </row>
    <row r="9" ht="15.75" customHeight="1">
      <c r="A9" s="457">
        <v>45897.0</v>
      </c>
      <c r="B9" s="458">
        <v>1.0</v>
      </c>
      <c r="C9" s="459">
        <v>1158000.0</v>
      </c>
      <c r="D9" s="459">
        <v>0.0</v>
      </c>
      <c r="E9" s="458">
        <v>1158000.0</v>
      </c>
      <c r="F9" s="460"/>
      <c r="G9" s="460"/>
      <c r="H9" s="458">
        <v>1158000.0</v>
      </c>
      <c r="I9" s="459">
        <v>0.0</v>
      </c>
      <c r="J9" s="459">
        <v>0.0</v>
      </c>
      <c r="K9" s="458">
        <v>0.0</v>
      </c>
      <c r="L9" s="458">
        <v>1158000.0</v>
      </c>
      <c r="M9" s="458" t="s">
        <v>874</v>
      </c>
      <c r="N9" s="461">
        <f t="shared" si="1"/>
        <v>8</v>
      </c>
      <c r="O9" s="461"/>
    </row>
    <row r="10" ht="15.75" customHeight="1">
      <c r="A10" s="457">
        <v>45900.0</v>
      </c>
      <c r="B10" s="458">
        <v>1.0</v>
      </c>
      <c r="C10" s="459">
        <v>1154222.0</v>
      </c>
      <c r="D10" s="459"/>
      <c r="E10" s="458"/>
      <c r="F10" s="460"/>
      <c r="G10" s="460"/>
      <c r="H10" s="458"/>
      <c r="I10" s="459"/>
      <c r="J10" s="459"/>
      <c r="K10" s="458"/>
      <c r="L10" s="458"/>
      <c r="M10" s="458"/>
      <c r="N10" s="461">
        <f t="shared" si="1"/>
        <v>8</v>
      </c>
      <c r="O10" s="461"/>
    </row>
    <row r="11" ht="15.75" customHeight="1">
      <c r="A11" s="462">
        <v>45903.0</v>
      </c>
      <c r="B11" s="463">
        <v>1.0</v>
      </c>
      <c r="C11" s="464">
        <v>776741.0</v>
      </c>
      <c r="D11" s="464">
        <v>0.0</v>
      </c>
      <c r="E11" s="463">
        <v>776741.0</v>
      </c>
      <c r="F11" s="465">
        <v>0.0</v>
      </c>
      <c r="G11" s="465">
        <v>0.0</v>
      </c>
      <c r="H11" s="463">
        <v>776741.0</v>
      </c>
      <c r="I11" s="464">
        <v>0.0</v>
      </c>
      <c r="J11" s="464">
        <v>0.0</v>
      </c>
      <c r="K11" s="463">
        <v>0.0</v>
      </c>
      <c r="L11" s="463">
        <v>776741.0</v>
      </c>
      <c r="M11" s="463" t="s">
        <v>874</v>
      </c>
      <c r="N11" s="461">
        <f t="shared" si="1"/>
        <v>9</v>
      </c>
      <c r="O11" s="461"/>
    </row>
    <row r="12" ht="15.75" customHeight="1">
      <c r="A12" s="462">
        <v>45905.0</v>
      </c>
      <c r="B12" s="463">
        <v>1.0</v>
      </c>
      <c r="C12" s="464">
        <v>996000.0</v>
      </c>
      <c r="D12" s="464">
        <v>0.0</v>
      </c>
      <c r="E12" s="463">
        <v>996000.0</v>
      </c>
      <c r="F12" s="465">
        <v>0.0</v>
      </c>
      <c r="G12" s="465">
        <v>0.0</v>
      </c>
      <c r="H12" s="463">
        <v>996000.0</v>
      </c>
      <c r="I12" s="464">
        <v>0.0</v>
      </c>
      <c r="J12" s="464">
        <v>0.0</v>
      </c>
      <c r="K12" s="463">
        <v>0.0</v>
      </c>
      <c r="L12" s="463">
        <v>996000.0</v>
      </c>
      <c r="M12" s="463" t="s">
        <v>874</v>
      </c>
      <c r="N12" s="461">
        <f t="shared" si="1"/>
        <v>9</v>
      </c>
      <c r="O12" s="461"/>
    </row>
    <row r="13" ht="15.75" customHeight="1">
      <c r="A13" s="462">
        <v>45926.0</v>
      </c>
      <c r="B13" s="463">
        <v>1.0</v>
      </c>
      <c r="C13" s="464">
        <v>80000.0</v>
      </c>
      <c r="D13" s="464">
        <v>0.0</v>
      </c>
      <c r="E13" s="463">
        <v>80000.0</v>
      </c>
      <c r="F13" s="465">
        <v>0.0</v>
      </c>
      <c r="G13" s="465">
        <v>0.0</v>
      </c>
      <c r="H13" s="463">
        <v>80000.0</v>
      </c>
      <c r="I13" s="464">
        <v>0.0</v>
      </c>
      <c r="J13" s="464">
        <v>0.0</v>
      </c>
      <c r="K13" s="463">
        <v>0.0</v>
      </c>
      <c r="L13" s="463">
        <v>80000.0</v>
      </c>
      <c r="M13" s="463" t="s">
        <v>874</v>
      </c>
      <c r="N13" s="461">
        <f t="shared" si="1"/>
        <v>9</v>
      </c>
      <c r="O13" s="461"/>
    </row>
    <row r="14" ht="15.75" customHeight="1">
      <c r="A14" s="466">
        <v>45931.0</v>
      </c>
      <c r="B14" s="467">
        <v>1.0</v>
      </c>
      <c r="C14" s="468">
        <v>482444.0</v>
      </c>
      <c r="D14" s="468">
        <v>0.0</v>
      </c>
      <c r="E14" s="469">
        <v>482444.0</v>
      </c>
      <c r="F14" s="460"/>
      <c r="G14" s="460"/>
      <c r="H14" s="469">
        <v>482444.0</v>
      </c>
      <c r="I14" s="468">
        <v>0.0</v>
      </c>
      <c r="J14" s="468">
        <v>0.0</v>
      </c>
      <c r="K14" s="463"/>
      <c r="L14" s="463"/>
      <c r="M14" s="463"/>
      <c r="N14" s="461">
        <f t="shared" si="1"/>
        <v>10</v>
      </c>
      <c r="O14" s="461"/>
    </row>
    <row r="15" ht="15.75" customHeight="1">
      <c r="A15" s="466">
        <v>45932.0</v>
      </c>
      <c r="B15" s="467">
        <v>2.0</v>
      </c>
      <c r="C15" s="468">
        <v>1158778.0</v>
      </c>
      <c r="D15" s="468">
        <v>0.0</v>
      </c>
      <c r="E15" s="469">
        <v>1158778.0</v>
      </c>
      <c r="F15" s="460"/>
      <c r="G15" s="460"/>
      <c r="H15" s="469">
        <v>1158778.0</v>
      </c>
      <c r="I15" s="468">
        <v>0.0</v>
      </c>
      <c r="J15" s="468">
        <v>0.0</v>
      </c>
      <c r="K15" s="463"/>
      <c r="L15" s="463"/>
      <c r="M15" s="463"/>
      <c r="N15" s="461">
        <f t="shared" si="1"/>
        <v>10</v>
      </c>
      <c r="O15" s="461"/>
    </row>
    <row r="16" ht="15.75" customHeight="1">
      <c r="A16" s="466">
        <v>45933.0</v>
      </c>
      <c r="B16" s="467">
        <v>1.0</v>
      </c>
      <c r="C16" s="468">
        <v>826000.0</v>
      </c>
      <c r="D16" s="468">
        <v>0.0</v>
      </c>
      <c r="E16" s="469">
        <v>826000.0</v>
      </c>
      <c r="F16" s="460"/>
      <c r="G16" s="460"/>
      <c r="H16" s="469">
        <v>826000.0</v>
      </c>
      <c r="I16" s="468">
        <v>0.0</v>
      </c>
      <c r="J16" s="468">
        <v>0.0</v>
      </c>
      <c r="K16" s="463"/>
      <c r="L16" s="463"/>
      <c r="M16" s="463"/>
      <c r="N16" s="461">
        <f t="shared" si="1"/>
        <v>10</v>
      </c>
      <c r="O16" s="461"/>
    </row>
    <row r="17" ht="15.75" customHeight="1">
      <c r="A17" s="470">
        <v>45935.0</v>
      </c>
      <c r="B17" s="471">
        <v>1.0</v>
      </c>
      <c r="C17" s="472">
        <v>945000.0</v>
      </c>
      <c r="D17" s="468"/>
      <c r="E17" s="473">
        <v>945000.0</v>
      </c>
      <c r="F17" s="474"/>
      <c r="G17" s="474"/>
      <c r="H17" s="473">
        <v>945000.0</v>
      </c>
      <c r="I17" s="468"/>
      <c r="J17" s="468"/>
      <c r="K17" s="463"/>
      <c r="L17" s="463"/>
      <c r="M17" s="463"/>
      <c r="N17" s="461">
        <f t="shared" si="1"/>
        <v>10</v>
      </c>
      <c r="O17" s="461"/>
    </row>
    <row r="18" ht="15.75" customHeight="1">
      <c r="A18" s="470">
        <v>45939.0</v>
      </c>
      <c r="B18" s="471">
        <v>1.0</v>
      </c>
      <c r="C18" s="472">
        <v>557556.0</v>
      </c>
      <c r="D18" s="472">
        <v>0.0</v>
      </c>
      <c r="E18" s="473">
        <v>557556.0</v>
      </c>
      <c r="F18" s="475">
        <v>0.0</v>
      </c>
      <c r="G18" s="475">
        <v>0.0</v>
      </c>
      <c r="H18" s="473">
        <v>557.556</v>
      </c>
      <c r="I18" s="472">
        <v>0.0</v>
      </c>
      <c r="J18" s="472">
        <v>0.0</v>
      </c>
      <c r="K18" s="473">
        <v>0.0</v>
      </c>
      <c r="L18" s="473">
        <v>557.556</v>
      </c>
      <c r="M18" s="476">
        <v>1.0</v>
      </c>
      <c r="N18" s="461">
        <f t="shared" si="1"/>
        <v>10</v>
      </c>
      <c r="O18" s="461"/>
    </row>
    <row r="19" ht="15.75" customHeight="1">
      <c r="A19" s="466">
        <v>45942.0</v>
      </c>
      <c r="B19" s="467">
        <v>1.0</v>
      </c>
      <c r="C19" s="468">
        <v>749000.0</v>
      </c>
      <c r="D19" s="468">
        <v>0.0</v>
      </c>
      <c r="E19" s="469">
        <v>749000.0</v>
      </c>
      <c r="F19" s="477">
        <v>0.0</v>
      </c>
      <c r="G19" s="477">
        <v>0.0</v>
      </c>
      <c r="H19" s="469">
        <v>749.0</v>
      </c>
      <c r="I19" s="468">
        <v>0.0</v>
      </c>
      <c r="J19" s="468">
        <v>0.0</v>
      </c>
      <c r="K19" s="469">
        <v>0.0</v>
      </c>
      <c r="L19" s="469">
        <v>749000.0</v>
      </c>
      <c r="M19" s="478">
        <v>1.0</v>
      </c>
      <c r="N19" s="461">
        <f t="shared" si="1"/>
        <v>10</v>
      </c>
      <c r="O19" s="461"/>
    </row>
    <row r="20" ht="15.75" customHeight="1">
      <c r="A20" s="466">
        <v>45949.0</v>
      </c>
      <c r="B20" s="467">
        <v>1.0</v>
      </c>
      <c r="C20" s="468">
        <v>683222.0</v>
      </c>
      <c r="D20" s="468">
        <v>0.0</v>
      </c>
      <c r="E20" s="469"/>
      <c r="F20" s="477"/>
      <c r="G20" s="477"/>
      <c r="H20" s="469"/>
      <c r="I20" s="468"/>
      <c r="J20" s="468"/>
      <c r="K20" s="469"/>
      <c r="L20" s="469"/>
      <c r="M20" s="478"/>
      <c r="N20" s="461">
        <f t="shared" si="1"/>
        <v>10</v>
      </c>
      <c r="O20" s="461"/>
    </row>
    <row r="21" ht="15.75" customHeight="1">
      <c r="A21" s="466">
        <v>45950.0</v>
      </c>
      <c r="B21" s="467"/>
      <c r="C21" s="468"/>
      <c r="D21" s="468"/>
      <c r="E21" s="469"/>
      <c r="F21" s="477"/>
      <c r="G21" s="477"/>
      <c r="H21" s="469"/>
      <c r="I21" s="468"/>
      <c r="J21" s="468"/>
      <c r="K21" s="469"/>
      <c r="L21" s="469"/>
      <c r="M21" s="478"/>
      <c r="N21" s="461">
        <f t="shared" si="1"/>
        <v>10</v>
      </c>
      <c r="O21" s="461"/>
    </row>
    <row r="22" ht="15.75" customHeight="1">
      <c r="A22" s="466">
        <v>45951.0</v>
      </c>
      <c r="B22" s="467">
        <v>1.0</v>
      </c>
      <c r="C22" s="468">
        <v>996000.0</v>
      </c>
      <c r="D22" s="468"/>
      <c r="E22" s="469">
        <v>996000.0</v>
      </c>
      <c r="F22" s="477"/>
      <c r="G22" s="477"/>
      <c r="H22" s="469"/>
      <c r="I22" s="468"/>
      <c r="J22" s="468"/>
      <c r="K22" s="469"/>
      <c r="L22" s="469"/>
      <c r="M22" s="478"/>
      <c r="N22" s="461">
        <f t="shared" si="1"/>
        <v>10</v>
      </c>
      <c r="O22" s="461"/>
    </row>
    <row r="23" ht="15.75" customHeight="1">
      <c r="A23" s="466">
        <v>45952.0</v>
      </c>
      <c r="B23" s="467"/>
      <c r="C23" s="468"/>
      <c r="D23" s="468"/>
      <c r="E23" s="469"/>
      <c r="F23" s="477"/>
      <c r="G23" s="477"/>
      <c r="H23" s="469"/>
      <c r="I23" s="468"/>
      <c r="J23" s="468"/>
      <c r="K23" s="469"/>
      <c r="L23" s="469"/>
      <c r="M23" s="478"/>
      <c r="N23" s="461">
        <f t="shared" si="1"/>
        <v>10</v>
      </c>
      <c r="O23" s="461"/>
    </row>
    <row r="24" ht="15.75" customHeight="1">
      <c r="A24" s="466">
        <v>45953.0</v>
      </c>
      <c r="B24" s="467">
        <v>1.0</v>
      </c>
      <c r="C24" s="468">
        <v>666000.0</v>
      </c>
      <c r="D24" s="468"/>
      <c r="E24" s="469">
        <v>666000.0</v>
      </c>
      <c r="F24" s="477"/>
      <c r="G24" s="477"/>
      <c r="H24" s="469"/>
      <c r="I24" s="468"/>
      <c r="J24" s="468"/>
      <c r="K24" s="469"/>
      <c r="L24" s="469"/>
      <c r="M24" s="478"/>
      <c r="N24" s="461">
        <f t="shared" si="1"/>
        <v>10</v>
      </c>
      <c r="O24" s="461" t="s">
        <v>1100</v>
      </c>
    </row>
    <row r="25" ht="15.75" customHeight="1">
      <c r="A25" s="466">
        <v>45954.0</v>
      </c>
      <c r="B25" s="467"/>
      <c r="C25" s="468"/>
      <c r="D25" s="468"/>
      <c r="E25" s="469"/>
      <c r="F25" s="477"/>
      <c r="G25" s="477"/>
      <c r="H25" s="469"/>
      <c r="I25" s="468"/>
      <c r="J25" s="468"/>
      <c r="K25" s="469"/>
      <c r="L25" s="469"/>
      <c r="M25" s="478"/>
      <c r="N25" s="461">
        <f t="shared" si="1"/>
        <v>10</v>
      </c>
      <c r="O25" s="461"/>
    </row>
    <row r="26" ht="15.75" customHeight="1">
      <c r="A26" s="466">
        <v>45955.0</v>
      </c>
      <c r="B26" s="467">
        <v>1.0</v>
      </c>
      <c r="C26" s="468">
        <v>826000.0</v>
      </c>
      <c r="D26" s="468"/>
      <c r="E26" s="469">
        <v>826000.0</v>
      </c>
      <c r="F26" s="477"/>
      <c r="G26" s="477"/>
      <c r="H26" s="469"/>
      <c r="I26" s="468"/>
      <c r="J26" s="468"/>
      <c r="K26" s="469"/>
      <c r="L26" s="469"/>
      <c r="M26" s="478"/>
      <c r="N26" s="461">
        <f t="shared" si="1"/>
        <v>10</v>
      </c>
      <c r="O26" s="461"/>
    </row>
    <row r="27" ht="15.75" customHeight="1">
      <c r="A27" s="466">
        <v>45956.0</v>
      </c>
      <c r="B27" s="467"/>
      <c r="C27" s="468"/>
      <c r="D27" s="468"/>
      <c r="E27" s="469"/>
      <c r="F27" s="477"/>
      <c r="G27" s="477"/>
      <c r="H27" s="469"/>
      <c r="I27" s="468"/>
      <c r="J27" s="468"/>
      <c r="K27" s="469"/>
      <c r="L27" s="469"/>
      <c r="M27" s="478"/>
      <c r="N27" s="461">
        <f t="shared" si="1"/>
        <v>10</v>
      </c>
      <c r="O27" s="461"/>
    </row>
    <row r="28" ht="15.75" customHeight="1">
      <c r="A28" s="466">
        <v>45957.0</v>
      </c>
      <c r="B28" s="467"/>
      <c r="C28" s="468"/>
      <c r="D28" s="468"/>
      <c r="E28" s="469"/>
      <c r="F28" s="477"/>
      <c r="G28" s="477"/>
      <c r="H28" s="469"/>
      <c r="I28" s="468"/>
      <c r="J28" s="468"/>
      <c r="K28" s="469"/>
      <c r="L28" s="469"/>
      <c r="M28" s="478"/>
      <c r="N28" s="461">
        <f t="shared" si="1"/>
        <v>10</v>
      </c>
      <c r="O28" s="461"/>
    </row>
    <row r="29" ht="15.75" customHeight="1">
      <c r="A29" s="466">
        <v>45958.0</v>
      </c>
      <c r="B29" s="467">
        <v>1.0</v>
      </c>
      <c r="C29" s="468">
        <v>683222.0</v>
      </c>
      <c r="D29" s="468"/>
      <c r="E29" s="469">
        <v>683222.0</v>
      </c>
      <c r="F29" s="477"/>
      <c r="G29" s="477"/>
      <c r="H29" s="469"/>
      <c r="I29" s="468"/>
      <c r="J29" s="468"/>
      <c r="K29" s="469"/>
      <c r="L29" s="469"/>
      <c r="M29" s="478"/>
      <c r="N29" s="461">
        <f t="shared" si="1"/>
        <v>10</v>
      </c>
      <c r="O29" s="461"/>
    </row>
    <row r="30" ht="15.75" customHeight="1">
      <c r="A30" s="466">
        <v>45959.0</v>
      </c>
      <c r="B30" s="467"/>
      <c r="C30" s="468"/>
      <c r="D30" s="468"/>
      <c r="E30" s="469"/>
      <c r="F30" s="477"/>
      <c r="G30" s="477"/>
      <c r="H30" s="469"/>
      <c r="I30" s="468"/>
      <c r="J30" s="468"/>
      <c r="K30" s="469"/>
      <c r="L30" s="469"/>
      <c r="M30" s="478"/>
      <c r="N30" s="461">
        <f t="shared" si="1"/>
        <v>10</v>
      </c>
      <c r="O30" s="461"/>
    </row>
    <row r="31" ht="15.75" customHeight="1">
      <c r="A31" s="466">
        <v>45960.0</v>
      </c>
      <c r="B31" s="467"/>
      <c r="C31" s="468"/>
      <c r="D31" s="468"/>
      <c r="E31" s="469"/>
      <c r="F31" s="477"/>
      <c r="G31" s="477"/>
      <c r="H31" s="469"/>
      <c r="I31" s="468"/>
      <c r="J31" s="468"/>
      <c r="K31" s="469"/>
      <c r="L31" s="469"/>
      <c r="M31" s="478"/>
      <c r="N31" s="461">
        <f t="shared" si="1"/>
        <v>10</v>
      </c>
      <c r="O31" s="461"/>
    </row>
    <row r="32" ht="15.75" customHeight="1">
      <c r="A32" s="466">
        <v>45961.0</v>
      </c>
      <c r="B32" s="467"/>
      <c r="C32" s="468"/>
      <c r="D32" s="468"/>
      <c r="E32" s="469"/>
      <c r="F32" s="477"/>
      <c r="G32" s="477"/>
      <c r="H32" s="469"/>
      <c r="I32" s="468"/>
      <c r="J32" s="468"/>
      <c r="K32" s="469"/>
      <c r="L32" s="469"/>
      <c r="M32" s="478"/>
      <c r="N32" s="461">
        <f t="shared" si="1"/>
        <v>10</v>
      </c>
      <c r="O32" s="461"/>
    </row>
    <row r="33" ht="15.75" customHeight="1">
      <c r="A33" s="479">
        <v>45962.0</v>
      </c>
      <c r="N33" s="193">
        <f t="shared" si="1"/>
        <v>11</v>
      </c>
    </row>
    <row r="34" ht="15.75" customHeight="1">
      <c r="A34" s="479">
        <v>45963.0</v>
      </c>
      <c r="N34" s="193">
        <f t="shared" si="1"/>
        <v>11</v>
      </c>
    </row>
    <row r="35" ht="15.75" customHeight="1">
      <c r="A35" s="479">
        <v>45964.0</v>
      </c>
      <c r="N35" s="193">
        <f t="shared" si="1"/>
        <v>11</v>
      </c>
    </row>
    <row r="36" ht="15.75" customHeight="1">
      <c r="A36" s="479">
        <v>45965.0</v>
      </c>
      <c r="N36" s="193">
        <f t="shared" si="1"/>
        <v>11</v>
      </c>
    </row>
    <row r="37" ht="15.75" customHeight="1">
      <c r="A37" s="479">
        <v>45966.0</v>
      </c>
      <c r="N37" s="193">
        <f t="shared" si="1"/>
        <v>11</v>
      </c>
    </row>
    <row r="38" ht="15.75" customHeight="1">
      <c r="A38" s="479">
        <v>45967.0</v>
      </c>
      <c r="N38" s="193">
        <f t="shared" si="1"/>
        <v>11</v>
      </c>
    </row>
    <row r="39" ht="15.75" customHeight="1">
      <c r="A39" s="479">
        <v>45968.0</v>
      </c>
      <c r="N39" s="193">
        <f t="shared" si="1"/>
        <v>11</v>
      </c>
    </row>
    <row r="40" ht="15.75" customHeight="1">
      <c r="A40" s="479">
        <v>45969.0</v>
      </c>
      <c r="N40" s="193">
        <f t="shared" si="1"/>
        <v>11</v>
      </c>
    </row>
    <row r="41" ht="15.75" customHeight="1">
      <c r="A41" s="479">
        <v>45970.0</v>
      </c>
      <c r="N41" s="193">
        <f t="shared" si="1"/>
        <v>11</v>
      </c>
    </row>
    <row r="42" ht="15.75" customHeight="1">
      <c r="A42" s="479">
        <v>45971.0</v>
      </c>
      <c r="N42" s="193">
        <f t="shared" si="1"/>
        <v>11</v>
      </c>
    </row>
    <row r="43" ht="15.75" customHeight="1">
      <c r="A43" s="479">
        <v>45972.0</v>
      </c>
      <c r="N43" s="193">
        <f t="shared" si="1"/>
        <v>11</v>
      </c>
    </row>
    <row r="44" ht="15.75" customHeight="1">
      <c r="A44" s="479">
        <v>45973.0</v>
      </c>
      <c r="N44" s="193">
        <f t="shared" si="1"/>
        <v>11</v>
      </c>
    </row>
    <row r="45" ht="15.75" customHeight="1">
      <c r="A45" s="479">
        <v>45974.0</v>
      </c>
      <c r="B45" s="358">
        <v>1.0</v>
      </c>
      <c r="C45" s="358">
        <v>1890000.0</v>
      </c>
      <c r="D45" s="480">
        <v>0.0</v>
      </c>
      <c r="E45" s="358" t="s">
        <v>1101</v>
      </c>
      <c r="F45" s="480">
        <v>0.0</v>
      </c>
      <c r="G45" s="480">
        <v>0.0</v>
      </c>
      <c r="H45" s="358" t="s">
        <v>1101</v>
      </c>
      <c r="I45" s="480">
        <v>0.0</v>
      </c>
      <c r="J45" s="480">
        <v>0.0</v>
      </c>
      <c r="K45" s="480">
        <v>0.0</v>
      </c>
      <c r="L45" s="358" t="s">
        <v>1101</v>
      </c>
      <c r="M45" s="481">
        <v>1.0</v>
      </c>
      <c r="N45" s="193">
        <f t="shared" si="1"/>
        <v>11</v>
      </c>
    </row>
    <row r="46" ht="15.75" customHeight="1">
      <c r="A46" s="479">
        <v>45975.0</v>
      </c>
      <c r="N46" s="193">
        <f t="shared" si="1"/>
        <v>11</v>
      </c>
    </row>
    <row r="47" ht="15.75" customHeight="1">
      <c r="A47" s="479">
        <v>45976.0</v>
      </c>
      <c r="N47" s="193">
        <f t="shared" si="1"/>
        <v>11</v>
      </c>
    </row>
    <row r="48" ht="15.75" customHeight="1">
      <c r="A48" s="479">
        <v>45977.0</v>
      </c>
      <c r="N48" s="193">
        <f t="shared" si="1"/>
        <v>11</v>
      </c>
    </row>
    <row r="49" ht="15.75" customHeight="1">
      <c r="A49" s="479">
        <v>45978.0</v>
      </c>
      <c r="N49" s="193">
        <f t="shared" si="1"/>
        <v>11</v>
      </c>
    </row>
    <row r="50" ht="15.75" customHeight="1">
      <c r="A50" s="479">
        <v>45979.0</v>
      </c>
      <c r="N50" s="193">
        <f t="shared" si="1"/>
        <v>11</v>
      </c>
    </row>
    <row r="51" ht="15.75" customHeight="1">
      <c r="A51" s="479">
        <v>45980.0</v>
      </c>
      <c r="N51" s="193">
        <f t="shared" si="1"/>
        <v>11</v>
      </c>
    </row>
    <row r="52" ht="15.75" customHeight="1">
      <c r="A52" s="479">
        <v>45981.0</v>
      </c>
      <c r="B52" s="358">
        <v>1.0</v>
      </c>
      <c r="C52" s="358">
        <v>856000.0</v>
      </c>
      <c r="D52" s="480">
        <v>0.0</v>
      </c>
      <c r="E52" s="358">
        <v>856000.0</v>
      </c>
      <c r="F52" s="480">
        <v>0.0</v>
      </c>
      <c r="G52" s="480">
        <v>0.0</v>
      </c>
      <c r="H52" s="482">
        <v>856.0</v>
      </c>
      <c r="I52" s="480">
        <v>0.0</v>
      </c>
      <c r="J52" s="480">
        <v>0.0</v>
      </c>
      <c r="K52" s="480">
        <v>0.0</v>
      </c>
      <c r="L52" s="482">
        <v>856.0</v>
      </c>
      <c r="M52" s="481">
        <v>1.0</v>
      </c>
      <c r="N52" s="193">
        <f t="shared" si="1"/>
        <v>11</v>
      </c>
    </row>
    <row r="53" ht="15.75" customHeight="1">
      <c r="A53" s="479">
        <v>45982.0</v>
      </c>
      <c r="N53" s="193">
        <f t="shared" si="1"/>
        <v>11</v>
      </c>
    </row>
    <row r="54" ht="15.75" customHeight="1">
      <c r="A54" s="479">
        <v>45983.0</v>
      </c>
      <c r="N54" s="193">
        <f t="shared" si="1"/>
        <v>11</v>
      </c>
    </row>
    <row r="55" ht="15.75" customHeight="1">
      <c r="A55" s="479">
        <v>45984.0</v>
      </c>
      <c r="N55" s="193">
        <f t="shared" si="1"/>
        <v>11</v>
      </c>
    </row>
    <row r="56" ht="15.75" customHeight="1">
      <c r="A56" s="479">
        <v>45985.0</v>
      </c>
      <c r="N56" s="193">
        <f t="shared" si="1"/>
        <v>11</v>
      </c>
    </row>
    <row r="57" ht="15.75" customHeight="1">
      <c r="A57" s="479">
        <v>45986.0</v>
      </c>
      <c r="N57" s="193">
        <f t="shared" si="1"/>
        <v>11</v>
      </c>
    </row>
    <row r="58" ht="15.75" customHeight="1">
      <c r="A58" s="479">
        <v>45987.0</v>
      </c>
      <c r="N58" s="193">
        <f t="shared" si="1"/>
        <v>11</v>
      </c>
    </row>
    <row r="59" ht="15.75" customHeight="1">
      <c r="A59" s="479">
        <v>45988.0</v>
      </c>
      <c r="N59" s="193">
        <f t="shared" si="1"/>
        <v>11</v>
      </c>
    </row>
    <row r="60" ht="15.75" customHeight="1">
      <c r="A60" s="479">
        <v>45989.0</v>
      </c>
      <c r="N60" s="193">
        <f t="shared" si="1"/>
        <v>11</v>
      </c>
    </row>
    <row r="61" ht="15.75" customHeight="1">
      <c r="A61" s="479">
        <v>45990.0</v>
      </c>
      <c r="N61" s="193">
        <f t="shared" si="1"/>
        <v>11</v>
      </c>
    </row>
    <row r="62" ht="15.75" customHeight="1">
      <c r="A62" s="479">
        <v>45991.0</v>
      </c>
      <c r="N62" s="193">
        <f t="shared" si="1"/>
        <v>11</v>
      </c>
    </row>
    <row r="63" ht="15.75" customHeight="1">
      <c r="A63" s="479">
        <v>45992.0</v>
      </c>
      <c r="N63" s="193">
        <f t="shared" si="1"/>
        <v>12</v>
      </c>
    </row>
    <row r="64" ht="15.75" customHeight="1">
      <c r="A64" s="479">
        <v>45993.0</v>
      </c>
      <c r="N64" s="193">
        <f t="shared" si="1"/>
        <v>12</v>
      </c>
    </row>
    <row r="65" ht="15.75" customHeight="1">
      <c r="A65" s="479">
        <v>45994.0</v>
      </c>
      <c r="N65" s="193">
        <f t="shared" si="1"/>
        <v>12</v>
      </c>
    </row>
    <row r="66" ht="15.75" customHeight="1">
      <c r="A66" s="479">
        <v>45995.0</v>
      </c>
      <c r="N66" s="193">
        <f t="shared" si="1"/>
        <v>12</v>
      </c>
    </row>
    <row r="67" ht="15.75" customHeight="1">
      <c r="A67" s="479">
        <v>45996.0</v>
      </c>
      <c r="N67" s="193">
        <f t="shared" si="1"/>
        <v>12</v>
      </c>
    </row>
    <row r="68" ht="15.75" customHeight="1">
      <c r="A68" s="479">
        <v>45997.0</v>
      </c>
      <c r="B68" s="358">
        <v>2.0</v>
      </c>
      <c r="C68" s="483">
        <v>3734444.0</v>
      </c>
      <c r="D68" s="484"/>
      <c r="N68" s="193">
        <f t="shared" si="1"/>
        <v>12</v>
      </c>
    </row>
    <row r="69" ht="15.75" customHeight="1">
      <c r="A69" s="479">
        <v>45998.0</v>
      </c>
      <c r="C69" s="485"/>
      <c r="N69" s="193">
        <f t="shared" si="1"/>
        <v>12</v>
      </c>
    </row>
    <row r="70" ht="15.75" customHeight="1">
      <c r="A70" s="479">
        <v>45999.0</v>
      </c>
      <c r="B70" s="358">
        <v>1.0</v>
      </c>
      <c r="C70" s="358">
        <v>1890000.0</v>
      </c>
      <c r="N70" s="193">
        <f t="shared" si="1"/>
        <v>12</v>
      </c>
    </row>
    <row r="71" ht="15.75" customHeight="1">
      <c r="A71" s="479">
        <v>46000.0</v>
      </c>
      <c r="N71" s="193">
        <f t="shared" si="1"/>
        <v>12</v>
      </c>
    </row>
    <row r="72" ht="15.75" customHeight="1">
      <c r="A72" s="479">
        <v>46001.0</v>
      </c>
      <c r="N72" s="193">
        <f t="shared" si="1"/>
        <v>12</v>
      </c>
    </row>
    <row r="73" ht="15.75" customHeight="1">
      <c r="A73" s="479">
        <v>46002.0</v>
      </c>
      <c r="N73" s="193">
        <f t="shared" si="1"/>
        <v>12</v>
      </c>
    </row>
    <row r="74" ht="15.75" customHeight="1">
      <c r="A74" s="479">
        <v>46003.0</v>
      </c>
      <c r="B74" s="358">
        <v>1.0</v>
      </c>
      <c r="C74" s="358">
        <v>1348000.0</v>
      </c>
      <c r="N74" s="193">
        <f t="shared" si="1"/>
        <v>12</v>
      </c>
    </row>
    <row r="75" ht="15.75" customHeight="1">
      <c r="A75" s="479">
        <v>46004.0</v>
      </c>
      <c r="N75" s="193">
        <f t="shared" si="1"/>
        <v>12</v>
      </c>
    </row>
    <row r="76" ht="15.75" customHeight="1">
      <c r="A76" s="479">
        <v>46005.0</v>
      </c>
      <c r="B76" s="358">
        <v>1.0</v>
      </c>
      <c r="C76" s="358">
        <v>1652000.0</v>
      </c>
      <c r="N76" s="193">
        <f t="shared" si="1"/>
        <v>12</v>
      </c>
    </row>
    <row r="77" ht="15.75" customHeight="1">
      <c r="A77" s="479">
        <v>46006.0</v>
      </c>
      <c r="N77" s="193">
        <f t="shared" si="1"/>
        <v>12</v>
      </c>
    </row>
    <row r="78" ht="15.75" customHeight="1">
      <c r="A78" s="479">
        <v>46007.0</v>
      </c>
      <c r="N78" s="193">
        <f t="shared" si="1"/>
        <v>12</v>
      </c>
    </row>
    <row r="79" ht="15.75" customHeight="1">
      <c r="A79" s="479">
        <v>46008.0</v>
      </c>
      <c r="N79" s="193">
        <f t="shared" si="1"/>
        <v>12</v>
      </c>
    </row>
    <row r="80" ht="15.75" customHeight="1">
      <c r="A80" s="479">
        <v>46009.0</v>
      </c>
      <c r="B80" s="358">
        <v>1.0</v>
      </c>
      <c r="C80" s="358">
        <v>749000.0</v>
      </c>
      <c r="N80" s="193">
        <f t="shared" si="1"/>
        <v>12</v>
      </c>
    </row>
    <row r="81" ht="15.75" customHeight="1">
      <c r="A81" s="479">
        <v>46010.0</v>
      </c>
      <c r="N81" s="193">
        <f t="shared" si="1"/>
        <v>12</v>
      </c>
    </row>
    <row r="82" ht="15.75" customHeight="1">
      <c r="A82" s="479">
        <v>46011.0</v>
      </c>
      <c r="N82" s="193">
        <f t="shared" si="1"/>
        <v>12</v>
      </c>
    </row>
    <row r="83" ht="15.75" customHeight="1">
      <c r="A83" s="479">
        <v>46012.0</v>
      </c>
      <c r="N83" s="193">
        <f t="shared" si="1"/>
        <v>12</v>
      </c>
    </row>
    <row r="84" ht="15.75" customHeight="1">
      <c r="A84" s="479">
        <v>46013.0</v>
      </c>
      <c r="N84" s="193">
        <f t="shared" si="1"/>
        <v>12</v>
      </c>
    </row>
    <row r="85" ht="15.75" customHeight="1">
      <c r="A85" s="479">
        <v>46014.0</v>
      </c>
      <c r="N85" s="193">
        <f t="shared" si="1"/>
        <v>12</v>
      </c>
    </row>
    <row r="86" ht="15.75" customHeight="1">
      <c r="A86" s="479">
        <v>46015.0</v>
      </c>
      <c r="N86" s="193">
        <f t="shared" si="1"/>
        <v>12</v>
      </c>
    </row>
    <row r="87" ht="15.75" customHeight="1">
      <c r="A87" s="479">
        <v>46016.0</v>
      </c>
      <c r="N87" s="193">
        <f t="shared" si="1"/>
        <v>12</v>
      </c>
    </row>
    <row r="88" ht="15.75" customHeight="1">
      <c r="A88" s="479">
        <v>46017.0</v>
      </c>
      <c r="B88" s="358">
        <v>1.0</v>
      </c>
      <c r="C88" s="358">
        <v>1992000.0</v>
      </c>
      <c r="N88" s="193">
        <f t="shared" si="1"/>
        <v>12</v>
      </c>
    </row>
    <row r="89" ht="15.75" customHeight="1">
      <c r="A89" s="479">
        <v>46018.0</v>
      </c>
      <c r="B89" s="358">
        <v>1.0</v>
      </c>
      <c r="C89" s="358">
        <v>499000.0</v>
      </c>
      <c r="N89" s="193">
        <f t="shared" si="1"/>
        <v>12</v>
      </c>
    </row>
    <row r="90" ht="15.75" customHeight="1">
      <c r="A90" s="479">
        <v>46019.0</v>
      </c>
      <c r="N90" s="193">
        <f t="shared" si="1"/>
        <v>12</v>
      </c>
    </row>
    <row r="91" ht="15.75" customHeight="1">
      <c r="A91" s="479">
        <v>46020.0</v>
      </c>
      <c r="N91" s="193">
        <f t="shared" si="1"/>
        <v>12</v>
      </c>
    </row>
    <row r="92" ht="15.75" customHeight="1">
      <c r="A92" s="479">
        <v>46021.0</v>
      </c>
      <c r="N92" s="193">
        <f t="shared" si="1"/>
        <v>12</v>
      </c>
    </row>
    <row r="93" ht="15.75" customHeight="1">
      <c r="A93" s="479">
        <v>46022.0</v>
      </c>
      <c r="N93" s="193">
        <f t="shared" si="1"/>
        <v>12</v>
      </c>
    </row>
    <row r="94" ht="15.75" customHeight="1">
      <c r="A94" s="479">
        <v>46023.0</v>
      </c>
      <c r="N94" s="193">
        <f t="shared" si="1"/>
        <v>1</v>
      </c>
    </row>
    <row r="95" ht="15.75" customHeight="1">
      <c r="A95" s="479">
        <v>46024.0</v>
      </c>
      <c r="N95" s="193">
        <f t="shared" si="1"/>
        <v>1</v>
      </c>
    </row>
    <row r="96" ht="15.75" customHeight="1">
      <c r="A96" s="479">
        <v>46025.0</v>
      </c>
      <c r="N96" s="193">
        <f t="shared" si="1"/>
        <v>1</v>
      </c>
    </row>
    <row r="97" ht="15.75" customHeight="1">
      <c r="A97" s="479">
        <v>46026.0</v>
      </c>
      <c r="B97" s="358">
        <v>1.0</v>
      </c>
      <c r="C97" s="358">
        <v>826000.0</v>
      </c>
      <c r="N97" s="193">
        <f t="shared" si="1"/>
        <v>1</v>
      </c>
    </row>
    <row r="98" ht="15.75" customHeight="1">
      <c r="A98" s="479">
        <v>46027.0</v>
      </c>
      <c r="N98" s="193">
        <f t="shared" si="1"/>
        <v>1</v>
      </c>
    </row>
    <row r="99" ht="15.75" customHeight="1">
      <c r="A99" s="479">
        <v>46028.0</v>
      </c>
      <c r="N99" s="193">
        <f t="shared" si="1"/>
        <v>1</v>
      </c>
    </row>
    <row r="100" ht="15.75" customHeight="1">
      <c r="A100" s="479">
        <v>46029.0</v>
      </c>
      <c r="N100" s="193">
        <f t="shared" si="1"/>
        <v>1</v>
      </c>
    </row>
    <row r="101" ht="15.75" customHeight="1">
      <c r="A101" s="479">
        <v>46030.0</v>
      </c>
      <c r="N101" s="193">
        <f t="shared" si="1"/>
        <v>1</v>
      </c>
    </row>
    <row r="102" ht="15.75" customHeight="1">
      <c r="A102" s="479">
        <v>46031.0</v>
      </c>
      <c r="B102" s="358">
        <v>1.0</v>
      </c>
      <c r="C102" s="358">
        <v>3780000.0</v>
      </c>
      <c r="N102" s="193">
        <f t="shared" si="1"/>
        <v>1</v>
      </c>
    </row>
    <row r="103" ht="15.75" customHeight="1">
      <c r="A103" s="479">
        <v>46032.0</v>
      </c>
      <c r="N103" s="193">
        <f t="shared" si="1"/>
        <v>1</v>
      </c>
    </row>
    <row r="104" ht="15.75" customHeight="1">
      <c r="A104" s="479">
        <v>46033.0</v>
      </c>
      <c r="N104" s="193">
        <f t="shared" si="1"/>
        <v>1</v>
      </c>
    </row>
    <row r="105" ht="15.75" customHeight="1">
      <c r="A105" s="479">
        <v>46034.0</v>
      </c>
      <c r="B105" s="358">
        <v>1.0</v>
      </c>
      <c r="C105" s="358">
        <v>1238000.0</v>
      </c>
      <c r="N105" s="193">
        <f t="shared" si="1"/>
        <v>1</v>
      </c>
    </row>
    <row r="106" ht="15.75" customHeight="1">
      <c r="A106" s="479">
        <v>46035.0</v>
      </c>
      <c r="B106" s="358">
        <v>1.0</v>
      </c>
      <c r="C106" s="358">
        <v>499000.0</v>
      </c>
      <c r="N106" s="193">
        <f t="shared" si="1"/>
        <v>1</v>
      </c>
    </row>
    <row r="107" ht="15.75" customHeight="1">
      <c r="A107" s="479">
        <v>46036.0</v>
      </c>
      <c r="N107" s="193">
        <f t="shared" si="1"/>
        <v>1</v>
      </c>
    </row>
    <row r="108" ht="15.75" customHeight="1">
      <c r="A108" s="479">
        <v>46037.0</v>
      </c>
      <c r="B108" s="358">
        <v>1.0</v>
      </c>
      <c r="C108" s="358">
        <v>160000.0</v>
      </c>
      <c r="N108" s="193">
        <f t="shared" si="1"/>
        <v>1</v>
      </c>
    </row>
    <row r="109" ht="15.75" customHeight="1">
      <c r="A109" s="479">
        <v>46038.0</v>
      </c>
      <c r="N109" s="193">
        <f t="shared" si="1"/>
        <v>1</v>
      </c>
    </row>
    <row r="110" ht="15.75" customHeight="1">
      <c r="A110" s="479">
        <v>46039.0</v>
      </c>
      <c r="N110" s="193">
        <f t="shared" si="1"/>
        <v>1</v>
      </c>
    </row>
    <row r="111" ht="15.75" customHeight="1">
      <c r="A111" s="479">
        <v>46040.0</v>
      </c>
      <c r="N111" s="193">
        <f t="shared" si="1"/>
        <v>1</v>
      </c>
    </row>
    <row r="112" ht="15.75" customHeight="1">
      <c r="A112" s="479">
        <v>46041.0</v>
      </c>
      <c r="N112" s="193">
        <f t="shared" si="1"/>
        <v>1</v>
      </c>
    </row>
    <row r="113" ht="15.75" customHeight="1">
      <c r="A113" s="479">
        <v>46042.0</v>
      </c>
      <c r="B113" s="358">
        <v>1.0</v>
      </c>
      <c r="C113" s="358">
        <v>841667.0</v>
      </c>
      <c r="N113" s="193">
        <f t="shared" si="1"/>
        <v>1</v>
      </c>
    </row>
    <row r="114" ht="15.75" customHeight="1">
      <c r="A114" s="479">
        <v>46043.0</v>
      </c>
      <c r="N114" s="193">
        <f t="shared" si="1"/>
        <v>1</v>
      </c>
    </row>
    <row r="115" ht="15.75" customHeight="1">
      <c r="A115" s="479">
        <v>46044.0</v>
      </c>
      <c r="N115" s="193">
        <f t="shared" si="1"/>
        <v>1</v>
      </c>
    </row>
    <row r="116" ht="15.75" customHeight="1">
      <c r="A116" s="479">
        <v>46045.0</v>
      </c>
      <c r="N116" s="193">
        <f t="shared" si="1"/>
        <v>1</v>
      </c>
    </row>
    <row r="117" ht="15.75" customHeight="1">
      <c r="A117" s="479">
        <v>46046.0</v>
      </c>
      <c r="N117" s="193">
        <f t="shared" si="1"/>
        <v>1</v>
      </c>
    </row>
    <row r="118" ht="15.75" customHeight="1">
      <c r="A118" s="479">
        <v>46047.0</v>
      </c>
      <c r="N118" s="193">
        <f t="shared" si="1"/>
        <v>1</v>
      </c>
    </row>
    <row r="119" ht="15.75" customHeight="1">
      <c r="A119" s="479">
        <v>46048.0</v>
      </c>
      <c r="N119" s="193">
        <f t="shared" si="1"/>
        <v>1</v>
      </c>
    </row>
    <row r="120" ht="15.75" customHeight="1">
      <c r="A120" s="479">
        <v>46049.0</v>
      </c>
      <c r="B120" s="358">
        <v>1.0</v>
      </c>
      <c r="C120" s="358">
        <v>426000.0</v>
      </c>
      <c r="N120" s="193">
        <f t="shared" si="1"/>
        <v>1</v>
      </c>
    </row>
    <row r="121" ht="15.75" customHeight="1">
      <c r="A121" s="479">
        <v>46050.0</v>
      </c>
      <c r="N121" s="193">
        <f t="shared" si="1"/>
        <v>1</v>
      </c>
    </row>
    <row r="122" ht="15.75" customHeight="1">
      <c r="A122" s="479">
        <v>46051.0</v>
      </c>
      <c r="N122" s="193">
        <f t="shared" si="1"/>
        <v>1</v>
      </c>
    </row>
    <row r="123" ht="15.75" customHeight="1">
      <c r="A123" s="479">
        <v>46052.0</v>
      </c>
      <c r="N123" s="193">
        <f t="shared" si="1"/>
        <v>1</v>
      </c>
    </row>
    <row r="124" ht="15.75" customHeight="1">
      <c r="A124" s="479">
        <v>46053.0</v>
      </c>
      <c r="N124" s="193">
        <f t="shared" si="1"/>
        <v>1</v>
      </c>
    </row>
    <row r="125" ht="15.75" customHeight="1">
      <c r="A125" s="479">
        <v>46054.0</v>
      </c>
      <c r="N125" s="193">
        <f t="shared" si="1"/>
        <v>2</v>
      </c>
    </row>
    <row r="126" ht="15.75" customHeight="1">
      <c r="A126" s="479">
        <v>46055.0</v>
      </c>
      <c r="N126" s="193">
        <f t="shared" si="1"/>
        <v>2</v>
      </c>
    </row>
    <row r="127" ht="15.75" customHeight="1">
      <c r="A127" s="479">
        <v>46056.0</v>
      </c>
      <c r="N127" s="193">
        <f t="shared" si="1"/>
        <v>2</v>
      </c>
    </row>
    <row r="128" ht="15.75" customHeight="1">
      <c r="A128" s="479">
        <v>46057.0</v>
      </c>
      <c r="N128" s="193">
        <f t="shared" si="1"/>
        <v>2</v>
      </c>
    </row>
    <row r="129" ht="15.75" customHeight="1">
      <c r="A129" s="479">
        <v>46058.0</v>
      </c>
      <c r="N129" s="193">
        <f t="shared" si="1"/>
        <v>2</v>
      </c>
    </row>
    <row r="130" ht="15.75" customHeight="1">
      <c r="A130" s="479">
        <v>46059.0</v>
      </c>
      <c r="N130" s="193">
        <f t="shared" si="1"/>
        <v>2</v>
      </c>
    </row>
    <row r="131" ht="15.75" customHeight="1">
      <c r="A131" s="479">
        <v>46060.0</v>
      </c>
      <c r="N131" s="193">
        <f t="shared" si="1"/>
        <v>2</v>
      </c>
    </row>
    <row r="132" ht="15.75" customHeight="1">
      <c r="A132" s="479">
        <v>46061.0</v>
      </c>
      <c r="N132" s="193">
        <f t="shared" si="1"/>
        <v>2</v>
      </c>
    </row>
    <row r="133" ht="15.75" customHeight="1">
      <c r="A133" s="479">
        <v>46062.0</v>
      </c>
      <c r="B133" s="486">
        <v>1.0</v>
      </c>
      <c r="C133" s="486">
        <v>909000.0</v>
      </c>
      <c r="N133" s="193">
        <f t="shared" si="1"/>
        <v>2</v>
      </c>
    </row>
    <row r="134" ht="15.75" customHeight="1">
      <c r="A134" s="479">
        <v>46063.0</v>
      </c>
      <c r="N134" s="193">
        <f t="shared" si="1"/>
        <v>2</v>
      </c>
    </row>
    <row r="135" ht="15.75" customHeight="1">
      <c r="A135" s="479">
        <v>46064.0</v>
      </c>
      <c r="N135" s="193">
        <f t="shared" si="1"/>
        <v>2</v>
      </c>
    </row>
    <row r="136" ht="15.75" customHeight="1">
      <c r="A136" s="479">
        <v>46065.0</v>
      </c>
      <c r="N136" s="193">
        <f t="shared" si="1"/>
        <v>2</v>
      </c>
    </row>
    <row r="137" ht="15.75" customHeight="1">
      <c r="A137" s="479">
        <v>46066.0</v>
      </c>
      <c r="N137" s="193">
        <f t="shared" si="1"/>
        <v>2</v>
      </c>
    </row>
    <row r="138" ht="15.75" customHeight="1">
      <c r="A138" s="479">
        <v>46067.0</v>
      </c>
      <c r="N138" s="193">
        <f t="shared" si="1"/>
        <v>2</v>
      </c>
    </row>
    <row r="139" ht="15.75" customHeight="1">
      <c r="A139" s="479">
        <v>46068.0</v>
      </c>
      <c r="N139" s="193">
        <f t="shared" si="1"/>
        <v>2</v>
      </c>
    </row>
    <row r="140" ht="15.75" customHeight="1">
      <c r="A140" s="479">
        <v>46069.0</v>
      </c>
      <c r="N140" s="193">
        <f t="shared" si="1"/>
        <v>2</v>
      </c>
    </row>
    <row r="141" ht="15.75" customHeight="1">
      <c r="A141" s="479">
        <v>46070.0</v>
      </c>
      <c r="N141" s="193">
        <f t="shared" si="1"/>
        <v>2</v>
      </c>
    </row>
    <row r="142" ht="15.75" customHeight="1">
      <c r="A142" s="479">
        <v>46071.0</v>
      </c>
      <c r="N142" s="193">
        <f t="shared" si="1"/>
        <v>2</v>
      </c>
    </row>
    <row r="143" ht="15.75" customHeight="1">
      <c r="A143" s="479">
        <v>46072.0</v>
      </c>
      <c r="N143" s="193">
        <f t="shared" si="1"/>
        <v>2</v>
      </c>
    </row>
    <row r="144" ht="15.75" customHeight="1">
      <c r="A144" s="479">
        <v>46073.0</v>
      </c>
      <c r="N144" s="193">
        <f t="shared" si="1"/>
        <v>2</v>
      </c>
    </row>
    <row r="145" ht="15.75" customHeight="1">
      <c r="A145" s="479">
        <v>46074.0</v>
      </c>
      <c r="N145" s="193">
        <f t="shared" si="1"/>
        <v>2</v>
      </c>
    </row>
    <row r="146" ht="15.75" customHeight="1">
      <c r="A146" s="479">
        <v>46075.0</v>
      </c>
      <c r="N146" s="193">
        <f t="shared" si="1"/>
        <v>2</v>
      </c>
    </row>
    <row r="147" ht="15.75" customHeight="1">
      <c r="A147" s="479">
        <v>46076.0</v>
      </c>
      <c r="N147" s="193"/>
    </row>
    <row r="148" ht="15.75" customHeight="1">
      <c r="N148" s="193"/>
    </row>
    <row r="149" ht="15.75" customHeight="1">
      <c r="N149" s="193"/>
    </row>
    <row r="150" ht="15.75" customHeight="1">
      <c r="N150" s="193"/>
    </row>
    <row r="151" ht="15.75" customHeight="1">
      <c r="N151" s="193"/>
    </row>
    <row r="152" ht="15.75" customHeight="1">
      <c r="N152" s="193"/>
    </row>
    <row r="153" ht="15.75" customHeight="1">
      <c r="N153" s="193"/>
    </row>
    <row r="154" ht="15.75" customHeight="1">
      <c r="N154" s="193"/>
    </row>
    <row r="155" ht="15.75" customHeight="1">
      <c r="N155" s="193"/>
    </row>
    <row r="156" ht="15.75" customHeight="1">
      <c r="N156" s="193"/>
    </row>
    <row r="157" ht="15.75" customHeight="1">
      <c r="N157" s="193"/>
    </row>
    <row r="158" ht="15.75" customHeight="1">
      <c r="N158" s="193"/>
    </row>
    <row r="159" ht="15.75" customHeight="1">
      <c r="N159" s="193"/>
    </row>
    <row r="160" ht="15.75" customHeight="1">
      <c r="N160" s="193"/>
    </row>
    <row r="161" ht="15.75" customHeight="1">
      <c r="N161" s="193"/>
    </row>
    <row r="162" ht="15.75" customHeight="1">
      <c r="N162" s="193"/>
    </row>
    <row r="163" ht="15.75" customHeight="1">
      <c r="N163" s="193"/>
    </row>
    <row r="164" ht="15.75" customHeight="1">
      <c r="N164" s="193"/>
    </row>
    <row r="165" ht="15.75" customHeight="1">
      <c r="N165" s="193"/>
    </row>
    <row r="166" ht="15.75" customHeight="1">
      <c r="N166" s="193"/>
    </row>
    <row r="167" ht="15.75" customHeight="1">
      <c r="N167" s="193"/>
    </row>
    <row r="168" ht="15.75" customHeight="1">
      <c r="N168" s="193"/>
    </row>
    <row r="169" ht="15.75" customHeight="1">
      <c r="N169" s="193"/>
    </row>
    <row r="170" ht="15.75" customHeight="1">
      <c r="N170" s="193"/>
    </row>
    <row r="171" ht="15.75" customHeight="1">
      <c r="N171" s="193"/>
    </row>
    <row r="172" ht="15.75" customHeight="1">
      <c r="N172" s="193"/>
    </row>
    <row r="173" ht="15.75" customHeight="1">
      <c r="N173" s="193"/>
    </row>
    <row r="174" ht="15.75" customHeight="1">
      <c r="N174" s="193"/>
    </row>
    <row r="175" ht="15.75" customHeight="1">
      <c r="N175" s="193"/>
    </row>
    <row r="176" ht="15.75" customHeight="1">
      <c r="N176" s="193"/>
    </row>
    <row r="177" ht="15.75" customHeight="1">
      <c r="N177" s="193"/>
    </row>
    <row r="178" ht="15.75" customHeight="1">
      <c r="N178" s="193"/>
    </row>
    <row r="179" ht="15.75" customHeight="1">
      <c r="N179" s="193"/>
    </row>
    <row r="180" ht="15.75" customHeight="1">
      <c r="N180" s="193"/>
    </row>
    <row r="181" ht="15.75" customHeight="1">
      <c r="N181" s="193"/>
    </row>
    <row r="182" ht="15.75" customHeight="1">
      <c r="N182" s="193"/>
    </row>
    <row r="183" ht="15.75" customHeight="1">
      <c r="N183" s="193"/>
    </row>
    <row r="184" ht="15.75" customHeight="1">
      <c r="N184" s="193"/>
    </row>
    <row r="185" ht="15.75" customHeight="1">
      <c r="N185" s="193"/>
    </row>
    <row r="186" ht="15.75" customHeight="1">
      <c r="N186" s="193"/>
    </row>
    <row r="187" ht="15.75" customHeight="1">
      <c r="N187" s="193"/>
    </row>
    <row r="188" ht="15.75" customHeight="1">
      <c r="N188" s="193"/>
    </row>
    <row r="189" ht="15.75" customHeight="1">
      <c r="N189" s="193"/>
    </row>
    <row r="190" ht="15.75" customHeight="1">
      <c r="N190" s="193"/>
    </row>
    <row r="191" ht="15.75" customHeight="1">
      <c r="N191" s="193"/>
    </row>
    <row r="192" ht="15.75" customHeight="1">
      <c r="N192" s="193"/>
    </row>
    <row r="193" ht="15.75" customHeight="1">
      <c r="N193" s="193"/>
    </row>
    <row r="194" ht="15.75" customHeight="1">
      <c r="N194" s="193"/>
    </row>
    <row r="195" ht="15.75" customHeight="1">
      <c r="N195" s="193"/>
    </row>
    <row r="196" ht="15.75" customHeight="1">
      <c r="N196" s="193"/>
    </row>
    <row r="197" ht="15.75" customHeight="1">
      <c r="N197" s="193"/>
    </row>
    <row r="198" ht="15.75" customHeight="1">
      <c r="N198" s="193"/>
    </row>
    <row r="199" ht="15.75" customHeight="1">
      <c r="N199" s="193"/>
    </row>
    <row r="200" ht="15.75" customHeight="1">
      <c r="N200" s="193"/>
    </row>
    <row r="201" ht="15.75" customHeight="1">
      <c r="N201" s="193"/>
    </row>
    <row r="202" ht="15.75" customHeight="1">
      <c r="N202" s="193"/>
    </row>
    <row r="203" ht="15.75" customHeight="1">
      <c r="N203" s="193"/>
    </row>
    <row r="204" ht="15.75" customHeight="1">
      <c r="N204" s="193"/>
    </row>
    <row r="205" ht="15.75" customHeight="1">
      <c r="N205" s="193"/>
    </row>
    <row r="206" ht="15.75" customHeight="1">
      <c r="N206" s="193"/>
    </row>
    <row r="207" ht="15.75" customHeight="1">
      <c r="N207" s="193"/>
    </row>
    <row r="208" ht="15.75" customHeight="1">
      <c r="N208" s="193"/>
    </row>
    <row r="209" ht="15.75" customHeight="1">
      <c r="N209" s="193"/>
    </row>
    <row r="210" ht="15.75" customHeight="1">
      <c r="N210" s="193"/>
    </row>
    <row r="211" ht="15.75" customHeight="1">
      <c r="N211" s="193"/>
    </row>
    <row r="212" ht="15.75" customHeight="1">
      <c r="N212" s="193"/>
    </row>
    <row r="213" ht="15.75" customHeight="1">
      <c r="N213" s="193"/>
    </row>
    <row r="214" ht="15.75" customHeight="1">
      <c r="N214" s="193"/>
    </row>
    <row r="215" ht="15.75" customHeight="1">
      <c r="N215" s="193"/>
    </row>
    <row r="216" ht="15.75" customHeight="1">
      <c r="N216" s="193"/>
    </row>
    <row r="217" ht="15.75" customHeight="1">
      <c r="N217" s="193"/>
    </row>
    <row r="218" ht="15.75" customHeight="1">
      <c r="N218" s="193"/>
    </row>
    <row r="219" ht="15.75" customHeight="1">
      <c r="N219" s="193"/>
    </row>
    <row r="220" ht="15.75" customHeight="1">
      <c r="N220" s="193"/>
    </row>
    <row r="221" ht="15.75" customHeight="1">
      <c r="N221" s="193"/>
    </row>
    <row r="222" ht="15.75" customHeight="1">
      <c r="N222" s="193"/>
    </row>
    <row r="223" ht="15.75" customHeight="1">
      <c r="N223" s="193"/>
    </row>
    <row r="224" ht="15.75" customHeight="1">
      <c r="N224" s="193"/>
    </row>
    <row r="225" ht="15.75" customHeight="1">
      <c r="N225" s="193"/>
    </row>
    <row r="226" ht="15.75" customHeight="1">
      <c r="N226" s="193"/>
    </row>
    <row r="227" ht="15.75" customHeight="1">
      <c r="N227" s="193"/>
    </row>
    <row r="228" ht="15.75" customHeight="1">
      <c r="N228" s="193"/>
    </row>
    <row r="229" ht="15.75" customHeight="1">
      <c r="N229" s="193"/>
    </row>
    <row r="230" ht="15.75" customHeight="1">
      <c r="N230" s="193"/>
    </row>
    <row r="231" ht="15.75" customHeight="1">
      <c r="N231" s="193"/>
    </row>
    <row r="232" ht="15.75" customHeight="1">
      <c r="N232" s="193"/>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2:A147">
      <formula1>OR(NOT(ISERROR(DATEVALUE(A2))), AND(ISNUMBER(A2), LEFT(CELL("format", A2))="D"))</formula1>
    </dataValidation>
    <dataValidation type="list" allowBlank="1" showDropDown="1" showErrorMessage="1" sqref="M2:M32">
      <formula1>"100.00%,58.66%"</formula1>
    </dataValidation>
    <dataValidation type="custom" allowBlank="1" showDropDown="1" sqref="B2:E32 H2:L32 N2:N32">
      <formula1>AND(ISNUMBER(B2),(NOT(OR(NOT(ISERROR(DATEVALUE(B2))), AND(ISNUMBER(B2), LEFT(CELL("format", B2))="D")))))</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70.88"/>
    <col customWidth="1" min="2" max="2" width="16.25"/>
    <col customWidth="1" min="3" max="3" width="17.5"/>
    <col customWidth="1" min="4" max="4" width="28.5"/>
    <col customWidth="1" min="5" max="24" width="70.88"/>
  </cols>
  <sheetData>
    <row r="1" ht="84.75" customHeight="1">
      <c r="E1" s="93"/>
      <c r="F1" s="93"/>
      <c r="G1" s="93"/>
      <c r="H1" s="93"/>
      <c r="I1" s="93"/>
      <c r="J1" s="93"/>
      <c r="K1" s="93"/>
      <c r="L1" s="93"/>
      <c r="M1" s="93"/>
      <c r="N1" s="93"/>
      <c r="O1" s="93"/>
      <c r="P1" s="93"/>
      <c r="Q1" s="93"/>
      <c r="R1" s="93"/>
      <c r="S1" s="93"/>
      <c r="T1" s="93"/>
      <c r="U1" s="93"/>
      <c r="V1" s="93"/>
      <c r="W1" s="93"/>
      <c r="X1" s="93"/>
      <c r="Y1" s="93"/>
      <c r="Z1" s="93"/>
    </row>
    <row r="2" ht="15.75" customHeight="1">
      <c r="E2" s="489"/>
      <c r="F2" s="489"/>
      <c r="G2" s="489"/>
      <c r="H2" s="489"/>
      <c r="I2" s="489"/>
      <c r="J2" s="489"/>
      <c r="K2" s="489"/>
      <c r="L2" s="489"/>
      <c r="M2" s="489"/>
      <c r="N2" s="489"/>
      <c r="O2" s="489"/>
      <c r="P2" s="489"/>
      <c r="Q2" s="489"/>
      <c r="R2" s="489"/>
      <c r="S2" s="489"/>
      <c r="T2" s="489"/>
      <c r="U2" s="489"/>
      <c r="V2" s="489"/>
      <c r="W2" s="489"/>
      <c r="X2" s="489"/>
      <c r="Y2" s="489"/>
      <c r="Z2" s="489"/>
    </row>
    <row r="3" ht="15.75" customHeight="1">
      <c r="E3" s="489"/>
      <c r="F3" s="489"/>
      <c r="G3" s="489"/>
      <c r="H3" s="489"/>
      <c r="I3" s="489"/>
      <c r="J3" s="489"/>
      <c r="K3" s="489"/>
      <c r="L3" s="489"/>
      <c r="M3" s="489"/>
      <c r="N3" s="489"/>
      <c r="O3" s="489"/>
      <c r="P3" s="489"/>
      <c r="Q3" s="489"/>
      <c r="R3" s="489"/>
      <c r="S3" s="489"/>
      <c r="T3" s="489"/>
      <c r="U3" s="489"/>
      <c r="V3" s="489"/>
      <c r="W3" s="489"/>
      <c r="X3" s="489"/>
      <c r="Y3" s="489"/>
      <c r="Z3" s="489"/>
    </row>
    <row r="4" ht="15.75" customHeight="1">
      <c r="E4" s="489"/>
      <c r="F4" s="489"/>
      <c r="G4" s="489"/>
      <c r="H4" s="489"/>
      <c r="I4" s="489"/>
      <c r="J4" s="489"/>
      <c r="K4" s="489"/>
      <c r="L4" s="489"/>
      <c r="M4" s="489"/>
      <c r="N4" s="489"/>
      <c r="O4" s="489"/>
      <c r="P4" s="489"/>
      <c r="Q4" s="489"/>
      <c r="R4" s="489"/>
      <c r="S4" s="489"/>
      <c r="T4" s="489"/>
      <c r="U4" s="489"/>
      <c r="V4" s="489"/>
      <c r="W4" s="489"/>
      <c r="X4" s="489"/>
      <c r="Y4" s="489"/>
      <c r="Z4" s="489"/>
    </row>
    <row r="5" ht="15.75" customHeight="1">
      <c r="E5" s="489"/>
      <c r="F5" s="489"/>
      <c r="G5" s="489"/>
      <c r="H5" s="489"/>
      <c r="I5" s="489"/>
      <c r="J5" s="489"/>
      <c r="K5" s="489"/>
      <c r="L5" s="489"/>
      <c r="M5" s="489"/>
      <c r="N5" s="489"/>
      <c r="O5" s="489"/>
      <c r="P5" s="489"/>
      <c r="Q5" s="489"/>
      <c r="R5" s="489"/>
      <c r="S5" s="489"/>
      <c r="T5" s="489"/>
      <c r="U5" s="489"/>
      <c r="V5" s="489"/>
      <c r="W5" s="489"/>
      <c r="X5" s="489"/>
      <c r="Y5" s="489"/>
      <c r="Z5" s="489"/>
    </row>
    <row r="6" ht="15.75" customHeight="1">
      <c r="E6" s="489"/>
      <c r="F6" s="489"/>
      <c r="G6" s="489"/>
      <c r="H6" s="489"/>
      <c r="I6" s="489"/>
      <c r="J6" s="489"/>
      <c r="K6" s="489"/>
      <c r="L6" s="489"/>
      <c r="M6" s="489"/>
      <c r="N6" s="489"/>
      <c r="O6" s="489"/>
      <c r="P6" s="489"/>
      <c r="Q6" s="489"/>
      <c r="R6" s="489"/>
      <c r="S6" s="489"/>
      <c r="T6" s="489"/>
      <c r="U6" s="489"/>
      <c r="V6" s="489"/>
      <c r="W6" s="489"/>
      <c r="X6" s="489"/>
      <c r="Y6" s="489"/>
      <c r="Z6" s="489"/>
    </row>
    <row r="7" ht="15.75" customHeight="1">
      <c r="E7" s="489"/>
      <c r="F7" s="489"/>
      <c r="G7" s="489"/>
      <c r="H7" s="489"/>
      <c r="I7" s="489"/>
      <c r="J7" s="489"/>
      <c r="K7" s="489"/>
      <c r="L7" s="489"/>
      <c r="M7" s="489"/>
      <c r="N7" s="489"/>
      <c r="O7" s="489"/>
      <c r="P7" s="489"/>
      <c r="Q7" s="489"/>
      <c r="R7" s="489"/>
      <c r="S7" s="489"/>
      <c r="T7" s="489"/>
      <c r="U7" s="489"/>
      <c r="V7" s="489"/>
      <c r="W7" s="489"/>
      <c r="X7" s="489"/>
      <c r="Y7" s="489"/>
      <c r="Z7" s="489"/>
    </row>
    <row r="8" ht="15.75" customHeight="1">
      <c r="E8" s="489"/>
      <c r="F8" s="489"/>
      <c r="G8" s="489"/>
      <c r="H8" s="489"/>
      <c r="I8" s="489"/>
      <c r="J8" s="489"/>
      <c r="K8" s="489"/>
      <c r="L8" s="489"/>
      <c r="M8" s="489"/>
      <c r="N8" s="489"/>
      <c r="O8" s="489"/>
      <c r="P8" s="489"/>
      <c r="Q8" s="489"/>
      <c r="R8" s="489"/>
      <c r="S8" s="489"/>
      <c r="T8" s="489"/>
      <c r="U8" s="489"/>
      <c r="V8" s="489"/>
      <c r="W8" s="489"/>
      <c r="X8" s="489"/>
      <c r="Y8" s="489"/>
      <c r="Z8" s="489"/>
    </row>
    <row r="9" ht="15.75" customHeight="1">
      <c r="E9" s="489"/>
      <c r="F9" s="489"/>
      <c r="G9" s="489"/>
      <c r="H9" s="489"/>
      <c r="I9" s="489"/>
      <c r="J9" s="489"/>
      <c r="K9" s="489"/>
      <c r="L9" s="489"/>
      <c r="M9" s="489"/>
      <c r="N9" s="489"/>
      <c r="O9" s="489"/>
      <c r="P9" s="489"/>
      <c r="Q9" s="489"/>
      <c r="R9" s="489"/>
      <c r="S9" s="489"/>
      <c r="T9" s="489"/>
      <c r="U9" s="489"/>
      <c r="V9" s="489"/>
      <c r="W9" s="489"/>
      <c r="X9" s="489"/>
      <c r="Y9" s="489"/>
      <c r="Z9" s="489"/>
    </row>
    <row r="10" ht="15.75" customHeight="1">
      <c r="E10" s="489"/>
      <c r="F10" s="489"/>
      <c r="G10" s="489"/>
      <c r="H10" s="489"/>
      <c r="I10" s="489"/>
      <c r="J10" s="489"/>
      <c r="K10" s="489"/>
      <c r="L10" s="489"/>
      <c r="M10" s="489"/>
      <c r="N10" s="489"/>
      <c r="O10" s="489"/>
      <c r="P10" s="489"/>
      <c r="Q10" s="489"/>
      <c r="R10" s="489"/>
      <c r="S10" s="489"/>
      <c r="T10" s="489"/>
      <c r="U10" s="489"/>
      <c r="V10" s="489"/>
      <c r="W10" s="489"/>
      <c r="X10" s="489"/>
      <c r="Y10" s="489"/>
      <c r="Z10" s="489"/>
    </row>
    <row r="11" ht="15.75" customHeight="1">
      <c r="E11" s="489"/>
      <c r="F11" s="489"/>
      <c r="G11" s="489"/>
      <c r="H11" s="489"/>
      <c r="I11" s="489"/>
      <c r="J11" s="489"/>
      <c r="K11" s="489"/>
      <c r="L11" s="489"/>
      <c r="M11" s="489"/>
      <c r="N11" s="489"/>
      <c r="O11" s="489"/>
      <c r="P11" s="489"/>
      <c r="Q11" s="489"/>
      <c r="R11" s="489"/>
      <c r="S11" s="489"/>
      <c r="T11" s="489"/>
      <c r="U11" s="489"/>
      <c r="V11" s="489"/>
      <c r="W11" s="489"/>
      <c r="X11" s="489"/>
      <c r="Y11" s="489"/>
      <c r="Z11" s="489"/>
    </row>
    <row r="12" ht="15.75" customHeight="1">
      <c r="E12" s="489"/>
      <c r="F12" s="489"/>
      <c r="G12" s="489"/>
      <c r="H12" s="489"/>
      <c r="I12" s="489"/>
      <c r="J12" s="489"/>
      <c r="K12" s="489"/>
      <c r="L12" s="489"/>
      <c r="M12" s="489"/>
      <c r="N12" s="489"/>
      <c r="O12" s="489"/>
      <c r="P12" s="489"/>
      <c r="Q12" s="489"/>
      <c r="R12" s="489"/>
      <c r="S12" s="489"/>
      <c r="T12" s="489"/>
      <c r="U12" s="489"/>
      <c r="V12" s="489"/>
      <c r="W12" s="489"/>
      <c r="X12" s="489"/>
      <c r="Y12" s="489"/>
      <c r="Z12" s="489"/>
    </row>
    <row r="13" ht="15.75" customHeight="1">
      <c r="E13" s="489"/>
      <c r="F13" s="489"/>
      <c r="G13" s="489"/>
      <c r="H13" s="489"/>
      <c r="I13" s="489"/>
      <c r="J13" s="489"/>
      <c r="K13" s="489"/>
      <c r="L13" s="489"/>
      <c r="M13" s="489"/>
      <c r="N13" s="489"/>
      <c r="O13" s="489"/>
      <c r="P13" s="489"/>
      <c r="Q13" s="489"/>
      <c r="R13" s="489"/>
      <c r="S13" s="489"/>
      <c r="T13" s="489"/>
      <c r="U13" s="489"/>
      <c r="V13" s="489"/>
      <c r="W13" s="489"/>
      <c r="X13" s="489"/>
      <c r="Y13" s="489"/>
      <c r="Z13" s="489"/>
    </row>
    <row r="14" ht="15.75" customHeight="1">
      <c r="E14" s="489"/>
      <c r="F14" s="489"/>
      <c r="G14" s="489"/>
      <c r="H14" s="489"/>
      <c r="I14" s="489"/>
      <c r="J14" s="489"/>
      <c r="K14" s="489"/>
      <c r="L14" s="489"/>
      <c r="M14" s="489"/>
      <c r="N14" s="489"/>
      <c r="O14" s="489"/>
      <c r="P14" s="489"/>
      <c r="Q14" s="489"/>
      <c r="R14" s="489"/>
      <c r="S14" s="489"/>
      <c r="T14" s="489"/>
      <c r="U14" s="489"/>
      <c r="V14" s="489"/>
      <c r="W14" s="489"/>
      <c r="X14" s="489"/>
      <c r="Y14" s="489"/>
      <c r="Z14" s="489"/>
    </row>
    <row r="15" ht="15.75" customHeight="1">
      <c r="E15" s="489"/>
      <c r="F15" s="489"/>
      <c r="G15" s="489"/>
      <c r="H15" s="489"/>
      <c r="I15" s="489"/>
      <c r="J15" s="489"/>
      <c r="K15" s="489"/>
      <c r="L15" s="489"/>
      <c r="M15" s="489"/>
      <c r="N15" s="489"/>
      <c r="O15" s="489"/>
      <c r="P15" s="489"/>
      <c r="Q15" s="489"/>
      <c r="R15" s="489"/>
      <c r="S15" s="489"/>
      <c r="T15" s="489"/>
      <c r="U15" s="489"/>
      <c r="V15" s="489"/>
      <c r="W15" s="489"/>
      <c r="X15" s="489"/>
      <c r="Y15" s="489"/>
      <c r="Z15" s="489"/>
    </row>
    <row r="16" ht="15.75" customHeight="1">
      <c r="E16" s="489"/>
      <c r="F16" s="489"/>
      <c r="G16" s="489"/>
      <c r="H16" s="489"/>
      <c r="I16" s="489"/>
      <c r="J16" s="489"/>
      <c r="K16" s="489"/>
      <c r="L16" s="489"/>
      <c r="M16" s="489"/>
      <c r="N16" s="489"/>
      <c r="O16" s="489"/>
      <c r="P16" s="489"/>
      <c r="Q16" s="489"/>
      <c r="R16" s="489"/>
      <c r="S16" s="489"/>
      <c r="T16" s="489"/>
      <c r="U16" s="489"/>
      <c r="V16" s="489"/>
      <c r="W16" s="489"/>
      <c r="X16" s="489"/>
      <c r="Y16" s="489"/>
      <c r="Z16" s="489"/>
    </row>
    <row r="17" ht="15.75" customHeight="1">
      <c r="E17" s="489"/>
      <c r="F17" s="489"/>
      <c r="G17" s="489"/>
      <c r="H17" s="489"/>
      <c r="I17" s="489"/>
      <c r="J17" s="489"/>
      <c r="K17" s="489"/>
      <c r="L17" s="489"/>
      <c r="M17" s="489"/>
      <c r="N17" s="489"/>
      <c r="O17" s="489"/>
      <c r="P17" s="489"/>
      <c r="Q17" s="489"/>
      <c r="R17" s="489"/>
      <c r="S17" s="489"/>
      <c r="T17" s="489"/>
      <c r="U17" s="489"/>
      <c r="V17" s="489"/>
      <c r="W17" s="489"/>
      <c r="X17" s="489"/>
      <c r="Y17" s="489"/>
      <c r="Z17" s="489"/>
    </row>
    <row r="18" ht="15.75" customHeight="1">
      <c r="E18" s="489"/>
      <c r="F18" s="489"/>
      <c r="G18" s="489"/>
      <c r="H18" s="489"/>
      <c r="I18" s="489"/>
      <c r="J18" s="489"/>
      <c r="K18" s="489"/>
      <c r="L18" s="489"/>
      <c r="M18" s="489"/>
      <c r="N18" s="489"/>
      <c r="O18" s="489"/>
      <c r="P18" s="489"/>
      <c r="Q18" s="489"/>
      <c r="R18" s="489"/>
      <c r="S18" s="489"/>
      <c r="T18" s="489"/>
      <c r="U18" s="489"/>
      <c r="V18" s="489"/>
      <c r="W18" s="489"/>
      <c r="X18" s="489"/>
      <c r="Y18" s="489"/>
      <c r="Z18" s="489"/>
    </row>
    <row r="19" ht="15.75" customHeight="1">
      <c r="E19" s="489"/>
      <c r="F19" s="489"/>
      <c r="G19" s="489"/>
      <c r="H19" s="489"/>
      <c r="I19" s="489"/>
      <c r="J19" s="489"/>
      <c r="K19" s="489"/>
      <c r="L19" s="489"/>
      <c r="M19" s="489"/>
      <c r="N19" s="489"/>
      <c r="O19" s="489"/>
      <c r="P19" s="489"/>
      <c r="Q19" s="489"/>
      <c r="R19" s="489"/>
      <c r="S19" s="489"/>
      <c r="T19" s="489"/>
      <c r="U19" s="489"/>
      <c r="V19" s="489"/>
      <c r="W19" s="489"/>
      <c r="X19" s="489"/>
      <c r="Y19" s="489"/>
      <c r="Z19" s="489"/>
    </row>
    <row r="20" ht="15.75" customHeight="1">
      <c r="E20" s="489"/>
      <c r="F20" s="489"/>
      <c r="G20" s="489"/>
      <c r="H20" s="489"/>
      <c r="I20" s="489"/>
      <c r="J20" s="489"/>
      <c r="K20" s="489"/>
      <c r="L20" s="489"/>
      <c r="M20" s="489"/>
      <c r="N20" s="489"/>
      <c r="O20" s="489"/>
      <c r="P20" s="489"/>
      <c r="Q20" s="489"/>
      <c r="R20" s="489"/>
      <c r="S20" s="489"/>
      <c r="T20" s="489"/>
      <c r="U20" s="489"/>
      <c r="V20" s="489"/>
      <c r="W20" s="489"/>
      <c r="X20" s="489"/>
      <c r="Y20" s="489"/>
      <c r="Z20" s="489"/>
    </row>
    <row r="21" ht="15.75" customHeight="1">
      <c r="E21" s="489"/>
      <c r="F21" s="489"/>
      <c r="G21" s="489"/>
      <c r="H21" s="489"/>
      <c r="I21" s="489"/>
      <c r="J21" s="489"/>
      <c r="K21" s="489"/>
      <c r="L21" s="489"/>
      <c r="M21" s="489"/>
      <c r="N21" s="489"/>
      <c r="O21" s="489"/>
      <c r="P21" s="489"/>
      <c r="Q21" s="489"/>
      <c r="R21" s="489"/>
      <c r="S21" s="489"/>
      <c r="T21" s="489"/>
      <c r="U21" s="489"/>
      <c r="V21" s="489"/>
      <c r="W21" s="489"/>
      <c r="X21" s="489"/>
      <c r="Y21" s="489"/>
      <c r="Z21" s="489"/>
    </row>
    <row r="22" ht="15.75" customHeight="1">
      <c r="E22" s="489"/>
      <c r="F22" s="489"/>
      <c r="G22" s="489"/>
      <c r="H22" s="489"/>
      <c r="I22" s="489"/>
      <c r="J22" s="489"/>
      <c r="K22" s="489"/>
      <c r="L22" s="489"/>
      <c r="M22" s="489"/>
      <c r="N22" s="489"/>
      <c r="O22" s="489"/>
      <c r="P22" s="489"/>
      <c r="Q22" s="489"/>
      <c r="R22" s="489"/>
      <c r="S22" s="489"/>
      <c r="T22" s="489"/>
      <c r="U22" s="489"/>
      <c r="V22" s="489"/>
      <c r="W22" s="489"/>
      <c r="X22" s="489"/>
      <c r="Y22" s="489"/>
      <c r="Z22" s="489"/>
    </row>
    <row r="23" ht="15.75" customHeight="1">
      <c r="E23" s="489"/>
      <c r="F23" s="489"/>
      <c r="G23" s="489"/>
      <c r="H23" s="489"/>
      <c r="I23" s="489"/>
      <c r="J23" s="489"/>
      <c r="K23" s="489"/>
      <c r="L23" s="489"/>
      <c r="M23" s="489"/>
      <c r="N23" s="489"/>
      <c r="O23" s="489"/>
      <c r="P23" s="489"/>
      <c r="Q23" s="489"/>
      <c r="R23" s="489"/>
      <c r="S23" s="489"/>
      <c r="T23" s="489"/>
      <c r="U23" s="489"/>
      <c r="V23" s="489"/>
      <c r="W23" s="489"/>
      <c r="X23" s="489"/>
      <c r="Y23" s="489"/>
      <c r="Z23" s="489"/>
    </row>
    <row r="24" ht="15.75" customHeight="1">
      <c r="E24" s="489"/>
      <c r="F24" s="489"/>
      <c r="G24" s="489"/>
      <c r="H24" s="489"/>
      <c r="I24" s="489"/>
      <c r="J24" s="489"/>
      <c r="K24" s="489"/>
      <c r="L24" s="489"/>
      <c r="M24" s="489"/>
      <c r="N24" s="489"/>
      <c r="O24" s="489"/>
      <c r="P24" s="489"/>
      <c r="Q24" s="489"/>
      <c r="R24" s="489"/>
      <c r="S24" s="489"/>
      <c r="T24" s="489"/>
      <c r="U24" s="489"/>
      <c r="V24" s="489"/>
      <c r="W24" s="489"/>
      <c r="X24" s="489"/>
      <c r="Y24" s="489"/>
      <c r="Z24" s="489"/>
    </row>
    <row r="25" ht="15.75" customHeight="1">
      <c r="E25" s="489"/>
      <c r="F25" s="489"/>
      <c r="G25" s="489"/>
      <c r="H25" s="489"/>
      <c r="I25" s="489"/>
      <c r="J25" s="489"/>
      <c r="K25" s="489"/>
      <c r="L25" s="489"/>
      <c r="M25" s="489"/>
      <c r="N25" s="489"/>
      <c r="O25" s="489"/>
      <c r="P25" s="489"/>
      <c r="Q25" s="489"/>
      <c r="R25" s="489"/>
      <c r="S25" s="489"/>
      <c r="T25" s="489"/>
      <c r="U25" s="489"/>
      <c r="V25" s="489"/>
      <c r="W25" s="489"/>
      <c r="X25" s="489"/>
      <c r="Y25" s="489"/>
      <c r="Z25" s="489"/>
    </row>
    <row r="26" ht="15.75" customHeight="1">
      <c r="E26" s="489"/>
      <c r="F26" s="489"/>
      <c r="G26" s="489"/>
      <c r="H26" s="489"/>
      <c r="I26" s="489"/>
      <c r="J26" s="489"/>
      <c r="K26" s="489"/>
      <c r="L26" s="489"/>
      <c r="M26" s="489"/>
      <c r="N26" s="489"/>
      <c r="O26" s="489"/>
      <c r="P26" s="489"/>
      <c r="Q26" s="489"/>
      <c r="R26" s="489"/>
      <c r="S26" s="489"/>
      <c r="T26" s="489"/>
      <c r="U26" s="489"/>
      <c r="V26" s="489"/>
      <c r="W26" s="489"/>
      <c r="X26" s="489"/>
      <c r="Y26" s="489"/>
      <c r="Z26" s="489"/>
    </row>
    <row r="27" ht="15.75" customHeight="1">
      <c r="E27" s="489"/>
      <c r="F27" s="489"/>
      <c r="G27" s="489"/>
      <c r="H27" s="489"/>
      <c r="I27" s="489"/>
      <c r="J27" s="489"/>
      <c r="K27" s="489"/>
      <c r="L27" s="489"/>
      <c r="M27" s="489"/>
      <c r="N27" s="489"/>
      <c r="O27" s="489"/>
      <c r="P27" s="489"/>
      <c r="Q27" s="489"/>
      <c r="R27" s="489"/>
      <c r="S27" s="489"/>
      <c r="T27" s="489"/>
      <c r="U27" s="489"/>
      <c r="V27" s="489"/>
      <c r="W27" s="489"/>
      <c r="X27" s="489"/>
      <c r="Y27" s="489"/>
      <c r="Z27" s="489"/>
    </row>
    <row r="28" ht="15.75" customHeight="1">
      <c r="E28" s="489"/>
      <c r="F28" s="489"/>
      <c r="G28" s="489"/>
      <c r="H28" s="489"/>
      <c r="I28" s="489"/>
      <c r="J28" s="489"/>
      <c r="K28" s="489"/>
      <c r="L28" s="489"/>
      <c r="M28" s="489"/>
      <c r="N28" s="489"/>
      <c r="O28" s="489"/>
      <c r="P28" s="489"/>
      <c r="Q28" s="489"/>
      <c r="R28" s="489"/>
      <c r="S28" s="489"/>
      <c r="T28" s="489"/>
      <c r="U28" s="489"/>
      <c r="V28" s="489"/>
      <c r="W28" s="489"/>
      <c r="X28" s="489"/>
      <c r="Y28" s="489"/>
      <c r="Z28" s="489"/>
    </row>
    <row r="29" ht="15.75" customHeight="1">
      <c r="E29" s="489"/>
      <c r="F29" s="489"/>
      <c r="G29" s="489"/>
      <c r="H29" s="489"/>
      <c r="I29" s="489"/>
      <c r="J29" s="489"/>
      <c r="K29" s="489"/>
      <c r="L29" s="489"/>
      <c r="M29" s="489"/>
      <c r="N29" s="489"/>
      <c r="O29" s="489"/>
      <c r="P29" s="489"/>
      <c r="Q29" s="489"/>
      <c r="R29" s="489"/>
      <c r="S29" s="489"/>
      <c r="T29" s="489"/>
      <c r="U29" s="489"/>
      <c r="V29" s="489"/>
      <c r="W29" s="489"/>
      <c r="X29" s="489"/>
      <c r="Y29" s="489"/>
      <c r="Z29" s="489"/>
    </row>
    <row r="30" ht="15.75" customHeight="1">
      <c r="E30" s="489"/>
      <c r="F30" s="489"/>
      <c r="G30" s="489"/>
      <c r="H30" s="489"/>
      <c r="I30" s="489"/>
      <c r="J30" s="489"/>
      <c r="K30" s="489"/>
      <c r="L30" s="489"/>
      <c r="M30" s="489"/>
      <c r="N30" s="489"/>
      <c r="O30" s="489"/>
      <c r="P30" s="489"/>
      <c r="Q30" s="489"/>
      <c r="R30" s="489"/>
      <c r="S30" s="489"/>
      <c r="T30" s="489"/>
      <c r="U30" s="489"/>
      <c r="V30" s="489"/>
      <c r="W30" s="489"/>
      <c r="X30" s="489"/>
      <c r="Y30" s="489"/>
      <c r="Z30" s="489"/>
    </row>
    <row r="31" ht="15.75" customHeight="1">
      <c r="E31" s="489"/>
      <c r="F31" s="489"/>
      <c r="G31" s="489"/>
      <c r="H31" s="489"/>
      <c r="I31" s="489"/>
      <c r="J31" s="489"/>
      <c r="K31" s="489"/>
      <c r="L31" s="489"/>
      <c r="M31" s="489"/>
      <c r="N31" s="489"/>
      <c r="O31" s="489"/>
      <c r="P31" s="489"/>
      <c r="Q31" s="489"/>
      <c r="R31" s="489"/>
      <c r="S31" s="489"/>
      <c r="T31" s="489"/>
      <c r="U31" s="489"/>
      <c r="V31" s="489"/>
      <c r="W31" s="489"/>
      <c r="X31" s="489"/>
      <c r="Y31" s="489"/>
      <c r="Z31" s="489"/>
    </row>
    <row r="32" ht="15.75" customHeight="1">
      <c r="E32" s="489"/>
      <c r="F32" s="489"/>
      <c r="G32" s="489"/>
      <c r="H32" s="489"/>
      <c r="I32" s="489"/>
      <c r="J32" s="489"/>
      <c r="K32" s="489"/>
      <c r="L32" s="489"/>
      <c r="M32" s="489"/>
      <c r="N32" s="489"/>
      <c r="O32" s="489"/>
      <c r="P32" s="489"/>
      <c r="Q32" s="489"/>
      <c r="R32" s="489"/>
      <c r="S32" s="489"/>
      <c r="T32" s="489"/>
      <c r="U32" s="489"/>
      <c r="V32" s="489"/>
      <c r="W32" s="489"/>
      <c r="X32" s="489"/>
      <c r="Y32" s="489"/>
      <c r="Z32" s="489"/>
    </row>
    <row r="33" ht="15.75" customHeight="1">
      <c r="E33" s="489"/>
      <c r="F33" s="489"/>
      <c r="G33" s="489"/>
      <c r="H33" s="489"/>
      <c r="I33" s="489"/>
      <c r="J33" s="489"/>
      <c r="K33" s="489"/>
      <c r="L33" s="489"/>
      <c r="M33" s="489"/>
      <c r="N33" s="489"/>
      <c r="O33" s="489"/>
      <c r="P33" s="489"/>
      <c r="Q33" s="489"/>
      <c r="R33" s="489"/>
      <c r="S33" s="489"/>
      <c r="T33" s="489"/>
      <c r="U33" s="489"/>
      <c r="V33" s="489"/>
      <c r="W33" s="489"/>
      <c r="X33" s="489"/>
      <c r="Y33" s="489"/>
      <c r="Z33" s="489"/>
    </row>
    <row r="34" ht="15.75" customHeight="1">
      <c r="E34" s="489"/>
      <c r="F34" s="489"/>
      <c r="G34" s="489"/>
      <c r="H34" s="489"/>
      <c r="I34" s="489"/>
      <c r="J34" s="489"/>
      <c r="K34" s="489"/>
      <c r="L34" s="489"/>
      <c r="M34" s="489"/>
      <c r="N34" s="489"/>
      <c r="O34" s="489"/>
      <c r="P34" s="489"/>
      <c r="Q34" s="489"/>
      <c r="R34" s="489"/>
      <c r="S34" s="489"/>
      <c r="T34" s="489"/>
      <c r="U34" s="489"/>
      <c r="V34" s="489"/>
      <c r="W34" s="489"/>
      <c r="X34" s="489"/>
      <c r="Y34" s="489"/>
      <c r="Z34" s="489"/>
    </row>
    <row r="35" ht="15.75" customHeight="1">
      <c r="E35" s="489"/>
      <c r="F35" s="489"/>
      <c r="G35" s="489"/>
      <c r="H35" s="489"/>
      <c r="I35" s="489"/>
      <c r="J35" s="489"/>
      <c r="K35" s="489"/>
      <c r="L35" s="489"/>
      <c r="M35" s="489"/>
      <c r="N35" s="489"/>
      <c r="O35" s="489"/>
      <c r="P35" s="489"/>
      <c r="Q35" s="489"/>
      <c r="R35" s="489"/>
      <c r="S35" s="489"/>
      <c r="T35" s="489"/>
      <c r="U35" s="489"/>
      <c r="V35" s="489"/>
      <c r="W35" s="489"/>
      <c r="X35" s="489"/>
      <c r="Y35" s="489"/>
      <c r="Z35" s="489"/>
    </row>
    <row r="36" ht="15.75" customHeight="1">
      <c r="E36" s="489"/>
      <c r="F36" s="489"/>
      <c r="G36" s="489"/>
      <c r="H36" s="489"/>
      <c r="I36" s="489"/>
      <c r="J36" s="489"/>
      <c r="K36" s="489"/>
      <c r="L36" s="489"/>
      <c r="M36" s="489"/>
      <c r="N36" s="489"/>
      <c r="O36" s="489"/>
      <c r="P36" s="489"/>
      <c r="Q36" s="489"/>
      <c r="R36" s="489"/>
      <c r="S36" s="489"/>
      <c r="T36" s="489"/>
      <c r="U36" s="489"/>
      <c r="V36" s="489"/>
      <c r="W36" s="489"/>
      <c r="X36" s="489"/>
      <c r="Y36" s="489"/>
      <c r="Z36" s="489"/>
    </row>
    <row r="37" ht="15.75" customHeight="1">
      <c r="E37" s="489"/>
      <c r="F37" s="489"/>
      <c r="G37" s="489"/>
      <c r="H37" s="489"/>
      <c r="I37" s="489"/>
      <c r="J37" s="489"/>
      <c r="K37" s="489"/>
      <c r="L37" s="489"/>
      <c r="M37" s="489"/>
      <c r="N37" s="489"/>
      <c r="O37" s="489"/>
      <c r="P37" s="489"/>
      <c r="Q37" s="489"/>
      <c r="R37" s="489"/>
      <c r="S37" s="489"/>
      <c r="T37" s="489"/>
      <c r="U37" s="489"/>
      <c r="V37" s="489"/>
      <c r="W37" s="489"/>
      <c r="X37" s="489"/>
      <c r="Y37" s="489"/>
      <c r="Z37" s="489"/>
    </row>
    <row r="38" ht="15.75" customHeight="1">
      <c r="E38" s="489"/>
      <c r="F38" s="489"/>
      <c r="G38" s="489"/>
      <c r="H38" s="489"/>
      <c r="I38" s="489"/>
      <c r="J38" s="489"/>
      <c r="K38" s="489"/>
      <c r="L38" s="489"/>
      <c r="M38" s="489"/>
      <c r="N38" s="489"/>
      <c r="O38" s="489"/>
      <c r="P38" s="489"/>
      <c r="Q38" s="489"/>
      <c r="R38" s="489"/>
      <c r="S38" s="489"/>
      <c r="T38" s="489"/>
      <c r="U38" s="489"/>
      <c r="V38" s="489"/>
      <c r="W38" s="489"/>
      <c r="X38" s="489"/>
      <c r="Y38" s="489"/>
      <c r="Z38" s="489"/>
    </row>
    <row r="39" ht="15.75" customHeight="1">
      <c r="E39" s="489"/>
      <c r="F39" s="489"/>
      <c r="G39" s="489"/>
      <c r="H39" s="489"/>
      <c r="I39" s="489"/>
      <c r="J39" s="489"/>
      <c r="K39" s="489"/>
      <c r="L39" s="489"/>
      <c r="M39" s="489"/>
      <c r="N39" s="489"/>
      <c r="O39" s="489"/>
      <c r="P39" s="489"/>
      <c r="Q39" s="489"/>
      <c r="R39" s="489"/>
      <c r="S39" s="489"/>
      <c r="T39" s="489"/>
      <c r="U39" s="489"/>
      <c r="V39" s="489"/>
      <c r="W39" s="489"/>
      <c r="X39" s="489"/>
      <c r="Y39" s="489"/>
      <c r="Z39" s="489"/>
    </row>
    <row r="40" ht="15.75" customHeight="1">
      <c r="E40" s="489"/>
      <c r="F40" s="489"/>
      <c r="G40" s="489"/>
      <c r="H40" s="489"/>
      <c r="I40" s="489"/>
      <c r="J40" s="489"/>
      <c r="K40" s="489"/>
      <c r="L40" s="489"/>
      <c r="M40" s="489"/>
      <c r="N40" s="489"/>
      <c r="O40" s="489"/>
      <c r="P40" s="489"/>
      <c r="Q40" s="489"/>
      <c r="R40" s="489"/>
      <c r="S40" s="489"/>
      <c r="T40" s="489"/>
      <c r="U40" s="489"/>
      <c r="V40" s="489"/>
      <c r="W40" s="489"/>
      <c r="X40" s="489"/>
      <c r="Y40" s="489"/>
      <c r="Z40" s="489"/>
    </row>
    <row r="41" ht="15.75" customHeight="1">
      <c r="E41" s="489"/>
      <c r="F41" s="489"/>
      <c r="G41" s="489"/>
      <c r="H41" s="489"/>
      <c r="I41" s="489"/>
      <c r="J41" s="489"/>
      <c r="K41" s="489"/>
      <c r="L41" s="489"/>
      <c r="M41" s="489"/>
      <c r="N41" s="489"/>
      <c r="O41" s="489"/>
      <c r="P41" s="489"/>
      <c r="Q41" s="489"/>
      <c r="R41" s="489"/>
      <c r="S41" s="489"/>
      <c r="T41" s="489"/>
      <c r="U41" s="489"/>
      <c r="V41" s="489"/>
      <c r="W41" s="489"/>
      <c r="X41" s="489"/>
      <c r="Y41" s="489"/>
      <c r="Z41" s="489"/>
    </row>
    <row r="42" ht="15.75" customHeight="1">
      <c r="E42" s="489"/>
      <c r="F42" s="489"/>
      <c r="G42" s="489"/>
      <c r="H42" s="489"/>
      <c r="I42" s="489"/>
      <c r="J42" s="489"/>
      <c r="K42" s="489"/>
      <c r="L42" s="489"/>
      <c r="M42" s="489"/>
      <c r="N42" s="489"/>
      <c r="O42" s="489"/>
      <c r="P42" s="489"/>
      <c r="Q42" s="489"/>
      <c r="R42" s="489"/>
      <c r="S42" s="489"/>
      <c r="T42" s="489"/>
      <c r="U42" s="489"/>
      <c r="V42" s="489"/>
      <c r="W42" s="489"/>
      <c r="X42" s="489"/>
      <c r="Y42" s="489"/>
      <c r="Z42" s="489"/>
    </row>
    <row r="43" ht="15.75" customHeight="1">
      <c r="E43" s="489"/>
      <c r="F43" s="489"/>
      <c r="G43" s="489"/>
      <c r="H43" s="489"/>
      <c r="I43" s="489"/>
      <c r="J43" s="489"/>
      <c r="K43" s="489"/>
      <c r="L43" s="489"/>
      <c r="M43" s="489"/>
      <c r="N43" s="489"/>
      <c r="O43" s="489"/>
      <c r="P43" s="489"/>
      <c r="Q43" s="489"/>
      <c r="R43" s="489"/>
      <c r="S43" s="489"/>
      <c r="T43" s="489"/>
      <c r="U43" s="489"/>
      <c r="V43" s="489"/>
      <c r="W43" s="489"/>
      <c r="X43" s="489"/>
      <c r="Y43" s="489"/>
      <c r="Z43" s="489"/>
    </row>
    <row r="44" ht="15.75" customHeight="1">
      <c r="E44" s="489"/>
      <c r="F44" s="489"/>
      <c r="G44" s="489"/>
      <c r="H44" s="489"/>
      <c r="I44" s="489"/>
      <c r="J44" s="489"/>
      <c r="K44" s="489"/>
      <c r="L44" s="489"/>
      <c r="M44" s="489"/>
      <c r="N44" s="489"/>
      <c r="O44" s="489"/>
      <c r="P44" s="489"/>
      <c r="Q44" s="489"/>
      <c r="R44" s="489"/>
      <c r="S44" s="489"/>
      <c r="T44" s="489"/>
      <c r="U44" s="489"/>
      <c r="V44" s="489"/>
      <c r="W44" s="489"/>
      <c r="X44" s="489"/>
      <c r="Y44" s="489"/>
      <c r="Z44" s="489"/>
    </row>
    <row r="45" ht="15.75" customHeight="1">
      <c r="E45" s="489"/>
      <c r="F45" s="489"/>
      <c r="G45" s="489"/>
      <c r="H45" s="489"/>
      <c r="I45" s="489"/>
      <c r="J45" s="489"/>
      <c r="K45" s="489"/>
      <c r="L45" s="489"/>
      <c r="M45" s="489"/>
      <c r="N45" s="489"/>
      <c r="O45" s="489"/>
      <c r="P45" s="489"/>
      <c r="Q45" s="489"/>
      <c r="R45" s="489"/>
      <c r="S45" s="489"/>
      <c r="T45" s="489"/>
      <c r="U45" s="489"/>
      <c r="V45" s="489"/>
      <c r="W45" s="489"/>
      <c r="X45" s="489"/>
      <c r="Y45" s="489"/>
      <c r="Z45" s="489"/>
    </row>
    <row r="46" ht="15.75" customHeight="1">
      <c r="E46" s="489"/>
      <c r="F46" s="489"/>
      <c r="G46" s="489"/>
      <c r="H46" s="489"/>
      <c r="I46" s="489"/>
      <c r="J46" s="489"/>
      <c r="K46" s="489"/>
      <c r="L46" s="489"/>
      <c r="M46" s="489"/>
      <c r="N46" s="489"/>
      <c r="O46" s="489"/>
      <c r="P46" s="489"/>
      <c r="Q46" s="489"/>
      <c r="R46" s="489"/>
      <c r="S46" s="489"/>
      <c r="T46" s="489"/>
      <c r="U46" s="489"/>
      <c r="V46" s="489"/>
      <c r="W46" s="489"/>
      <c r="X46" s="489"/>
      <c r="Y46" s="489"/>
      <c r="Z46" s="489"/>
    </row>
    <row r="47" ht="15.75" customHeight="1">
      <c r="E47" s="489"/>
      <c r="F47" s="489"/>
      <c r="G47" s="489"/>
      <c r="H47" s="489"/>
      <c r="I47" s="489"/>
      <c r="J47" s="489"/>
      <c r="K47" s="489"/>
      <c r="L47" s="489"/>
      <c r="M47" s="489"/>
      <c r="N47" s="489"/>
      <c r="O47" s="489"/>
      <c r="P47" s="489"/>
      <c r="Q47" s="489"/>
      <c r="R47" s="489"/>
      <c r="S47" s="489"/>
      <c r="T47" s="489"/>
      <c r="U47" s="489"/>
      <c r="V47" s="489"/>
      <c r="W47" s="489"/>
      <c r="X47" s="489"/>
      <c r="Y47" s="489"/>
      <c r="Z47" s="489"/>
    </row>
    <row r="48" ht="15.75" customHeight="1">
      <c r="E48" s="489"/>
      <c r="F48" s="489"/>
      <c r="G48" s="489"/>
      <c r="H48" s="489"/>
      <c r="I48" s="489"/>
      <c r="J48" s="489"/>
      <c r="K48" s="489"/>
      <c r="L48" s="489"/>
      <c r="M48" s="489"/>
      <c r="N48" s="489"/>
      <c r="O48" s="489"/>
      <c r="P48" s="489"/>
      <c r="Q48" s="489"/>
      <c r="R48" s="489"/>
      <c r="S48" s="489"/>
      <c r="T48" s="489"/>
      <c r="U48" s="489"/>
      <c r="V48" s="489"/>
      <c r="W48" s="489"/>
      <c r="X48" s="489"/>
      <c r="Y48" s="489"/>
      <c r="Z48" s="489"/>
    </row>
    <row r="49" ht="15.75" customHeight="1">
      <c r="E49" s="489"/>
      <c r="F49" s="489"/>
      <c r="G49" s="489"/>
      <c r="H49" s="489"/>
      <c r="I49" s="489"/>
      <c r="J49" s="489"/>
      <c r="K49" s="489"/>
      <c r="L49" s="489"/>
      <c r="M49" s="489"/>
      <c r="N49" s="489"/>
      <c r="O49" s="489"/>
      <c r="P49" s="489"/>
      <c r="Q49" s="489"/>
      <c r="R49" s="489"/>
      <c r="S49" s="489"/>
      <c r="T49" s="489"/>
      <c r="U49" s="489"/>
      <c r="V49" s="489"/>
      <c r="W49" s="489"/>
      <c r="X49" s="489"/>
      <c r="Y49" s="489"/>
      <c r="Z49" s="489"/>
    </row>
    <row r="50" ht="15.75" customHeight="1">
      <c r="E50" s="489"/>
      <c r="F50" s="489"/>
      <c r="G50" s="489"/>
      <c r="H50" s="489"/>
      <c r="I50" s="489"/>
      <c r="J50" s="489"/>
      <c r="K50" s="489"/>
      <c r="L50" s="489"/>
      <c r="M50" s="489"/>
      <c r="N50" s="489"/>
      <c r="O50" s="489"/>
      <c r="P50" s="489"/>
      <c r="Q50" s="489"/>
      <c r="R50" s="489"/>
      <c r="S50" s="489"/>
      <c r="T50" s="489"/>
      <c r="U50" s="489"/>
      <c r="V50" s="489"/>
      <c r="W50" s="489"/>
      <c r="X50" s="489"/>
      <c r="Y50" s="489"/>
      <c r="Z50" s="489"/>
    </row>
    <row r="51" ht="15.75" customHeight="1">
      <c r="E51" s="489"/>
      <c r="F51" s="489"/>
      <c r="G51" s="489"/>
      <c r="H51" s="489"/>
      <c r="I51" s="489"/>
      <c r="J51" s="489"/>
      <c r="K51" s="489"/>
      <c r="L51" s="489"/>
      <c r="M51" s="489"/>
      <c r="N51" s="489"/>
      <c r="O51" s="489"/>
      <c r="P51" s="489"/>
      <c r="Q51" s="489"/>
      <c r="R51" s="489"/>
      <c r="S51" s="489"/>
      <c r="T51" s="489"/>
      <c r="U51" s="489"/>
      <c r="V51" s="489"/>
      <c r="W51" s="489"/>
      <c r="X51" s="489"/>
      <c r="Y51" s="489"/>
      <c r="Z51" s="489"/>
    </row>
    <row r="52" ht="15.75" customHeight="1">
      <c r="E52" s="489"/>
      <c r="F52" s="489"/>
      <c r="G52" s="489"/>
      <c r="H52" s="489"/>
      <c r="I52" s="489"/>
      <c r="J52" s="489"/>
      <c r="K52" s="489"/>
      <c r="L52" s="489"/>
      <c r="M52" s="489"/>
      <c r="N52" s="489"/>
      <c r="O52" s="489"/>
      <c r="P52" s="489"/>
      <c r="Q52" s="489"/>
      <c r="R52" s="489"/>
      <c r="S52" s="489"/>
      <c r="T52" s="489"/>
      <c r="U52" s="489"/>
      <c r="V52" s="489"/>
      <c r="W52" s="489"/>
      <c r="X52" s="489"/>
      <c r="Y52" s="489"/>
      <c r="Z52" s="489"/>
    </row>
    <row r="53" ht="15.75" customHeight="1">
      <c r="E53" s="489"/>
      <c r="F53" s="489"/>
      <c r="G53" s="489"/>
      <c r="H53" s="489"/>
      <c r="I53" s="489"/>
      <c r="J53" s="489"/>
      <c r="K53" s="489"/>
      <c r="L53" s="489"/>
      <c r="M53" s="489"/>
      <c r="N53" s="489"/>
      <c r="O53" s="489"/>
      <c r="P53" s="489"/>
      <c r="Q53" s="489"/>
      <c r="R53" s="489"/>
      <c r="S53" s="489"/>
      <c r="T53" s="489"/>
      <c r="U53" s="489"/>
      <c r="V53" s="489"/>
      <c r="W53" s="489"/>
      <c r="X53" s="489"/>
      <c r="Y53" s="489"/>
      <c r="Z53" s="489"/>
    </row>
    <row r="54" ht="15.75" customHeight="1">
      <c r="E54" s="489"/>
      <c r="F54" s="489"/>
      <c r="G54" s="489"/>
      <c r="H54" s="489"/>
      <c r="I54" s="489"/>
      <c r="J54" s="489"/>
      <c r="K54" s="489"/>
      <c r="L54" s="489"/>
      <c r="M54" s="489"/>
      <c r="N54" s="489"/>
      <c r="O54" s="489"/>
      <c r="P54" s="489"/>
      <c r="Q54" s="489"/>
      <c r="R54" s="489"/>
      <c r="S54" s="489"/>
      <c r="T54" s="489"/>
      <c r="U54" s="489"/>
      <c r="V54" s="489"/>
      <c r="W54" s="489"/>
      <c r="X54" s="489"/>
      <c r="Y54" s="489"/>
      <c r="Z54" s="489"/>
    </row>
    <row r="55" ht="15.75" customHeight="1">
      <c r="E55" s="489"/>
      <c r="F55" s="489"/>
      <c r="G55" s="489"/>
      <c r="H55" s="489"/>
      <c r="I55" s="489"/>
      <c r="J55" s="489"/>
      <c r="K55" s="489"/>
      <c r="L55" s="489"/>
      <c r="M55" s="489"/>
      <c r="N55" s="489"/>
      <c r="O55" s="489"/>
      <c r="P55" s="489"/>
      <c r="Q55" s="489"/>
      <c r="R55" s="489"/>
      <c r="S55" s="489"/>
      <c r="T55" s="489"/>
      <c r="U55" s="489"/>
      <c r="V55" s="489"/>
      <c r="W55" s="489"/>
      <c r="X55" s="489"/>
      <c r="Y55" s="489"/>
      <c r="Z55" s="489"/>
    </row>
    <row r="56" ht="15.75" customHeight="1">
      <c r="E56" s="489"/>
      <c r="F56" s="489"/>
      <c r="G56" s="489"/>
      <c r="H56" s="489"/>
      <c r="I56" s="489"/>
      <c r="J56" s="489"/>
      <c r="K56" s="489"/>
      <c r="L56" s="489"/>
      <c r="M56" s="489"/>
      <c r="N56" s="489"/>
      <c r="O56" s="489"/>
      <c r="P56" s="489"/>
      <c r="Q56" s="489"/>
      <c r="R56" s="489"/>
      <c r="S56" s="489"/>
      <c r="T56" s="489"/>
      <c r="U56" s="489"/>
      <c r="V56" s="489"/>
      <c r="W56" s="489"/>
      <c r="X56" s="489"/>
      <c r="Y56" s="489"/>
      <c r="Z56" s="489"/>
    </row>
    <row r="57" ht="15.75" customHeight="1">
      <c r="E57" s="489"/>
      <c r="F57" s="489"/>
      <c r="G57" s="489"/>
      <c r="H57" s="489"/>
      <c r="I57" s="489"/>
      <c r="J57" s="489"/>
      <c r="K57" s="489"/>
      <c r="L57" s="489"/>
      <c r="M57" s="489"/>
      <c r="N57" s="489"/>
      <c r="O57" s="489"/>
      <c r="P57" s="489"/>
      <c r="Q57" s="489"/>
      <c r="R57" s="489"/>
      <c r="S57" s="489"/>
      <c r="T57" s="489"/>
      <c r="U57" s="489"/>
      <c r="V57" s="489"/>
      <c r="W57" s="489"/>
      <c r="X57" s="489"/>
      <c r="Y57" s="489"/>
      <c r="Z57" s="489"/>
    </row>
    <row r="58" ht="15.75" customHeight="1">
      <c r="A58" s="490"/>
      <c r="B58" s="491"/>
      <c r="C58" s="491"/>
      <c r="D58" s="492"/>
      <c r="E58" s="489"/>
      <c r="F58" s="489"/>
      <c r="G58" s="489"/>
      <c r="H58" s="489"/>
      <c r="I58" s="489"/>
      <c r="J58" s="489"/>
      <c r="K58" s="489"/>
      <c r="L58" s="489"/>
      <c r="M58" s="489"/>
      <c r="N58" s="489"/>
      <c r="O58" s="489"/>
      <c r="P58" s="489"/>
      <c r="Q58" s="489"/>
      <c r="R58" s="489"/>
      <c r="S58" s="489"/>
      <c r="T58" s="489"/>
      <c r="U58" s="489"/>
      <c r="V58" s="489"/>
      <c r="W58" s="489"/>
      <c r="X58" s="489"/>
      <c r="Y58" s="489"/>
      <c r="Z58" s="489"/>
    </row>
    <row r="59" ht="15.75" customHeight="1">
      <c r="A59" s="489"/>
      <c r="B59" s="489"/>
      <c r="C59" s="489"/>
      <c r="D59" s="489"/>
      <c r="E59" s="489"/>
      <c r="F59" s="489"/>
      <c r="G59" s="489"/>
      <c r="H59" s="489"/>
      <c r="I59" s="489"/>
      <c r="J59" s="489"/>
      <c r="K59" s="489"/>
      <c r="L59" s="489"/>
      <c r="M59" s="489"/>
      <c r="N59" s="489"/>
      <c r="O59" s="489"/>
      <c r="P59" s="489"/>
      <c r="Q59" s="489"/>
      <c r="R59" s="489"/>
      <c r="S59" s="489"/>
      <c r="T59" s="489"/>
      <c r="U59" s="489"/>
      <c r="V59" s="489"/>
      <c r="W59" s="489"/>
      <c r="X59" s="489"/>
      <c r="Y59" s="489"/>
      <c r="Z59" s="489"/>
    </row>
    <row r="60" ht="15.75" customHeight="1">
      <c r="A60" s="489"/>
      <c r="B60" s="489"/>
      <c r="C60" s="489"/>
      <c r="D60" s="489"/>
      <c r="E60" s="489"/>
      <c r="F60" s="489"/>
      <c r="G60" s="489"/>
      <c r="H60" s="489"/>
      <c r="I60" s="489"/>
      <c r="J60" s="489"/>
      <c r="K60" s="489"/>
      <c r="L60" s="489"/>
      <c r="M60" s="489"/>
      <c r="N60" s="489"/>
      <c r="O60" s="489"/>
      <c r="P60" s="489"/>
      <c r="Q60" s="489"/>
      <c r="R60" s="489"/>
      <c r="S60" s="489"/>
      <c r="T60" s="489"/>
      <c r="U60" s="489"/>
      <c r="V60" s="489"/>
      <c r="W60" s="489"/>
      <c r="X60" s="489"/>
      <c r="Y60" s="489"/>
      <c r="Z60" s="489"/>
    </row>
    <row r="61" ht="15.75" customHeight="1">
      <c r="A61" s="489"/>
      <c r="B61" s="489"/>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row>
    <row r="62" ht="15.75" customHeight="1">
      <c r="A62" s="489"/>
      <c r="B62" s="489"/>
      <c r="C62" s="489"/>
      <c r="D62" s="489"/>
      <c r="E62" s="489"/>
      <c r="F62" s="489"/>
      <c r="G62" s="489"/>
      <c r="H62" s="489"/>
      <c r="I62" s="489"/>
      <c r="J62" s="489"/>
      <c r="K62" s="489"/>
      <c r="L62" s="489"/>
      <c r="M62" s="489"/>
      <c r="N62" s="489"/>
      <c r="O62" s="489"/>
      <c r="P62" s="489"/>
      <c r="Q62" s="489"/>
      <c r="R62" s="489"/>
      <c r="S62" s="489"/>
      <c r="T62" s="489"/>
      <c r="U62" s="489"/>
      <c r="V62" s="489"/>
      <c r="W62" s="489"/>
      <c r="X62" s="489"/>
      <c r="Y62" s="489"/>
      <c r="Z62" s="489"/>
    </row>
    <row r="63" ht="15.75" customHeight="1">
      <c r="A63" s="489"/>
      <c r="B63" s="489"/>
      <c r="C63" s="489"/>
      <c r="D63" s="489"/>
      <c r="E63" s="489"/>
      <c r="F63" s="489"/>
      <c r="G63" s="489"/>
      <c r="H63" s="489"/>
      <c r="I63" s="489"/>
      <c r="J63" s="489"/>
      <c r="K63" s="489"/>
      <c r="L63" s="489"/>
      <c r="M63" s="489"/>
      <c r="N63" s="489"/>
      <c r="O63" s="489"/>
      <c r="P63" s="489"/>
      <c r="Q63" s="489"/>
      <c r="R63" s="489"/>
      <c r="S63" s="489"/>
      <c r="T63" s="489"/>
      <c r="U63" s="489"/>
      <c r="V63" s="489"/>
      <c r="W63" s="489"/>
      <c r="X63" s="489"/>
      <c r="Y63" s="489"/>
      <c r="Z63" s="489"/>
    </row>
    <row r="64" ht="15.75" customHeight="1">
      <c r="A64" s="489"/>
      <c r="B64" s="489"/>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row>
    <row r="65" ht="15.75" customHeight="1">
      <c r="A65" s="489"/>
      <c r="B65" s="489"/>
      <c r="C65" s="489"/>
      <c r="D65" s="489"/>
      <c r="E65" s="489"/>
      <c r="F65" s="489"/>
      <c r="G65" s="489"/>
      <c r="H65" s="489"/>
      <c r="I65" s="489"/>
      <c r="J65" s="489"/>
      <c r="K65" s="489"/>
      <c r="L65" s="489"/>
      <c r="M65" s="489"/>
      <c r="N65" s="489"/>
      <c r="O65" s="489"/>
      <c r="P65" s="489"/>
      <c r="Q65" s="489"/>
      <c r="R65" s="489"/>
      <c r="S65" s="489"/>
      <c r="T65" s="489"/>
      <c r="U65" s="489"/>
      <c r="V65" s="489"/>
      <c r="W65" s="489"/>
      <c r="X65" s="489"/>
      <c r="Y65" s="489"/>
      <c r="Z65" s="489"/>
    </row>
    <row r="66" ht="15.75" customHeight="1">
      <c r="A66" s="489"/>
      <c r="B66" s="489"/>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row>
    <row r="67" ht="15.75" customHeight="1">
      <c r="A67" s="489"/>
      <c r="B67" s="489"/>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row>
    <row r="68" ht="15.75" customHeight="1">
      <c r="A68" s="489"/>
      <c r="B68" s="489"/>
      <c r="C68" s="489"/>
      <c r="D68" s="489"/>
      <c r="E68" s="489"/>
      <c r="F68" s="489"/>
      <c r="G68" s="489"/>
      <c r="H68" s="489"/>
      <c r="I68" s="489"/>
      <c r="J68" s="489"/>
      <c r="K68" s="489"/>
      <c r="L68" s="489"/>
      <c r="M68" s="489"/>
      <c r="N68" s="489"/>
      <c r="O68" s="489"/>
      <c r="P68" s="489"/>
      <c r="Q68" s="489"/>
      <c r="R68" s="489"/>
      <c r="S68" s="489"/>
      <c r="T68" s="489"/>
      <c r="U68" s="489"/>
      <c r="V68" s="489"/>
      <c r="W68" s="489"/>
      <c r="X68" s="489"/>
      <c r="Y68" s="489"/>
      <c r="Z68" s="489"/>
    </row>
    <row r="69" ht="15.75" customHeight="1">
      <c r="A69" s="489"/>
      <c r="B69" s="489"/>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row>
    <row r="70" ht="15.75" customHeight="1">
      <c r="A70" s="489"/>
      <c r="B70" s="489"/>
      <c r="C70" s="489"/>
      <c r="D70" s="489"/>
      <c r="E70" s="489"/>
      <c r="F70" s="489"/>
      <c r="G70" s="489"/>
      <c r="H70" s="489"/>
      <c r="I70" s="489"/>
      <c r="J70" s="489"/>
      <c r="K70" s="489"/>
      <c r="L70" s="489"/>
      <c r="M70" s="489"/>
      <c r="N70" s="489"/>
      <c r="O70" s="489"/>
      <c r="P70" s="489"/>
      <c r="Q70" s="489"/>
      <c r="R70" s="489"/>
      <c r="S70" s="489"/>
      <c r="T70" s="489"/>
      <c r="U70" s="489"/>
      <c r="V70" s="489"/>
      <c r="W70" s="489"/>
      <c r="X70" s="489"/>
      <c r="Y70" s="489"/>
      <c r="Z70" s="489"/>
    </row>
    <row r="71" ht="15.75" customHeight="1">
      <c r="A71" s="489"/>
      <c r="B71" s="489"/>
      <c r="C71" s="489"/>
      <c r="D71" s="489"/>
      <c r="E71" s="489"/>
      <c r="F71" s="489"/>
      <c r="G71" s="489"/>
      <c r="H71" s="489"/>
      <c r="I71" s="489"/>
      <c r="J71" s="489"/>
      <c r="K71" s="489"/>
      <c r="L71" s="489"/>
      <c r="M71" s="489"/>
      <c r="N71" s="489"/>
      <c r="O71" s="489"/>
      <c r="P71" s="489"/>
      <c r="Q71" s="489"/>
      <c r="R71" s="489"/>
      <c r="S71" s="489"/>
      <c r="T71" s="489"/>
      <c r="U71" s="489"/>
      <c r="V71" s="489"/>
      <c r="W71" s="489"/>
      <c r="X71" s="489"/>
      <c r="Y71" s="489"/>
      <c r="Z71" s="489"/>
    </row>
    <row r="72" ht="15.75" customHeight="1">
      <c r="A72" s="489"/>
      <c r="B72" s="489"/>
      <c r="C72" s="489"/>
      <c r="D72" s="489"/>
      <c r="E72" s="489"/>
      <c r="F72" s="489"/>
      <c r="G72" s="489"/>
      <c r="H72" s="489"/>
      <c r="I72" s="489"/>
      <c r="J72" s="489"/>
      <c r="K72" s="489"/>
      <c r="L72" s="489"/>
      <c r="M72" s="489"/>
      <c r="N72" s="489"/>
      <c r="O72" s="489"/>
      <c r="P72" s="489"/>
      <c r="Q72" s="489"/>
      <c r="R72" s="489"/>
      <c r="S72" s="489"/>
      <c r="T72" s="489"/>
      <c r="U72" s="489"/>
      <c r="V72" s="489"/>
      <c r="W72" s="489"/>
      <c r="X72" s="489"/>
      <c r="Y72" s="489"/>
      <c r="Z72" s="489"/>
    </row>
    <row r="73" ht="15.75" customHeight="1">
      <c r="A73" s="489"/>
      <c r="B73" s="489"/>
      <c r="C73" s="489"/>
      <c r="D73" s="489"/>
      <c r="E73" s="489"/>
      <c r="F73" s="489"/>
      <c r="G73" s="489"/>
      <c r="H73" s="489"/>
      <c r="I73" s="489"/>
      <c r="J73" s="489"/>
      <c r="K73" s="489"/>
      <c r="L73" s="489"/>
      <c r="M73" s="489"/>
      <c r="N73" s="489"/>
      <c r="O73" s="489"/>
      <c r="P73" s="489"/>
      <c r="Q73" s="489"/>
      <c r="R73" s="489"/>
      <c r="S73" s="489"/>
      <c r="T73" s="489"/>
      <c r="U73" s="489"/>
      <c r="V73" s="489"/>
      <c r="W73" s="489"/>
      <c r="X73" s="489"/>
      <c r="Y73" s="489"/>
      <c r="Z73" s="489"/>
    </row>
    <row r="74" ht="15.75" customHeight="1">
      <c r="A74" s="489"/>
      <c r="B74" s="489"/>
      <c r="C74" s="489"/>
      <c r="D74" s="489"/>
      <c r="E74" s="489"/>
      <c r="F74" s="489"/>
      <c r="G74" s="489"/>
      <c r="H74" s="489"/>
      <c r="I74" s="489"/>
      <c r="J74" s="489"/>
      <c r="K74" s="489"/>
      <c r="L74" s="489"/>
      <c r="M74" s="489"/>
      <c r="N74" s="489"/>
      <c r="O74" s="489"/>
      <c r="P74" s="489"/>
      <c r="Q74" s="489"/>
      <c r="R74" s="489"/>
      <c r="S74" s="489"/>
      <c r="T74" s="489"/>
      <c r="U74" s="489"/>
      <c r="V74" s="489"/>
      <c r="W74" s="489"/>
      <c r="X74" s="489"/>
      <c r="Y74" s="489"/>
      <c r="Z74" s="489"/>
    </row>
    <row r="75" ht="15.75" customHeight="1">
      <c r="A75" s="489"/>
      <c r="B75" s="489"/>
      <c r="C75" s="489"/>
      <c r="D75" s="489"/>
      <c r="E75" s="489"/>
      <c r="F75" s="489"/>
      <c r="G75" s="489"/>
      <c r="H75" s="489"/>
      <c r="I75" s="489"/>
      <c r="J75" s="489"/>
      <c r="K75" s="489"/>
      <c r="L75" s="489"/>
      <c r="M75" s="489"/>
      <c r="N75" s="489"/>
      <c r="O75" s="489"/>
      <c r="P75" s="489"/>
      <c r="Q75" s="489"/>
      <c r="R75" s="489"/>
      <c r="S75" s="489"/>
      <c r="T75" s="489"/>
      <c r="U75" s="489"/>
      <c r="V75" s="489"/>
      <c r="W75" s="489"/>
      <c r="X75" s="489"/>
      <c r="Y75" s="489"/>
      <c r="Z75" s="489"/>
    </row>
    <row r="76" ht="15.75" customHeight="1">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row>
    <row r="77" ht="15.75" customHeight="1">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row>
    <row r="78" ht="15.75" customHeight="1">
      <c r="A78" s="489"/>
      <c r="B78" s="489"/>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row>
    <row r="79" ht="15.75" customHeight="1">
      <c r="A79" s="489"/>
      <c r="B79" s="489"/>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row>
    <row r="80" ht="15.75" customHeight="1">
      <c r="A80" s="489"/>
      <c r="B80" s="489"/>
      <c r="C80" s="489"/>
      <c r="D80" s="489"/>
      <c r="E80" s="489"/>
      <c r="F80" s="489"/>
      <c r="G80" s="489"/>
      <c r="H80" s="489"/>
      <c r="I80" s="489"/>
      <c r="J80" s="489"/>
      <c r="K80" s="489"/>
      <c r="L80" s="489"/>
      <c r="M80" s="489"/>
      <c r="N80" s="489"/>
      <c r="O80" s="489"/>
      <c r="P80" s="489"/>
      <c r="Q80" s="489"/>
      <c r="R80" s="489"/>
      <c r="S80" s="489"/>
      <c r="T80" s="489"/>
      <c r="U80" s="489"/>
      <c r="V80" s="489"/>
      <c r="W80" s="489"/>
      <c r="X80" s="489"/>
      <c r="Y80" s="489"/>
      <c r="Z80" s="489"/>
    </row>
    <row r="81" ht="15.75" customHeight="1">
      <c r="A81" s="489"/>
      <c r="B81" s="489"/>
      <c r="C81" s="489"/>
      <c r="D81" s="489"/>
      <c r="E81" s="489"/>
      <c r="F81" s="489"/>
      <c r="G81" s="489"/>
      <c r="H81" s="489"/>
      <c r="I81" s="489"/>
      <c r="J81" s="489"/>
      <c r="K81" s="489"/>
      <c r="L81" s="489"/>
      <c r="M81" s="489"/>
      <c r="N81" s="489"/>
      <c r="O81" s="489"/>
      <c r="P81" s="489"/>
      <c r="Q81" s="489"/>
      <c r="R81" s="489"/>
      <c r="S81" s="489"/>
      <c r="T81" s="489"/>
      <c r="U81" s="489"/>
      <c r="V81" s="489"/>
      <c r="W81" s="489"/>
      <c r="X81" s="489"/>
      <c r="Y81" s="489"/>
      <c r="Z81" s="489"/>
    </row>
    <row r="82" ht="15.75" customHeight="1">
      <c r="A82" s="489"/>
      <c r="B82" s="489"/>
      <c r="C82" s="489"/>
      <c r="D82" s="489"/>
      <c r="E82" s="489"/>
      <c r="F82" s="489"/>
      <c r="G82" s="489"/>
      <c r="H82" s="489"/>
      <c r="I82" s="489"/>
      <c r="J82" s="489"/>
      <c r="K82" s="489"/>
      <c r="L82" s="489"/>
      <c r="M82" s="489"/>
      <c r="N82" s="489"/>
      <c r="O82" s="489"/>
      <c r="P82" s="489"/>
      <c r="Q82" s="489"/>
      <c r="R82" s="489"/>
      <c r="S82" s="489"/>
      <c r="T82" s="489"/>
      <c r="U82" s="489"/>
      <c r="V82" s="489"/>
      <c r="W82" s="489"/>
      <c r="X82" s="489"/>
      <c r="Y82" s="489"/>
      <c r="Z82" s="489"/>
    </row>
    <row r="83" ht="15.75" customHeight="1">
      <c r="A83" s="489"/>
      <c r="B83" s="489"/>
      <c r="C83" s="489"/>
      <c r="D83" s="489"/>
      <c r="E83" s="489"/>
      <c r="F83" s="489"/>
      <c r="G83" s="489"/>
      <c r="H83" s="489"/>
      <c r="I83" s="489"/>
      <c r="J83" s="489"/>
      <c r="K83" s="489"/>
      <c r="L83" s="489"/>
      <c r="M83" s="489"/>
      <c r="N83" s="489"/>
      <c r="O83" s="489"/>
      <c r="P83" s="489"/>
      <c r="Q83" s="489"/>
      <c r="R83" s="489"/>
      <c r="S83" s="489"/>
      <c r="T83" s="489"/>
      <c r="U83" s="489"/>
      <c r="V83" s="489"/>
      <c r="W83" s="489"/>
      <c r="X83" s="489"/>
      <c r="Y83" s="489"/>
      <c r="Z83" s="489"/>
    </row>
    <row r="84" ht="15.75" customHeight="1">
      <c r="A84" s="489"/>
      <c r="B84" s="489"/>
      <c r="C84" s="489"/>
      <c r="D84" s="489"/>
      <c r="E84" s="489"/>
      <c r="F84" s="489"/>
      <c r="G84" s="489"/>
      <c r="H84" s="489"/>
      <c r="I84" s="489"/>
      <c r="J84" s="489"/>
      <c r="K84" s="489"/>
      <c r="L84" s="489"/>
      <c r="M84" s="489"/>
      <c r="N84" s="489"/>
      <c r="O84" s="489"/>
      <c r="P84" s="489"/>
      <c r="Q84" s="489"/>
      <c r="R84" s="489"/>
      <c r="S84" s="489"/>
      <c r="T84" s="489"/>
      <c r="U84" s="489"/>
      <c r="V84" s="489"/>
      <c r="W84" s="489"/>
      <c r="X84" s="489"/>
      <c r="Y84" s="489"/>
      <c r="Z84" s="489"/>
    </row>
    <row r="85" ht="15.75" customHeight="1">
      <c r="A85" s="489"/>
      <c r="B85" s="489"/>
      <c r="C85" s="489"/>
      <c r="D85" s="489"/>
      <c r="E85" s="489"/>
      <c r="F85" s="489"/>
      <c r="G85" s="489"/>
      <c r="H85" s="489"/>
      <c r="I85" s="489"/>
      <c r="J85" s="489"/>
      <c r="K85" s="489"/>
      <c r="L85" s="489"/>
      <c r="M85" s="489"/>
      <c r="N85" s="489"/>
      <c r="O85" s="489"/>
      <c r="P85" s="489"/>
      <c r="Q85" s="489"/>
      <c r="R85" s="489"/>
      <c r="S85" s="489"/>
      <c r="T85" s="489"/>
      <c r="U85" s="489"/>
      <c r="V85" s="489"/>
      <c r="W85" s="489"/>
      <c r="X85" s="489"/>
      <c r="Y85" s="489"/>
      <c r="Z85" s="489"/>
    </row>
    <row r="86" ht="15.75" customHeight="1">
      <c r="A86" s="489"/>
      <c r="B86" s="489"/>
      <c r="C86" s="489"/>
      <c r="D86" s="489"/>
      <c r="E86" s="489"/>
      <c r="F86" s="489"/>
      <c r="G86" s="489"/>
      <c r="H86" s="489"/>
      <c r="I86" s="489"/>
      <c r="J86" s="489"/>
      <c r="K86" s="489"/>
      <c r="L86" s="489"/>
      <c r="M86" s="489"/>
      <c r="N86" s="489"/>
      <c r="O86" s="489"/>
      <c r="P86" s="489"/>
      <c r="Q86" s="489"/>
      <c r="R86" s="489"/>
      <c r="S86" s="489"/>
      <c r="T86" s="489"/>
      <c r="U86" s="489"/>
      <c r="V86" s="489"/>
      <c r="W86" s="489"/>
      <c r="X86" s="489"/>
      <c r="Y86" s="489"/>
      <c r="Z86" s="489"/>
    </row>
    <row r="87" ht="15.75" customHeight="1">
      <c r="A87" s="489"/>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row>
    <row r="88" ht="15.75" customHeight="1">
      <c r="A88" s="489"/>
      <c r="B88" s="489"/>
      <c r="C88" s="489"/>
      <c r="D88" s="489"/>
      <c r="E88" s="489"/>
      <c r="F88" s="489"/>
      <c r="G88" s="489"/>
      <c r="H88" s="489"/>
      <c r="I88" s="489"/>
      <c r="J88" s="489"/>
      <c r="K88" s="489"/>
      <c r="L88" s="489"/>
      <c r="M88" s="489"/>
      <c r="N88" s="489"/>
      <c r="O88" s="489"/>
      <c r="P88" s="489"/>
      <c r="Q88" s="489"/>
      <c r="R88" s="489"/>
      <c r="S88" s="489"/>
      <c r="T88" s="489"/>
      <c r="U88" s="489"/>
      <c r="V88" s="489"/>
      <c r="W88" s="489"/>
      <c r="X88" s="489"/>
      <c r="Y88" s="489"/>
      <c r="Z88" s="489"/>
    </row>
    <row r="89" ht="15.75" customHeight="1">
      <c r="A89" s="489"/>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row>
    <row r="90" ht="15.75" customHeight="1">
      <c r="A90" s="489"/>
      <c r="B90" s="489"/>
      <c r="C90" s="489"/>
      <c r="D90" s="489"/>
      <c r="E90" s="489"/>
      <c r="F90" s="489"/>
      <c r="G90" s="489"/>
      <c r="H90" s="489"/>
      <c r="I90" s="489"/>
      <c r="J90" s="489"/>
      <c r="K90" s="489"/>
      <c r="L90" s="489"/>
      <c r="M90" s="489"/>
      <c r="N90" s="489"/>
      <c r="O90" s="489"/>
      <c r="P90" s="489"/>
      <c r="Q90" s="489"/>
      <c r="R90" s="489"/>
      <c r="S90" s="489"/>
      <c r="T90" s="489"/>
      <c r="U90" s="489"/>
      <c r="V90" s="489"/>
      <c r="W90" s="489"/>
      <c r="X90" s="489"/>
      <c r="Y90" s="489"/>
      <c r="Z90" s="489"/>
    </row>
    <row r="91" ht="15.75" customHeight="1">
      <c r="A91" s="489"/>
      <c r="B91" s="489"/>
      <c r="C91" s="489"/>
      <c r="D91" s="489"/>
      <c r="E91" s="489"/>
      <c r="F91" s="489"/>
      <c r="G91" s="489"/>
      <c r="H91" s="489"/>
      <c r="I91" s="489"/>
      <c r="J91" s="489"/>
      <c r="K91" s="489"/>
      <c r="L91" s="489"/>
      <c r="M91" s="489"/>
      <c r="N91" s="489"/>
      <c r="O91" s="489"/>
      <c r="P91" s="489"/>
      <c r="Q91" s="489"/>
      <c r="R91" s="489"/>
      <c r="S91" s="489"/>
      <c r="T91" s="489"/>
      <c r="U91" s="489"/>
      <c r="V91" s="489"/>
      <c r="W91" s="489"/>
      <c r="X91" s="489"/>
      <c r="Y91" s="489"/>
      <c r="Z91" s="489"/>
    </row>
    <row r="92" ht="15.75" customHeight="1">
      <c r="A92" s="489"/>
      <c r="B92" s="489"/>
      <c r="C92" s="489"/>
      <c r="D92" s="489"/>
      <c r="E92" s="489"/>
      <c r="F92" s="489"/>
      <c r="G92" s="489"/>
      <c r="H92" s="489"/>
      <c r="I92" s="489"/>
      <c r="J92" s="489"/>
      <c r="K92" s="489"/>
      <c r="L92" s="489"/>
      <c r="M92" s="489"/>
      <c r="N92" s="489"/>
      <c r="O92" s="489"/>
      <c r="P92" s="489"/>
      <c r="Q92" s="489"/>
      <c r="R92" s="489"/>
      <c r="S92" s="489"/>
      <c r="T92" s="489"/>
      <c r="U92" s="489"/>
      <c r="V92" s="489"/>
      <c r="W92" s="489"/>
      <c r="X92" s="489"/>
      <c r="Y92" s="489"/>
      <c r="Z92" s="489"/>
    </row>
    <row r="93" ht="15.75" customHeight="1">
      <c r="A93" s="489"/>
      <c r="B93" s="489"/>
      <c r="C93" s="489"/>
      <c r="D93" s="489"/>
      <c r="E93" s="489"/>
      <c r="F93" s="489"/>
      <c r="G93" s="489"/>
      <c r="H93" s="489"/>
      <c r="I93" s="489"/>
      <c r="J93" s="489"/>
      <c r="K93" s="489"/>
      <c r="L93" s="489"/>
      <c r="M93" s="489"/>
      <c r="N93" s="489"/>
      <c r="O93" s="489"/>
      <c r="P93" s="489"/>
      <c r="Q93" s="489"/>
      <c r="R93" s="489"/>
      <c r="S93" s="489"/>
      <c r="T93" s="489"/>
      <c r="U93" s="489"/>
      <c r="V93" s="489"/>
      <c r="W93" s="489"/>
      <c r="X93" s="489"/>
      <c r="Y93" s="489"/>
      <c r="Z93" s="489"/>
    </row>
    <row r="94" ht="15.75" customHeight="1">
      <c r="A94" s="489"/>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row>
    <row r="95" ht="15.75" customHeight="1">
      <c r="A95" s="489"/>
      <c r="B95" s="489"/>
      <c r="C95" s="489"/>
      <c r="D95" s="489"/>
      <c r="E95" s="489"/>
      <c r="F95" s="489"/>
      <c r="G95" s="489"/>
      <c r="H95" s="489"/>
      <c r="I95" s="489"/>
      <c r="J95" s="489"/>
      <c r="K95" s="489"/>
      <c r="L95" s="489"/>
      <c r="M95" s="489"/>
      <c r="N95" s="489"/>
      <c r="O95" s="489"/>
      <c r="P95" s="489"/>
      <c r="Q95" s="489"/>
      <c r="R95" s="489"/>
      <c r="S95" s="489"/>
      <c r="T95" s="489"/>
      <c r="U95" s="489"/>
      <c r="V95" s="489"/>
      <c r="W95" s="489"/>
      <c r="X95" s="489"/>
      <c r="Y95" s="489"/>
      <c r="Z95" s="489"/>
    </row>
    <row r="96" ht="15.75" customHeight="1">
      <c r="A96" s="489"/>
      <c r="B96" s="489"/>
      <c r="C96" s="489"/>
      <c r="D96" s="489"/>
      <c r="E96" s="489"/>
      <c r="F96" s="489"/>
      <c r="G96" s="489"/>
      <c r="H96" s="489"/>
      <c r="I96" s="489"/>
      <c r="J96" s="489"/>
      <c r="K96" s="489"/>
      <c r="L96" s="489"/>
      <c r="M96" s="489"/>
      <c r="N96" s="489"/>
      <c r="O96" s="489"/>
      <c r="P96" s="489"/>
      <c r="Q96" s="489"/>
      <c r="R96" s="489"/>
      <c r="S96" s="489"/>
      <c r="T96" s="489"/>
      <c r="U96" s="489"/>
      <c r="V96" s="489"/>
      <c r="W96" s="489"/>
      <c r="X96" s="489"/>
      <c r="Y96" s="489"/>
      <c r="Z96" s="489"/>
    </row>
    <row r="97" ht="15.75" customHeight="1">
      <c r="A97" s="489"/>
      <c r="B97" s="489"/>
      <c r="C97" s="489"/>
      <c r="D97" s="489"/>
      <c r="E97" s="489"/>
      <c r="F97" s="489"/>
      <c r="G97" s="489"/>
      <c r="H97" s="489"/>
      <c r="I97" s="489"/>
      <c r="J97" s="489"/>
      <c r="K97" s="489"/>
      <c r="L97" s="489"/>
      <c r="M97" s="489"/>
      <c r="N97" s="489"/>
      <c r="O97" s="489"/>
      <c r="P97" s="489"/>
      <c r="Q97" s="489"/>
      <c r="R97" s="489"/>
      <c r="S97" s="489"/>
      <c r="T97" s="489"/>
      <c r="U97" s="489"/>
      <c r="V97" s="489"/>
      <c r="W97" s="489"/>
      <c r="X97" s="489"/>
      <c r="Y97" s="489"/>
      <c r="Z97" s="489"/>
    </row>
    <row r="98" ht="15.75" customHeight="1">
      <c r="A98" s="489"/>
      <c r="B98" s="489"/>
      <c r="C98" s="489"/>
      <c r="D98" s="489"/>
      <c r="E98" s="489"/>
      <c r="F98" s="489"/>
      <c r="G98" s="489"/>
      <c r="H98" s="489"/>
      <c r="I98" s="489"/>
      <c r="J98" s="489"/>
      <c r="K98" s="489"/>
      <c r="L98" s="489"/>
      <c r="M98" s="489"/>
      <c r="N98" s="489"/>
      <c r="O98" s="489"/>
      <c r="P98" s="489"/>
      <c r="Q98" s="489"/>
      <c r="R98" s="489"/>
      <c r="S98" s="489"/>
      <c r="T98" s="489"/>
      <c r="U98" s="489"/>
      <c r="V98" s="489"/>
      <c r="W98" s="489"/>
      <c r="X98" s="489"/>
      <c r="Y98" s="489"/>
      <c r="Z98" s="489"/>
    </row>
    <row r="99" ht="15.75" customHeight="1">
      <c r="A99" s="489"/>
      <c r="B99" s="489"/>
      <c r="C99" s="489"/>
      <c r="D99" s="489"/>
      <c r="E99" s="489"/>
      <c r="F99" s="489"/>
      <c r="G99" s="489"/>
      <c r="H99" s="489"/>
      <c r="I99" s="489"/>
      <c r="J99" s="489"/>
      <c r="K99" s="489"/>
      <c r="L99" s="489"/>
      <c r="M99" s="489"/>
      <c r="N99" s="489"/>
      <c r="O99" s="489"/>
      <c r="P99" s="489"/>
      <c r="Q99" s="489"/>
      <c r="R99" s="489"/>
      <c r="S99" s="489"/>
      <c r="T99" s="489"/>
      <c r="U99" s="489"/>
      <c r="V99" s="489"/>
      <c r="W99" s="489"/>
      <c r="X99" s="489"/>
      <c r="Y99" s="489"/>
      <c r="Z99" s="489"/>
    </row>
    <row r="100" ht="15.75" customHeight="1">
      <c r="A100" s="489"/>
      <c r="B100" s="489"/>
      <c r="C100" s="489"/>
      <c r="D100" s="489"/>
      <c r="E100" s="489"/>
      <c r="F100" s="489"/>
      <c r="G100" s="489"/>
      <c r="H100" s="489"/>
      <c r="I100" s="489"/>
      <c r="J100" s="489"/>
      <c r="K100" s="489"/>
      <c r="L100" s="489"/>
      <c r="M100" s="489"/>
      <c r="N100" s="489"/>
      <c r="O100" s="489"/>
      <c r="P100" s="489"/>
      <c r="Q100" s="489"/>
      <c r="R100" s="489"/>
      <c r="S100" s="489"/>
      <c r="T100" s="489"/>
      <c r="U100" s="489"/>
      <c r="V100" s="489"/>
      <c r="W100" s="489"/>
      <c r="X100" s="489"/>
      <c r="Y100" s="489"/>
      <c r="Z100" s="489"/>
    </row>
    <row r="101" ht="15.75" customHeight="1">
      <c r="A101" s="489"/>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row>
    <row r="102" ht="15.75" customHeight="1">
      <c r="A102" s="489"/>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89"/>
      <c r="Y102" s="489"/>
      <c r="Z102" s="489"/>
    </row>
    <row r="103" ht="15.75" customHeight="1">
      <c r="A103" s="489"/>
      <c r="B103" s="489"/>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row>
    <row r="104" ht="15.75" customHeight="1">
      <c r="A104" s="489"/>
      <c r="B104" s="489"/>
      <c r="C104" s="489"/>
      <c r="D104" s="489"/>
      <c r="E104" s="489"/>
      <c r="F104" s="489"/>
      <c r="G104" s="489"/>
      <c r="H104" s="489"/>
      <c r="I104" s="489"/>
      <c r="J104" s="489"/>
      <c r="K104" s="489"/>
      <c r="L104" s="489"/>
      <c r="M104" s="489"/>
      <c r="N104" s="489"/>
      <c r="O104" s="489"/>
      <c r="P104" s="489"/>
      <c r="Q104" s="489"/>
      <c r="R104" s="489"/>
      <c r="S104" s="489"/>
      <c r="T104" s="489"/>
      <c r="U104" s="489"/>
      <c r="V104" s="489"/>
      <c r="W104" s="489"/>
      <c r="X104" s="489"/>
      <c r="Y104" s="489"/>
      <c r="Z104" s="489"/>
    </row>
    <row r="105" ht="15.75" customHeight="1">
      <c r="A105" s="489"/>
      <c r="B105" s="489"/>
      <c r="C105" s="489"/>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row>
    <row r="106" ht="15.75" customHeight="1">
      <c r="A106" s="489"/>
      <c r="B106" s="489"/>
      <c r="C106" s="489"/>
      <c r="D106" s="489"/>
      <c r="E106" s="489"/>
      <c r="F106" s="489"/>
      <c r="G106" s="489"/>
      <c r="H106" s="489"/>
      <c r="I106" s="489"/>
      <c r="J106" s="489"/>
      <c r="K106" s="489"/>
      <c r="L106" s="489"/>
      <c r="M106" s="489"/>
      <c r="N106" s="489"/>
      <c r="O106" s="489"/>
      <c r="P106" s="489"/>
      <c r="Q106" s="489"/>
      <c r="R106" s="489"/>
      <c r="S106" s="489"/>
      <c r="T106" s="489"/>
      <c r="U106" s="489"/>
      <c r="V106" s="489"/>
      <c r="W106" s="489"/>
      <c r="X106" s="489"/>
      <c r="Y106" s="489"/>
      <c r="Z106" s="489"/>
    </row>
    <row r="107" ht="15.75" customHeight="1">
      <c r="A107" s="489"/>
      <c r="B107" s="489"/>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row>
    <row r="108" ht="15.75" customHeight="1">
      <c r="A108" s="489"/>
      <c r="B108" s="489"/>
      <c r="C108" s="489"/>
      <c r="D108" s="489"/>
      <c r="E108" s="489"/>
      <c r="F108" s="489"/>
      <c r="G108" s="489"/>
      <c r="H108" s="489"/>
      <c r="I108" s="489"/>
      <c r="J108" s="489"/>
      <c r="K108" s="489"/>
      <c r="L108" s="489"/>
      <c r="M108" s="489"/>
      <c r="N108" s="489"/>
      <c r="O108" s="489"/>
      <c r="P108" s="489"/>
      <c r="Q108" s="489"/>
      <c r="R108" s="489"/>
      <c r="S108" s="489"/>
      <c r="T108" s="489"/>
      <c r="U108" s="489"/>
      <c r="V108" s="489"/>
      <c r="W108" s="489"/>
      <c r="X108" s="489"/>
      <c r="Y108" s="489"/>
      <c r="Z108" s="489"/>
    </row>
    <row r="109" ht="15.75" customHeight="1">
      <c r="A109" s="489"/>
      <c r="B109" s="489"/>
      <c r="C109" s="489"/>
      <c r="D109" s="489"/>
      <c r="E109" s="489"/>
      <c r="F109" s="489"/>
      <c r="G109" s="489"/>
      <c r="H109" s="489"/>
      <c r="I109" s="489"/>
      <c r="J109" s="489"/>
      <c r="K109" s="489"/>
      <c r="L109" s="489"/>
      <c r="M109" s="489"/>
      <c r="N109" s="489"/>
      <c r="O109" s="489"/>
      <c r="P109" s="489"/>
      <c r="Q109" s="489"/>
      <c r="R109" s="489"/>
      <c r="S109" s="489"/>
      <c r="T109" s="489"/>
      <c r="U109" s="489"/>
      <c r="V109" s="489"/>
      <c r="W109" s="489"/>
      <c r="X109" s="489"/>
      <c r="Y109" s="489"/>
      <c r="Z109" s="489"/>
    </row>
    <row r="110" ht="15.75" customHeight="1">
      <c r="A110" s="489"/>
      <c r="B110" s="489"/>
      <c r="C110" s="489"/>
      <c r="D110" s="489"/>
      <c r="E110" s="489"/>
      <c r="F110" s="489"/>
      <c r="G110" s="489"/>
      <c r="H110" s="489"/>
      <c r="I110" s="489"/>
      <c r="J110" s="489"/>
      <c r="K110" s="489"/>
      <c r="L110" s="489"/>
      <c r="M110" s="489"/>
      <c r="N110" s="489"/>
      <c r="O110" s="489"/>
      <c r="P110" s="489"/>
      <c r="Q110" s="489"/>
      <c r="R110" s="489"/>
      <c r="S110" s="489"/>
      <c r="T110" s="489"/>
      <c r="U110" s="489"/>
      <c r="V110" s="489"/>
      <c r="W110" s="489"/>
      <c r="X110" s="489"/>
      <c r="Y110" s="489"/>
      <c r="Z110" s="489"/>
    </row>
    <row r="111" ht="15.75" customHeight="1">
      <c r="A111" s="489"/>
      <c r="B111" s="489"/>
      <c r="C111" s="489"/>
      <c r="D111" s="489"/>
      <c r="E111" s="489"/>
      <c r="F111" s="489"/>
      <c r="G111" s="489"/>
      <c r="H111" s="489"/>
      <c r="I111" s="489"/>
      <c r="J111" s="489"/>
      <c r="K111" s="489"/>
      <c r="L111" s="489"/>
      <c r="M111" s="489"/>
      <c r="N111" s="489"/>
      <c r="O111" s="489"/>
      <c r="P111" s="489"/>
      <c r="Q111" s="489"/>
      <c r="R111" s="489"/>
      <c r="S111" s="489"/>
      <c r="T111" s="489"/>
      <c r="U111" s="489"/>
      <c r="V111" s="489"/>
      <c r="W111" s="489"/>
      <c r="X111" s="489"/>
      <c r="Y111" s="489"/>
      <c r="Z111" s="489"/>
    </row>
    <row r="112" ht="15.75" customHeight="1">
      <c r="A112" s="489"/>
      <c r="B112" s="489"/>
      <c r="C112" s="489"/>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row>
    <row r="113" ht="15.75" customHeight="1">
      <c r="A113" s="489"/>
      <c r="B113" s="489"/>
      <c r="C113" s="489"/>
      <c r="D113" s="489"/>
      <c r="E113" s="489"/>
      <c r="F113" s="489"/>
      <c r="G113" s="489"/>
      <c r="H113" s="489"/>
      <c r="I113" s="489"/>
      <c r="J113" s="489"/>
      <c r="K113" s="489"/>
      <c r="L113" s="489"/>
      <c r="M113" s="489"/>
      <c r="N113" s="489"/>
      <c r="O113" s="489"/>
      <c r="P113" s="489"/>
      <c r="Q113" s="489"/>
      <c r="R113" s="489"/>
      <c r="S113" s="489"/>
      <c r="T113" s="489"/>
      <c r="U113" s="489"/>
      <c r="V113" s="489"/>
      <c r="W113" s="489"/>
      <c r="X113" s="489"/>
      <c r="Y113" s="489"/>
      <c r="Z113" s="489"/>
    </row>
    <row r="114" ht="15.75" customHeight="1">
      <c r="A114" s="489"/>
      <c r="B114" s="489"/>
      <c r="C114" s="489"/>
      <c r="D114" s="489"/>
      <c r="E114" s="489"/>
      <c r="F114" s="489"/>
      <c r="G114" s="489"/>
      <c r="H114" s="489"/>
      <c r="I114" s="489"/>
      <c r="J114" s="489"/>
      <c r="K114" s="489"/>
      <c r="L114" s="489"/>
      <c r="M114" s="489"/>
      <c r="N114" s="489"/>
      <c r="O114" s="489"/>
      <c r="P114" s="489"/>
      <c r="Q114" s="489"/>
      <c r="R114" s="489"/>
      <c r="S114" s="489"/>
      <c r="T114" s="489"/>
      <c r="U114" s="489"/>
      <c r="V114" s="489"/>
      <c r="W114" s="489"/>
      <c r="X114" s="489"/>
      <c r="Y114" s="489"/>
      <c r="Z114" s="489"/>
    </row>
    <row r="115" ht="15.75" customHeight="1">
      <c r="A115" s="489"/>
      <c r="B115" s="489"/>
      <c r="C115" s="489"/>
      <c r="D115" s="489"/>
      <c r="E115" s="489"/>
      <c r="F115" s="489"/>
      <c r="G115" s="489"/>
      <c r="H115" s="489"/>
      <c r="I115" s="489"/>
      <c r="J115" s="489"/>
      <c r="K115" s="489"/>
      <c r="L115" s="489"/>
      <c r="M115" s="489"/>
      <c r="N115" s="489"/>
      <c r="O115" s="489"/>
      <c r="P115" s="489"/>
      <c r="Q115" s="489"/>
      <c r="R115" s="489"/>
      <c r="S115" s="489"/>
      <c r="T115" s="489"/>
      <c r="U115" s="489"/>
      <c r="V115" s="489"/>
      <c r="W115" s="489"/>
      <c r="X115" s="489"/>
      <c r="Y115" s="489"/>
      <c r="Z115" s="489"/>
    </row>
    <row r="116" ht="15.75" customHeight="1">
      <c r="A116" s="489"/>
      <c r="B116" s="489"/>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row>
    <row r="117" ht="15.75" customHeight="1">
      <c r="A117" s="489"/>
      <c r="B117" s="489"/>
      <c r="C117" s="489"/>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row>
    <row r="118" ht="15.75" customHeight="1">
      <c r="A118" s="489"/>
      <c r="B118" s="489"/>
      <c r="C118" s="489"/>
      <c r="D118" s="489"/>
      <c r="E118" s="489"/>
      <c r="F118" s="489"/>
      <c r="G118" s="489"/>
      <c r="H118" s="489"/>
      <c r="I118" s="489"/>
      <c r="J118" s="489"/>
      <c r="K118" s="489"/>
      <c r="L118" s="489"/>
      <c r="M118" s="489"/>
      <c r="N118" s="489"/>
      <c r="O118" s="489"/>
      <c r="P118" s="489"/>
      <c r="Q118" s="489"/>
      <c r="R118" s="489"/>
      <c r="S118" s="489"/>
      <c r="T118" s="489"/>
      <c r="U118" s="489"/>
      <c r="V118" s="489"/>
      <c r="W118" s="489"/>
      <c r="X118" s="489"/>
      <c r="Y118" s="489"/>
      <c r="Z118" s="489"/>
    </row>
    <row r="119" ht="15.75" customHeight="1">
      <c r="A119" s="489"/>
      <c r="B119" s="489"/>
      <c r="C119" s="489"/>
      <c r="D119" s="489"/>
      <c r="E119" s="489"/>
      <c r="F119" s="489"/>
      <c r="G119" s="489"/>
      <c r="H119" s="489"/>
      <c r="I119" s="489"/>
      <c r="J119" s="489"/>
      <c r="K119" s="489"/>
      <c r="L119" s="489"/>
      <c r="M119" s="489"/>
      <c r="N119" s="489"/>
      <c r="O119" s="489"/>
      <c r="P119" s="489"/>
      <c r="Q119" s="489"/>
      <c r="R119" s="489"/>
      <c r="S119" s="489"/>
      <c r="T119" s="489"/>
      <c r="U119" s="489"/>
      <c r="V119" s="489"/>
      <c r="W119" s="489"/>
      <c r="X119" s="489"/>
      <c r="Y119" s="489"/>
      <c r="Z119" s="489"/>
    </row>
    <row r="120" ht="15.75" customHeight="1">
      <c r="A120" s="489"/>
      <c r="B120" s="489"/>
      <c r="C120" s="489"/>
      <c r="D120" s="489"/>
      <c r="E120" s="489"/>
      <c r="F120" s="489"/>
      <c r="G120" s="489"/>
      <c r="H120" s="489"/>
      <c r="I120" s="489"/>
      <c r="J120" s="489"/>
      <c r="K120" s="489"/>
      <c r="L120" s="489"/>
      <c r="M120" s="489"/>
      <c r="N120" s="489"/>
      <c r="O120" s="489"/>
      <c r="P120" s="489"/>
      <c r="Q120" s="489"/>
      <c r="R120" s="489"/>
      <c r="S120" s="489"/>
      <c r="T120" s="489"/>
      <c r="U120" s="489"/>
      <c r="V120" s="489"/>
      <c r="W120" s="489"/>
      <c r="X120" s="489"/>
      <c r="Y120" s="489"/>
      <c r="Z120" s="489"/>
    </row>
    <row r="121" ht="15.75" customHeight="1">
      <c r="A121" s="489"/>
      <c r="B121" s="489"/>
      <c r="C121" s="489"/>
      <c r="D121" s="489"/>
      <c r="E121" s="489"/>
      <c r="F121" s="489"/>
      <c r="G121" s="489"/>
      <c r="H121" s="489"/>
      <c r="I121" s="489"/>
      <c r="J121" s="489"/>
      <c r="K121" s="489"/>
      <c r="L121" s="489"/>
      <c r="M121" s="489"/>
      <c r="N121" s="489"/>
      <c r="O121" s="489"/>
      <c r="P121" s="489"/>
      <c r="Q121" s="489"/>
      <c r="R121" s="489"/>
      <c r="S121" s="489"/>
      <c r="T121" s="489"/>
      <c r="U121" s="489"/>
      <c r="V121" s="489"/>
      <c r="W121" s="489"/>
      <c r="X121" s="489"/>
      <c r="Y121" s="489"/>
      <c r="Z121" s="489"/>
    </row>
    <row r="122" ht="15.75" customHeight="1">
      <c r="A122" s="489"/>
      <c r="B122" s="489"/>
      <c r="C122" s="489"/>
      <c r="D122" s="489"/>
      <c r="E122" s="489"/>
      <c r="F122" s="489"/>
      <c r="G122" s="489"/>
      <c r="H122" s="489"/>
      <c r="I122" s="489"/>
      <c r="J122" s="489"/>
      <c r="K122" s="489"/>
      <c r="L122" s="489"/>
      <c r="M122" s="489"/>
      <c r="N122" s="489"/>
      <c r="O122" s="489"/>
      <c r="P122" s="489"/>
      <c r="Q122" s="489"/>
      <c r="R122" s="489"/>
      <c r="S122" s="489"/>
      <c r="T122" s="489"/>
      <c r="U122" s="489"/>
      <c r="V122" s="489"/>
      <c r="W122" s="489"/>
      <c r="X122" s="489"/>
      <c r="Y122" s="489"/>
      <c r="Z122" s="489"/>
    </row>
    <row r="123" ht="15.75" customHeight="1">
      <c r="A123" s="489"/>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row>
    <row r="124" ht="15.75" customHeight="1">
      <c r="A124" s="489"/>
      <c r="B124" s="489"/>
      <c r="C124" s="489"/>
      <c r="D124" s="489"/>
      <c r="E124" s="489"/>
      <c r="F124" s="489"/>
      <c r="G124" s="489"/>
      <c r="H124" s="489"/>
      <c r="I124" s="489"/>
      <c r="J124" s="489"/>
      <c r="K124" s="489"/>
      <c r="L124" s="489"/>
      <c r="M124" s="489"/>
      <c r="N124" s="489"/>
      <c r="O124" s="489"/>
      <c r="P124" s="489"/>
      <c r="Q124" s="489"/>
      <c r="R124" s="489"/>
      <c r="S124" s="489"/>
      <c r="T124" s="489"/>
      <c r="U124" s="489"/>
      <c r="V124" s="489"/>
      <c r="W124" s="489"/>
      <c r="X124" s="489"/>
      <c r="Y124" s="489"/>
      <c r="Z124" s="489"/>
    </row>
    <row r="125" ht="15.75" customHeight="1">
      <c r="A125" s="489"/>
      <c r="B125" s="489"/>
      <c r="C125" s="489"/>
      <c r="D125" s="489"/>
      <c r="E125" s="489"/>
      <c r="F125" s="489"/>
      <c r="G125" s="489"/>
      <c r="H125" s="489"/>
      <c r="I125" s="489"/>
      <c r="J125" s="489"/>
      <c r="K125" s="489"/>
      <c r="L125" s="489"/>
      <c r="M125" s="489"/>
      <c r="N125" s="489"/>
      <c r="O125" s="489"/>
      <c r="P125" s="489"/>
      <c r="Q125" s="489"/>
      <c r="R125" s="489"/>
      <c r="S125" s="489"/>
      <c r="T125" s="489"/>
      <c r="U125" s="489"/>
      <c r="V125" s="489"/>
      <c r="W125" s="489"/>
      <c r="X125" s="489"/>
      <c r="Y125" s="489"/>
      <c r="Z125" s="489"/>
    </row>
    <row r="126" ht="15.75" customHeight="1">
      <c r="A126" s="489"/>
      <c r="B126" s="489"/>
      <c r="C126" s="489"/>
      <c r="D126" s="489"/>
      <c r="E126" s="489"/>
      <c r="F126" s="489"/>
      <c r="G126" s="489"/>
      <c r="H126" s="489"/>
      <c r="I126" s="489"/>
      <c r="J126" s="489"/>
      <c r="K126" s="489"/>
      <c r="L126" s="489"/>
      <c r="M126" s="489"/>
      <c r="N126" s="489"/>
      <c r="O126" s="489"/>
      <c r="P126" s="489"/>
      <c r="Q126" s="489"/>
      <c r="R126" s="489"/>
      <c r="S126" s="489"/>
      <c r="T126" s="489"/>
      <c r="U126" s="489"/>
      <c r="V126" s="489"/>
      <c r="W126" s="489"/>
      <c r="X126" s="489"/>
      <c r="Y126" s="489"/>
      <c r="Z126" s="489"/>
    </row>
    <row r="127" ht="15.75" customHeight="1">
      <c r="A127" s="489"/>
      <c r="B127" s="489"/>
      <c r="C127" s="489"/>
      <c r="D127" s="489"/>
      <c r="E127" s="489"/>
      <c r="F127" s="489"/>
      <c r="G127" s="489"/>
      <c r="H127" s="489"/>
      <c r="I127" s="489"/>
      <c r="J127" s="489"/>
      <c r="K127" s="489"/>
      <c r="L127" s="489"/>
      <c r="M127" s="489"/>
      <c r="N127" s="489"/>
      <c r="O127" s="489"/>
      <c r="P127" s="489"/>
      <c r="Q127" s="489"/>
      <c r="R127" s="489"/>
      <c r="S127" s="489"/>
      <c r="T127" s="489"/>
      <c r="U127" s="489"/>
      <c r="V127" s="489"/>
      <c r="W127" s="489"/>
      <c r="X127" s="489"/>
      <c r="Y127" s="489"/>
      <c r="Z127" s="489"/>
    </row>
    <row r="128" ht="15.75" customHeight="1">
      <c r="A128" s="489"/>
      <c r="B128" s="489"/>
      <c r="C128" s="489"/>
      <c r="D128" s="489"/>
      <c r="E128" s="489"/>
      <c r="F128" s="489"/>
      <c r="G128" s="489"/>
      <c r="H128" s="489"/>
      <c r="I128" s="489"/>
      <c r="J128" s="489"/>
      <c r="K128" s="489"/>
      <c r="L128" s="489"/>
      <c r="M128" s="489"/>
      <c r="N128" s="489"/>
      <c r="O128" s="489"/>
      <c r="P128" s="489"/>
      <c r="Q128" s="489"/>
      <c r="R128" s="489"/>
      <c r="S128" s="489"/>
      <c r="T128" s="489"/>
      <c r="U128" s="489"/>
      <c r="V128" s="489"/>
      <c r="W128" s="489"/>
      <c r="X128" s="489"/>
      <c r="Y128" s="489"/>
      <c r="Z128" s="489"/>
    </row>
    <row r="129" ht="15.75" customHeight="1">
      <c r="A129" s="489"/>
      <c r="B129" s="489"/>
      <c r="C129" s="489"/>
      <c r="D129" s="489"/>
      <c r="E129" s="489"/>
      <c r="F129" s="489"/>
      <c r="G129" s="489"/>
      <c r="H129" s="489"/>
      <c r="I129" s="489"/>
      <c r="J129" s="489"/>
      <c r="K129" s="489"/>
      <c r="L129" s="489"/>
      <c r="M129" s="489"/>
      <c r="N129" s="489"/>
      <c r="O129" s="489"/>
      <c r="P129" s="489"/>
      <c r="Q129" s="489"/>
      <c r="R129" s="489"/>
      <c r="S129" s="489"/>
      <c r="T129" s="489"/>
      <c r="U129" s="489"/>
      <c r="V129" s="489"/>
      <c r="W129" s="489"/>
      <c r="X129" s="489"/>
      <c r="Y129" s="489"/>
      <c r="Z129" s="489"/>
    </row>
    <row r="130" ht="15.75" customHeight="1">
      <c r="A130" s="489"/>
      <c r="B130" s="489"/>
      <c r="C130" s="489"/>
      <c r="D130" s="489"/>
      <c r="E130" s="489"/>
      <c r="F130" s="489"/>
      <c r="G130" s="489"/>
      <c r="H130" s="489"/>
      <c r="I130" s="489"/>
      <c r="J130" s="489"/>
      <c r="K130" s="489"/>
      <c r="L130" s="489"/>
      <c r="M130" s="489"/>
      <c r="N130" s="489"/>
      <c r="O130" s="489"/>
      <c r="P130" s="489"/>
      <c r="Q130" s="489"/>
      <c r="R130" s="489"/>
      <c r="S130" s="489"/>
      <c r="T130" s="489"/>
      <c r="U130" s="489"/>
      <c r="V130" s="489"/>
      <c r="W130" s="489"/>
      <c r="X130" s="489"/>
      <c r="Y130" s="489"/>
      <c r="Z130" s="489"/>
    </row>
    <row r="131" ht="15.75" customHeight="1">
      <c r="A131" s="489"/>
      <c r="B131" s="489"/>
      <c r="C131" s="489"/>
      <c r="D131" s="489"/>
      <c r="E131" s="489"/>
      <c r="F131" s="489"/>
      <c r="G131" s="489"/>
      <c r="H131" s="489"/>
      <c r="I131" s="489"/>
      <c r="J131" s="489"/>
      <c r="K131" s="489"/>
      <c r="L131" s="489"/>
      <c r="M131" s="489"/>
      <c r="N131" s="489"/>
      <c r="O131" s="489"/>
      <c r="P131" s="489"/>
      <c r="Q131" s="489"/>
      <c r="R131" s="489"/>
      <c r="S131" s="489"/>
      <c r="T131" s="489"/>
      <c r="U131" s="489"/>
      <c r="V131" s="489"/>
      <c r="W131" s="489"/>
      <c r="X131" s="489"/>
      <c r="Y131" s="489"/>
      <c r="Z131" s="489"/>
    </row>
    <row r="132" ht="15.75" customHeight="1">
      <c r="A132" s="489"/>
      <c r="B132" s="489"/>
      <c r="C132" s="489"/>
      <c r="D132" s="489"/>
      <c r="E132" s="489"/>
      <c r="F132" s="489"/>
      <c r="G132" s="489"/>
      <c r="H132" s="489"/>
      <c r="I132" s="489"/>
      <c r="J132" s="489"/>
      <c r="K132" s="489"/>
      <c r="L132" s="489"/>
      <c r="M132" s="489"/>
      <c r="N132" s="489"/>
      <c r="O132" s="489"/>
      <c r="P132" s="489"/>
      <c r="Q132" s="489"/>
      <c r="R132" s="489"/>
      <c r="S132" s="489"/>
      <c r="T132" s="489"/>
      <c r="U132" s="489"/>
      <c r="V132" s="489"/>
      <c r="W132" s="489"/>
      <c r="X132" s="489"/>
      <c r="Y132" s="489"/>
      <c r="Z132" s="489"/>
    </row>
    <row r="133" ht="15.75" customHeight="1">
      <c r="A133" s="489"/>
      <c r="B133" s="489"/>
      <c r="C133" s="489"/>
      <c r="D133" s="489"/>
      <c r="E133" s="489"/>
      <c r="F133" s="489"/>
      <c r="G133" s="489"/>
      <c r="H133" s="489"/>
      <c r="I133" s="489"/>
      <c r="J133" s="489"/>
      <c r="K133" s="489"/>
      <c r="L133" s="489"/>
      <c r="M133" s="489"/>
      <c r="N133" s="489"/>
      <c r="O133" s="489"/>
      <c r="P133" s="489"/>
      <c r="Q133" s="489"/>
      <c r="R133" s="489"/>
      <c r="S133" s="489"/>
      <c r="T133" s="489"/>
      <c r="U133" s="489"/>
      <c r="V133" s="489"/>
      <c r="W133" s="489"/>
      <c r="X133" s="489"/>
      <c r="Y133" s="489"/>
      <c r="Z133" s="489"/>
    </row>
    <row r="134" ht="15.75" customHeight="1">
      <c r="A134" s="489"/>
      <c r="B134" s="489"/>
      <c r="C134" s="489"/>
      <c r="D134" s="489"/>
      <c r="E134" s="489"/>
      <c r="F134" s="489"/>
      <c r="G134" s="489"/>
      <c r="H134" s="489"/>
      <c r="I134" s="489"/>
      <c r="J134" s="489"/>
      <c r="K134" s="489"/>
      <c r="L134" s="489"/>
      <c r="M134" s="489"/>
      <c r="N134" s="489"/>
      <c r="O134" s="489"/>
      <c r="P134" s="489"/>
      <c r="Q134" s="489"/>
      <c r="R134" s="489"/>
      <c r="S134" s="489"/>
      <c r="T134" s="489"/>
      <c r="U134" s="489"/>
      <c r="V134" s="489"/>
      <c r="W134" s="489"/>
      <c r="X134" s="489"/>
      <c r="Y134" s="489"/>
      <c r="Z134" s="489"/>
    </row>
    <row r="135" ht="15.75" customHeight="1">
      <c r="A135" s="489"/>
      <c r="B135" s="489"/>
      <c r="C135" s="489"/>
      <c r="D135" s="489"/>
      <c r="E135" s="489"/>
      <c r="F135" s="489"/>
      <c r="G135" s="489"/>
      <c r="H135" s="489"/>
      <c r="I135" s="489"/>
      <c r="J135" s="489"/>
      <c r="K135" s="489"/>
      <c r="L135" s="489"/>
      <c r="M135" s="489"/>
      <c r="N135" s="489"/>
      <c r="O135" s="489"/>
      <c r="P135" s="489"/>
      <c r="Q135" s="489"/>
      <c r="R135" s="489"/>
      <c r="S135" s="489"/>
      <c r="T135" s="489"/>
      <c r="U135" s="489"/>
      <c r="V135" s="489"/>
      <c r="W135" s="489"/>
      <c r="X135" s="489"/>
      <c r="Y135" s="489"/>
      <c r="Z135" s="489"/>
    </row>
    <row r="136" ht="15.75" customHeight="1">
      <c r="A136" s="489"/>
      <c r="B136" s="489"/>
      <c r="C136" s="489"/>
      <c r="D136" s="489"/>
      <c r="E136" s="489"/>
      <c r="F136" s="489"/>
      <c r="G136" s="489"/>
      <c r="H136" s="489"/>
      <c r="I136" s="489"/>
      <c r="J136" s="489"/>
      <c r="K136" s="489"/>
      <c r="L136" s="489"/>
      <c r="M136" s="489"/>
      <c r="N136" s="489"/>
      <c r="O136" s="489"/>
      <c r="P136" s="489"/>
      <c r="Q136" s="489"/>
      <c r="R136" s="489"/>
      <c r="S136" s="489"/>
      <c r="T136" s="489"/>
      <c r="U136" s="489"/>
      <c r="V136" s="489"/>
      <c r="W136" s="489"/>
      <c r="X136" s="489"/>
      <c r="Y136" s="489"/>
      <c r="Z136" s="489"/>
    </row>
    <row r="137" ht="15.75" customHeight="1">
      <c r="A137" s="489"/>
      <c r="B137" s="489"/>
      <c r="C137" s="489"/>
      <c r="D137" s="489"/>
      <c r="E137" s="489"/>
      <c r="F137" s="489"/>
      <c r="G137" s="489"/>
      <c r="H137" s="489"/>
      <c r="I137" s="489"/>
      <c r="J137" s="489"/>
      <c r="K137" s="489"/>
      <c r="L137" s="489"/>
      <c r="M137" s="489"/>
      <c r="N137" s="489"/>
      <c r="O137" s="489"/>
      <c r="P137" s="489"/>
      <c r="Q137" s="489"/>
      <c r="R137" s="489"/>
      <c r="S137" s="489"/>
      <c r="T137" s="489"/>
      <c r="U137" s="489"/>
      <c r="V137" s="489"/>
      <c r="W137" s="489"/>
      <c r="X137" s="489"/>
      <c r="Y137" s="489"/>
      <c r="Z137" s="489"/>
    </row>
    <row r="138" ht="15.75" customHeight="1">
      <c r="A138" s="489"/>
      <c r="B138" s="489"/>
      <c r="C138" s="489"/>
      <c r="D138" s="489"/>
      <c r="E138" s="489"/>
      <c r="F138" s="489"/>
      <c r="G138" s="489"/>
      <c r="H138" s="489"/>
      <c r="I138" s="489"/>
      <c r="J138" s="489"/>
      <c r="K138" s="489"/>
      <c r="L138" s="489"/>
      <c r="M138" s="489"/>
      <c r="N138" s="489"/>
      <c r="O138" s="489"/>
      <c r="P138" s="489"/>
      <c r="Q138" s="489"/>
      <c r="R138" s="489"/>
      <c r="S138" s="489"/>
      <c r="T138" s="489"/>
      <c r="U138" s="489"/>
      <c r="V138" s="489"/>
      <c r="W138" s="489"/>
      <c r="X138" s="489"/>
      <c r="Y138" s="489"/>
      <c r="Z138" s="489"/>
    </row>
    <row r="139" ht="15.75" customHeight="1">
      <c r="A139" s="489"/>
      <c r="B139" s="489"/>
      <c r="C139" s="489"/>
      <c r="D139" s="489"/>
      <c r="E139" s="489"/>
      <c r="F139" s="489"/>
      <c r="G139" s="489"/>
      <c r="H139" s="489"/>
      <c r="I139" s="489"/>
      <c r="J139" s="489"/>
      <c r="K139" s="489"/>
      <c r="L139" s="489"/>
      <c r="M139" s="489"/>
      <c r="N139" s="489"/>
      <c r="O139" s="489"/>
      <c r="P139" s="489"/>
      <c r="Q139" s="489"/>
      <c r="R139" s="489"/>
      <c r="S139" s="489"/>
      <c r="T139" s="489"/>
      <c r="U139" s="489"/>
      <c r="V139" s="489"/>
      <c r="W139" s="489"/>
      <c r="X139" s="489"/>
      <c r="Y139" s="489"/>
      <c r="Z139" s="489"/>
    </row>
    <row r="140" ht="15.75" customHeight="1">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row>
    <row r="141" ht="15.75" customHeight="1">
      <c r="A141" s="489"/>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row>
    <row r="142" ht="15.75" customHeight="1">
      <c r="A142" s="489"/>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row>
    <row r="143" ht="15.75" customHeight="1">
      <c r="A143" s="489"/>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row>
    <row r="144" ht="15.75" customHeight="1">
      <c r="A144" s="489"/>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row>
    <row r="145" ht="15.75" customHeight="1">
      <c r="A145" s="489"/>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row>
    <row r="146" ht="15.75" customHeight="1">
      <c r="A146" s="489"/>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row>
    <row r="147" ht="15.75" customHeight="1">
      <c r="A147" s="489"/>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row>
    <row r="148" ht="15.75" customHeight="1">
      <c r="A148" s="489"/>
      <c r="B148" s="489"/>
      <c r="C148" s="489"/>
      <c r="D148" s="489"/>
      <c r="E148" s="489"/>
      <c r="F148" s="489"/>
      <c r="G148" s="489"/>
      <c r="H148" s="489"/>
      <c r="I148" s="489"/>
      <c r="J148" s="489"/>
      <c r="K148" s="489"/>
      <c r="L148" s="489"/>
      <c r="M148" s="489"/>
      <c r="N148" s="489"/>
      <c r="O148" s="489"/>
      <c r="P148" s="489"/>
      <c r="Q148" s="489"/>
      <c r="R148" s="489"/>
      <c r="S148" s="489"/>
      <c r="T148" s="489"/>
      <c r="U148" s="489"/>
      <c r="V148" s="489"/>
      <c r="W148" s="489"/>
      <c r="X148" s="489"/>
      <c r="Y148" s="489"/>
      <c r="Z148" s="489"/>
    </row>
    <row r="149" ht="15.75" customHeight="1">
      <c r="A149" s="489"/>
      <c r="B149" s="489"/>
      <c r="C149" s="489"/>
      <c r="D149" s="489"/>
      <c r="E149" s="489"/>
      <c r="F149" s="489"/>
      <c r="G149" s="489"/>
      <c r="H149" s="489"/>
      <c r="I149" s="489"/>
      <c r="J149" s="489"/>
      <c r="K149" s="489"/>
      <c r="L149" s="489"/>
      <c r="M149" s="489"/>
      <c r="N149" s="489"/>
      <c r="O149" s="489"/>
      <c r="P149" s="489"/>
      <c r="Q149" s="489"/>
      <c r="R149" s="489"/>
      <c r="S149" s="489"/>
      <c r="T149" s="489"/>
      <c r="U149" s="489"/>
      <c r="V149" s="489"/>
      <c r="W149" s="489"/>
      <c r="X149" s="489"/>
      <c r="Y149" s="489"/>
      <c r="Z149" s="489"/>
    </row>
    <row r="150" ht="15.75" customHeight="1">
      <c r="A150" s="489"/>
      <c r="B150" s="489"/>
      <c r="C150" s="489"/>
      <c r="D150" s="489"/>
      <c r="E150" s="489"/>
      <c r="F150" s="489"/>
      <c r="G150" s="489"/>
      <c r="H150" s="489"/>
      <c r="I150" s="489"/>
      <c r="J150" s="489"/>
      <c r="K150" s="489"/>
      <c r="L150" s="489"/>
      <c r="M150" s="489"/>
      <c r="N150" s="489"/>
      <c r="O150" s="489"/>
      <c r="P150" s="489"/>
      <c r="Q150" s="489"/>
      <c r="R150" s="489"/>
      <c r="S150" s="489"/>
      <c r="T150" s="489"/>
      <c r="U150" s="489"/>
      <c r="V150" s="489"/>
      <c r="W150" s="489"/>
      <c r="X150" s="489"/>
      <c r="Y150" s="489"/>
      <c r="Z150" s="489"/>
    </row>
    <row r="151" ht="15.75" customHeight="1">
      <c r="A151" s="489"/>
      <c r="B151" s="489"/>
      <c r="C151" s="489"/>
      <c r="D151" s="489"/>
      <c r="E151" s="489"/>
      <c r="F151" s="489"/>
      <c r="G151" s="489"/>
      <c r="H151" s="489"/>
      <c r="I151" s="489"/>
      <c r="J151" s="489"/>
      <c r="K151" s="489"/>
      <c r="L151" s="489"/>
      <c r="M151" s="489"/>
      <c r="N151" s="489"/>
      <c r="O151" s="489"/>
      <c r="P151" s="489"/>
      <c r="Q151" s="489"/>
      <c r="R151" s="489"/>
      <c r="S151" s="489"/>
      <c r="T151" s="489"/>
      <c r="U151" s="489"/>
      <c r="V151" s="489"/>
      <c r="W151" s="489"/>
      <c r="X151" s="489"/>
      <c r="Y151" s="489"/>
      <c r="Z151" s="489"/>
    </row>
    <row r="152" ht="15.75" customHeight="1">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row>
    <row r="153" ht="15.75" customHeight="1">
      <c r="A153" s="489"/>
      <c r="B153" s="489"/>
      <c r="C153" s="489"/>
      <c r="D153" s="489"/>
      <c r="E153" s="489"/>
      <c r="F153" s="489"/>
      <c r="G153" s="489"/>
      <c r="H153" s="489"/>
      <c r="I153" s="489"/>
      <c r="J153" s="489"/>
      <c r="K153" s="489"/>
      <c r="L153" s="489"/>
      <c r="M153" s="489"/>
      <c r="N153" s="489"/>
      <c r="O153" s="489"/>
      <c r="P153" s="489"/>
      <c r="Q153" s="489"/>
      <c r="R153" s="489"/>
      <c r="S153" s="489"/>
      <c r="T153" s="489"/>
      <c r="U153" s="489"/>
      <c r="V153" s="489"/>
      <c r="W153" s="489"/>
      <c r="X153" s="489"/>
      <c r="Y153" s="489"/>
      <c r="Z153" s="489"/>
    </row>
    <row r="154" ht="15.75" customHeight="1">
      <c r="A154" s="489"/>
      <c r="B154" s="489"/>
      <c r="C154" s="489"/>
      <c r="D154" s="489"/>
      <c r="E154" s="489"/>
      <c r="F154" s="489"/>
      <c r="G154" s="489"/>
      <c r="H154" s="489"/>
      <c r="I154" s="489"/>
      <c r="J154" s="489"/>
      <c r="K154" s="489"/>
      <c r="L154" s="489"/>
      <c r="M154" s="489"/>
      <c r="N154" s="489"/>
      <c r="O154" s="489"/>
      <c r="P154" s="489"/>
      <c r="Q154" s="489"/>
      <c r="R154" s="489"/>
      <c r="S154" s="489"/>
      <c r="T154" s="489"/>
      <c r="U154" s="489"/>
      <c r="V154" s="489"/>
      <c r="W154" s="489"/>
      <c r="X154" s="489"/>
      <c r="Y154" s="489"/>
      <c r="Z154" s="489"/>
    </row>
    <row r="155" ht="15.75" customHeight="1">
      <c r="A155" s="489"/>
      <c r="B155" s="489"/>
      <c r="C155" s="489"/>
      <c r="D155" s="489"/>
      <c r="E155" s="489"/>
      <c r="F155" s="489"/>
      <c r="G155" s="489"/>
      <c r="H155" s="489"/>
      <c r="I155" s="489"/>
      <c r="J155" s="489"/>
      <c r="K155" s="489"/>
      <c r="L155" s="489"/>
      <c r="M155" s="489"/>
      <c r="N155" s="489"/>
      <c r="O155" s="489"/>
      <c r="P155" s="489"/>
      <c r="Q155" s="489"/>
      <c r="R155" s="489"/>
      <c r="S155" s="489"/>
      <c r="T155" s="489"/>
      <c r="U155" s="489"/>
      <c r="V155" s="489"/>
      <c r="W155" s="489"/>
      <c r="X155" s="489"/>
      <c r="Y155" s="489"/>
      <c r="Z155" s="489"/>
    </row>
    <row r="156" ht="15.75" customHeight="1">
      <c r="A156" s="489"/>
      <c r="B156" s="489"/>
      <c r="C156" s="489"/>
      <c r="D156" s="489"/>
      <c r="E156" s="489"/>
      <c r="F156" s="489"/>
      <c r="G156" s="489"/>
      <c r="H156" s="489"/>
      <c r="I156" s="489"/>
      <c r="J156" s="489"/>
      <c r="K156" s="489"/>
      <c r="L156" s="489"/>
      <c r="M156" s="489"/>
      <c r="N156" s="489"/>
      <c r="O156" s="489"/>
      <c r="P156" s="489"/>
      <c r="Q156" s="489"/>
      <c r="R156" s="489"/>
      <c r="S156" s="489"/>
      <c r="T156" s="489"/>
      <c r="U156" s="489"/>
      <c r="V156" s="489"/>
      <c r="W156" s="489"/>
      <c r="X156" s="489"/>
      <c r="Y156" s="489"/>
      <c r="Z156" s="489"/>
    </row>
    <row r="157" ht="15.75" customHeight="1">
      <c r="A157" s="489"/>
      <c r="B157" s="489"/>
      <c r="C157" s="489"/>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row>
    <row r="158" ht="15.75" customHeight="1">
      <c r="A158" s="489"/>
      <c r="B158" s="489"/>
      <c r="C158" s="489"/>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row>
    <row r="159" ht="15.75" customHeight="1">
      <c r="A159" s="489"/>
      <c r="B159" s="489"/>
      <c r="C159" s="489"/>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row>
    <row r="160" ht="15.75" customHeight="1">
      <c r="A160" s="489"/>
      <c r="B160" s="489"/>
      <c r="C160" s="489"/>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row>
    <row r="161" ht="15.75" customHeight="1">
      <c r="A161" s="489"/>
      <c r="B161" s="489"/>
      <c r="C161" s="489"/>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row>
    <row r="162" ht="15.75" customHeight="1">
      <c r="A162" s="489"/>
      <c r="B162" s="489"/>
      <c r="C162" s="489"/>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row>
    <row r="163" ht="15.75" customHeight="1">
      <c r="A163" s="489"/>
      <c r="B163" s="489"/>
      <c r="C163" s="489"/>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row>
    <row r="164" ht="15.75" customHeight="1">
      <c r="A164" s="489"/>
      <c r="B164" s="489"/>
      <c r="C164" s="489"/>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row>
    <row r="165" ht="15.75" customHeight="1">
      <c r="A165" s="489"/>
      <c r="B165" s="489"/>
      <c r="C165" s="489"/>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row>
    <row r="166" ht="15.75" customHeight="1">
      <c r="A166" s="489"/>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row>
    <row r="167" ht="15.75" customHeight="1">
      <c r="A167" s="489"/>
      <c r="B167" s="489"/>
      <c r="C167" s="489"/>
      <c r="D167" s="489"/>
      <c r="E167" s="489"/>
      <c r="F167" s="489"/>
      <c r="G167" s="489"/>
      <c r="H167" s="489"/>
      <c r="I167" s="489"/>
      <c r="J167" s="489"/>
      <c r="K167" s="489"/>
      <c r="L167" s="489"/>
      <c r="M167" s="489"/>
      <c r="N167" s="489"/>
      <c r="O167" s="489"/>
      <c r="P167" s="489"/>
      <c r="Q167" s="489"/>
      <c r="R167" s="489"/>
      <c r="S167" s="489"/>
      <c r="T167" s="489"/>
      <c r="U167" s="489"/>
      <c r="V167" s="489"/>
      <c r="W167" s="489"/>
      <c r="X167" s="489"/>
      <c r="Y167" s="489"/>
      <c r="Z167" s="489"/>
    </row>
    <row r="168" ht="15.75" customHeight="1">
      <c r="A168" s="489"/>
      <c r="B168" s="489"/>
      <c r="C168" s="489"/>
      <c r="D168" s="489"/>
      <c r="E168" s="489"/>
      <c r="F168" s="489"/>
      <c r="G168" s="489"/>
      <c r="H168" s="489"/>
      <c r="I168" s="489"/>
      <c r="J168" s="489"/>
      <c r="K168" s="489"/>
      <c r="L168" s="489"/>
      <c r="M168" s="489"/>
      <c r="N168" s="489"/>
      <c r="O168" s="489"/>
      <c r="P168" s="489"/>
      <c r="Q168" s="489"/>
      <c r="R168" s="489"/>
      <c r="S168" s="489"/>
      <c r="T168" s="489"/>
      <c r="U168" s="489"/>
      <c r="V168" s="489"/>
      <c r="W168" s="489"/>
      <c r="X168" s="489"/>
      <c r="Y168" s="489"/>
      <c r="Z168" s="489"/>
    </row>
    <row r="169" ht="15.75" customHeight="1">
      <c r="A169" s="489"/>
      <c r="B169" s="489"/>
      <c r="C169" s="489"/>
      <c r="D169" s="489"/>
      <c r="E169" s="489"/>
      <c r="F169" s="489"/>
      <c r="G169" s="489"/>
      <c r="H169" s="489"/>
      <c r="I169" s="489"/>
      <c r="J169" s="489"/>
      <c r="K169" s="489"/>
      <c r="L169" s="489"/>
      <c r="M169" s="489"/>
      <c r="N169" s="489"/>
      <c r="O169" s="489"/>
      <c r="P169" s="489"/>
      <c r="Q169" s="489"/>
      <c r="R169" s="489"/>
      <c r="S169" s="489"/>
      <c r="T169" s="489"/>
      <c r="U169" s="489"/>
      <c r="V169" s="489"/>
      <c r="W169" s="489"/>
      <c r="X169" s="489"/>
      <c r="Y169" s="489"/>
      <c r="Z169" s="489"/>
    </row>
    <row r="170" ht="15.75" customHeight="1">
      <c r="A170" s="489"/>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row>
    <row r="171" ht="15.75" customHeight="1">
      <c r="A171" s="489"/>
      <c r="B171" s="489"/>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row>
    <row r="172" ht="15.75" customHeight="1">
      <c r="A172" s="489"/>
      <c r="B172" s="489"/>
      <c r="C172" s="489"/>
      <c r="D172" s="489"/>
      <c r="E172" s="489"/>
      <c r="F172" s="489"/>
      <c r="G172" s="489"/>
      <c r="H172" s="489"/>
      <c r="I172" s="489"/>
      <c r="J172" s="489"/>
      <c r="K172" s="489"/>
      <c r="L172" s="489"/>
      <c r="M172" s="489"/>
      <c r="N172" s="489"/>
      <c r="O172" s="489"/>
      <c r="P172" s="489"/>
      <c r="Q172" s="489"/>
      <c r="R172" s="489"/>
      <c r="S172" s="489"/>
      <c r="T172" s="489"/>
      <c r="U172" s="489"/>
      <c r="V172" s="489"/>
      <c r="W172" s="489"/>
      <c r="X172" s="489"/>
      <c r="Y172" s="489"/>
      <c r="Z172" s="489"/>
    </row>
    <row r="173" ht="15.75" customHeight="1">
      <c r="A173" s="489"/>
      <c r="B173" s="489"/>
      <c r="C173" s="489"/>
      <c r="D173" s="489"/>
      <c r="E173" s="489"/>
      <c r="F173" s="489"/>
      <c r="G173" s="489"/>
      <c r="H173" s="489"/>
      <c r="I173" s="489"/>
      <c r="J173" s="489"/>
      <c r="K173" s="489"/>
      <c r="L173" s="489"/>
      <c r="M173" s="489"/>
      <c r="N173" s="489"/>
      <c r="O173" s="489"/>
      <c r="P173" s="489"/>
      <c r="Q173" s="489"/>
      <c r="R173" s="489"/>
      <c r="S173" s="489"/>
      <c r="T173" s="489"/>
      <c r="U173" s="489"/>
      <c r="V173" s="489"/>
      <c r="W173" s="489"/>
      <c r="X173" s="489"/>
      <c r="Y173" s="489"/>
      <c r="Z173" s="489"/>
    </row>
    <row r="174" ht="15.75" customHeight="1">
      <c r="A174" s="489"/>
      <c r="B174" s="489"/>
      <c r="C174" s="489"/>
      <c r="D174" s="489"/>
      <c r="E174" s="489"/>
      <c r="F174" s="489"/>
      <c r="G174" s="489"/>
      <c r="H174" s="489"/>
      <c r="I174" s="489"/>
      <c r="J174" s="489"/>
      <c r="K174" s="489"/>
      <c r="L174" s="489"/>
      <c r="M174" s="489"/>
      <c r="N174" s="489"/>
      <c r="O174" s="489"/>
      <c r="P174" s="489"/>
      <c r="Q174" s="489"/>
      <c r="R174" s="489"/>
      <c r="S174" s="489"/>
      <c r="T174" s="489"/>
      <c r="U174" s="489"/>
      <c r="V174" s="489"/>
      <c r="W174" s="489"/>
      <c r="X174" s="489"/>
      <c r="Y174" s="489"/>
      <c r="Z174" s="489"/>
    </row>
    <row r="175" ht="15.75" customHeight="1">
      <c r="A175" s="489"/>
      <c r="B175" s="489"/>
      <c r="C175" s="489"/>
      <c r="D175" s="489"/>
      <c r="E175" s="489"/>
      <c r="F175" s="489"/>
      <c r="G175" s="489"/>
      <c r="H175" s="489"/>
      <c r="I175" s="489"/>
      <c r="J175" s="489"/>
      <c r="K175" s="489"/>
      <c r="L175" s="489"/>
      <c r="M175" s="489"/>
      <c r="N175" s="489"/>
      <c r="O175" s="489"/>
      <c r="P175" s="489"/>
      <c r="Q175" s="489"/>
      <c r="R175" s="489"/>
      <c r="S175" s="489"/>
      <c r="T175" s="489"/>
      <c r="U175" s="489"/>
      <c r="V175" s="489"/>
      <c r="W175" s="489"/>
      <c r="X175" s="489"/>
      <c r="Y175" s="489"/>
      <c r="Z175" s="489"/>
    </row>
    <row r="176" ht="15.75" customHeight="1">
      <c r="A176" s="489"/>
      <c r="B176" s="489"/>
      <c r="C176" s="489"/>
      <c r="D176" s="489"/>
      <c r="E176" s="489"/>
      <c r="F176" s="489"/>
      <c r="G176" s="489"/>
      <c r="H176" s="489"/>
      <c r="I176" s="489"/>
      <c r="J176" s="489"/>
      <c r="K176" s="489"/>
      <c r="L176" s="489"/>
      <c r="M176" s="489"/>
      <c r="N176" s="489"/>
      <c r="O176" s="489"/>
      <c r="P176" s="489"/>
      <c r="Q176" s="489"/>
      <c r="R176" s="489"/>
      <c r="S176" s="489"/>
      <c r="T176" s="489"/>
      <c r="U176" s="489"/>
      <c r="V176" s="489"/>
      <c r="W176" s="489"/>
      <c r="X176" s="489"/>
      <c r="Y176" s="489"/>
      <c r="Z176" s="489"/>
    </row>
    <row r="177" ht="15.75" customHeight="1">
      <c r="A177" s="489"/>
      <c r="B177" s="489"/>
      <c r="C177" s="489"/>
      <c r="D177" s="489"/>
      <c r="E177" s="489"/>
      <c r="F177" s="489"/>
      <c r="G177" s="489"/>
      <c r="H177" s="489"/>
      <c r="I177" s="489"/>
      <c r="J177" s="489"/>
      <c r="K177" s="489"/>
      <c r="L177" s="489"/>
      <c r="M177" s="489"/>
      <c r="N177" s="489"/>
      <c r="O177" s="489"/>
      <c r="P177" s="489"/>
      <c r="Q177" s="489"/>
      <c r="R177" s="489"/>
      <c r="S177" s="489"/>
      <c r="T177" s="489"/>
      <c r="U177" s="489"/>
      <c r="V177" s="489"/>
      <c r="W177" s="489"/>
      <c r="X177" s="489"/>
      <c r="Y177" s="489"/>
      <c r="Z177" s="489"/>
    </row>
    <row r="178" ht="15.75" customHeight="1">
      <c r="A178" s="489"/>
      <c r="B178" s="489"/>
      <c r="C178" s="489"/>
      <c r="D178" s="489"/>
      <c r="E178" s="489"/>
      <c r="F178" s="489"/>
      <c r="G178" s="489"/>
      <c r="H178" s="489"/>
      <c r="I178" s="489"/>
      <c r="J178" s="489"/>
      <c r="K178" s="489"/>
      <c r="L178" s="489"/>
      <c r="M178" s="489"/>
      <c r="N178" s="489"/>
      <c r="O178" s="489"/>
      <c r="P178" s="489"/>
      <c r="Q178" s="489"/>
      <c r="R178" s="489"/>
      <c r="S178" s="489"/>
      <c r="T178" s="489"/>
      <c r="U178" s="489"/>
      <c r="V178" s="489"/>
      <c r="W178" s="489"/>
      <c r="X178" s="489"/>
      <c r="Y178" s="489"/>
      <c r="Z178" s="489"/>
    </row>
    <row r="179" ht="15.75" customHeight="1">
      <c r="A179" s="489"/>
      <c r="B179" s="489"/>
      <c r="C179" s="489"/>
      <c r="D179" s="489"/>
      <c r="E179" s="489"/>
      <c r="F179" s="489"/>
      <c r="G179" s="489"/>
      <c r="H179" s="489"/>
      <c r="I179" s="489"/>
      <c r="J179" s="489"/>
      <c r="K179" s="489"/>
      <c r="L179" s="489"/>
      <c r="M179" s="489"/>
      <c r="N179" s="489"/>
      <c r="O179" s="489"/>
      <c r="P179" s="489"/>
      <c r="Q179" s="489"/>
      <c r="R179" s="489"/>
      <c r="S179" s="489"/>
      <c r="T179" s="489"/>
      <c r="U179" s="489"/>
      <c r="V179" s="489"/>
      <c r="W179" s="489"/>
      <c r="X179" s="489"/>
      <c r="Y179" s="489"/>
      <c r="Z179" s="489"/>
    </row>
    <row r="180" ht="15.75" customHeight="1">
      <c r="A180" s="489"/>
      <c r="B180" s="489"/>
      <c r="C180" s="489"/>
      <c r="D180" s="489"/>
      <c r="E180" s="489"/>
      <c r="F180" s="489"/>
      <c r="G180" s="489"/>
      <c r="H180" s="489"/>
      <c r="I180" s="489"/>
      <c r="J180" s="489"/>
      <c r="K180" s="489"/>
      <c r="L180" s="489"/>
      <c r="M180" s="489"/>
      <c r="N180" s="489"/>
      <c r="O180" s="489"/>
      <c r="P180" s="489"/>
      <c r="Q180" s="489"/>
      <c r="R180" s="489"/>
      <c r="S180" s="489"/>
      <c r="T180" s="489"/>
      <c r="U180" s="489"/>
      <c r="V180" s="489"/>
      <c r="W180" s="489"/>
      <c r="X180" s="489"/>
      <c r="Y180" s="489"/>
      <c r="Z180" s="489"/>
    </row>
    <row r="181" ht="15.75" customHeight="1">
      <c r="A181" s="489"/>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row>
    <row r="182" ht="15.75" customHeight="1">
      <c r="A182" s="489"/>
      <c r="B182" s="489"/>
      <c r="C182" s="489"/>
      <c r="D182" s="489"/>
      <c r="E182" s="489"/>
      <c r="F182" s="489"/>
      <c r="G182" s="489"/>
      <c r="H182" s="489"/>
      <c r="I182" s="489"/>
      <c r="J182" s="489"/>
      <c r="K182" s="489"/>
      <c r="L182" s="489"/>
      <c r="M182" s="489"/>
      <c r="N182" s="489"/>
      <c r="O182" s="489"/>
      <c r="P182" s="489"/>
      <c r="Q182" s="489"/>
      <c r="R182" s="489"/>
      <c r="S182" s="489"/>
      <c r="T182" s="489"/>
      <c r="U182" s="489"/>
      <c r="V182" s="489"/>
      <c r="W182" s="489"/>
      <c r="X182" s="489"/>
      <c r="Y182" s="489"/>
      <c r="Z182" s="489"/>
    </row>
    <row r="183" ht="15.75" customHeight="1">
      <c r="A183" s="489"/>
      <c r="B183" s="489"/>
      <c r="C183" s="489"/>
      <c r="D183" s="489"/>
      <c r="E183" s="489"/>
      <c r="F183" s="489"/>
      <c r="G183" s="489"/>
      <c r="H183" s="489"/>
      <c r="I183" s="489"/>
      <c r="J183" s="489"/>
      <c r="K183" s="489"/>
      <c r="L183" s="489"/>
      <c r="M183" s="489"/>
      <c r="N183" s="489"/>
      <c r="O183" s="489"/>
      <c r="P183" s="489"/>
      <c r="Q183" s="489"/>
      <c r="R183" s="489"/>
      <c r="S183" s="489"/>
      <c r="T183" s="489"/>
      <c r="U183" s="489"/>
      <c r="V183" s="489"/>
      <c r="W183" s="489"/>
      <c r="X183" s="489"/>
      <c r="Y183" s="489"/>
      <c r="Z183" s="489"/>
    </row>
    <row r="184" ht="15.75" customHeight="1">
      <c r="A184" s="489"/>
      <c r="B184" s="489"/>
      <c r="C184" s="489"/>
      <c r="D184" s="489"/>
      <c r="E184" s="489"/>
      <c r="F184" s="489"/>
      <c r="G184" s="489"/>
      <c r="H184" s="489"/>
      <c r="I184" s="489"/>
      <c r="J184" s="489"/>
      <c r="K184" s="489"/>
      <c r="L184" s="489"/>
      <c r="M184" s="489"/>
      <c r="N184" s="489"/>
      <c r="O184" s="489"/>
      <c r="P184" s="489"/>
      <c r="Q184" s="489"/>
      <c r="R184" s="489"/>
      <c r="S184" s="489"/>
      <c r="T184" s="489"/>
      <c r="U184" s="489"/>
      <c r="V184" s="489"/>
      <c r="W184" s="489"/>
      <c r="X184" s="489"/>
      <c r="Y184" s="489"/>
      <c r="Z184" s="489"/>
    </row>
    <row r="185" ht="15.75" customHeight="1">
      <c r="A185" s="489"/>
      <c r="B185" s="489"/>
      <c r="C185" s="489"/>
      <c r="D185" s="489"/>
      <c r="E185" s="489"/>
      <c r="F185" s="489"/>
      <c r="G185" s="489"/>
      <c r="H185" s="489"/>
      <c r="I185" s="489"/>
      <c r="J185" s="489"/>
      <c r="K185" s="489"/>
      <c r="L185" s="489"/>
      <c r="M185" s="489"/>
      <c r="N185" s="489"/>
      <c r="O185" s="489"/>
      <c r="P185" s="489"/>
      <c r="Q185" s="489"/>
      <c r="R185" s="489"/>
      <c r="S185" s="489"/>
      <c r="T185" s="489"/>
      <c r="U185" s="489"/>
      <c r="V185" s="489"/>
      <c r="W185" s="489"/>
      <c r="X185" s="489"/>
      <c r="Y185" s="489"/>
      <c r="Z185" s="489"/>
    </row>
    <row r="186" ht="15.75" customHeight="1">
      <c r="A186" s="489"/>
      <c r="B186" s="489"/>
      <c r="C186" s="489"/>
      <c r="D186" s="489"/>
      <c r="E186" s="489"/>
      <c r="F186" s="489"/>
      <c r="G186" s="489"/>
      <c r="H186" s="489"/>
      <c r="I186" s="489"/>
      <c r="J186" s="489"/>
      <c r="K186" s="489"/>
      <c r="L186" s="489"/>
      <c r="M186" s="489"/>
      <c r="N186" s="489"/>
      <c r="O186" s="489"/>
      <c r="P186" s="489"/>
      <c r="Q186" s="489"/>
      <c r="R186" s="489"/>
      <c r="S186" s="489"/>
      <c r="T186" s="489"/>
      <c r="U186" s="489"/>
      <c r="V186" s="489"/>
      <c r="W186" s="489"/>
      <c r="X186" s="489"/>
      <c r="Y186" s="489"/>
      <c r="Z186" s="489"/>
    </row>
    <row r="187" ht="15.75" customHeight="1">
      <c r="A187" s="489"/>
      <c r="B187" s="489"/>
      <c r="C187" s="489"/>
      <c r="D187" s="489"/>
      <c r="E187" s="489"/>
      <c r="F187" s="489"/>
      <c r="G187" s="489"/>
      <c r="H187" s="489"/>
      <c r="I187" s="489"/>
      <c r="J187" s="489"/>
      <c r="K187" s="489"/>
      <c r="L187" s="489"/>
      <c r="M187" s="489"/>
      <c r="N187" s="489"/>
      <c r="O187" s="489"/>
      <c r="P187" s="489"/>
      <c r="Q187" s="489"/>
      <c r="R187" s="489"/>
      <c r="S187" s="489"/>
      <c r="T187" s="489"/>
      <c r="U187" s="489"/>
      <c r="V187" s="489"/>
      <c r="W187" s="489"/>
      <c r="X187" s="489"/>
      <c r="Y187" s="489"/>
      <c r="Z187" s="489"/>
    </row>
    <row r="188" ht="15.75" customHeight="1">
      <c r="A188" s="489"/>
      <c r="B188" s="489"/>
      <c r="C188" s="489"/>
      <c r="D188" s="489"/>
      <c r="E188" s="489"/>
      <c r="F188" s="489"/>
      <c r="G188" s="489"/>
      <c r="H188" s="489"/>
      <c r="I188" s="489"/>
      <c r="J188" s="489"/>
      <c r="K188" s="489"/>
      <c r="L188" s="489"/>
      <c r="M188" s="489"/>
      <c r="N188" s="489"/>
      <c r="O188" s="489"/>
      <c r="P188" s="489"/>
      <c r="Q188" s="489"/>
      <c r="R188" s="489"/>
      <c r="S188" s="489"/>
      <c r="T188" s="489"/>
      <c r="U188" s="489"/>
      <c r="V188" s="489"/>
      <c r="W188" s="489"/>
      <c r="X188" s="489"/>
      <c r="Y188" s="489"/>
      <c r="Z188" s="489"/>
    </row>
    <row r="189" ht="15.75" customHeight="1">
      <c r="A189" s="489"/>
      <c r="B189" s="489"/>
      <c r="C189" s="489"/>
      <c r="D189" s="489"/>
      <c r="E189" s="489"/>
      <c r="F189" s="489"/>
      <c r="G189" s="489"/>
      <c r="H189" s="489"/>
      <c r="I189" s="489"/>
      <c r="J189" s="489"/>
      <c r="K189" s="489"/>
      <c r="L189" s="489"/>
      <c r="M189" s="489"/>
      <c r="N189" s="489"/>
      <c r="O189" s="489"/>
      <c r="P189" s="489"/>
      <c r="Q189" s="489"/>
      <c r="R189" s="489"/>
      <c r="S189" s="489"/>
      <c r="T189" s="489"/>
      <c r="U189" s="489"/>
      <c r="V189" s="489"/>
      <c r="W189" s="489"/>
      <c r="X189" s="489"/>
      <c r="Y189" s="489"/>
      <c r="Z189" s="489"/>
    </row>
    <row r="190" ht="15.75" customHeight="1">
      <c r="A190" s="489"/>
      <c r="B190" s="489"/>
      <c r="C190" s="489"/>
      <c r="D190" s="489"/>
      <c r="E190" s="489"/>
      <c r="F190" s="489"/>
      <c r="G190" s="489"/>
      <c r="H190" s="489"/>
      <c r="I190" s="489"/>
      <c r="J190" s="489"/>
      <c r="K190" s="489"/>
      <c r="L190" s="489"/>
      <c r="M190" s="489"/>
      <c r="N190" s="489"/>
      <c r="O190" s="489"/>
      <c r="P190" s="489"/>
      <c r="Q190" s="489"/>
      <c r="R190" s="489"/>
      <c r="S190" s="489"/>
      <c r="T190" s="489"/>
      <c r="U190" s="489"/>
      <c r="V190" s="489"/>
      <c r="W190" s="489"/>
      <c r="X190" s="489"/>
      <c r="Y190" s="489"/>
      <c r="Z190" s="489"/>
    </row>
    <row r="191" ht="15.75" customHeight="1">
      <c r="A191" s="489"/>
      <c r="B191" s="489"/>
      <c r="C191" s="489"/>
      <c r="D191" s="489"/>
      <c r="E191" s="489"/>
      <c r="F191" s="489"/>
      <c r="G191" s="489"/>
      <c r="H191" s="489"/>
      <c r="I191" s="489"/>
      <c r="J191" s="489"/>
      <c r="K191" s="489"/>
      <c r="L191" s="489"/>
      <c r="M191" s="489"/>
      <c r="N191" s="489"/>
      <c r="O191" s="489"/>
      <c r="P191" s="489"/>
      <c r="Q191" s="489"/>
      <c r="R191" s="489"/>
      <c r="S191" s="489"/>
      <c r="T191" s="489"/>
      <c r="U191" s="489"/>
      <c r="V191" s="489"/>
      <c r="W191" s="489"/>
      <c r="X191" s="489"/>
      <c r="Y191" s="489"/>
      <c r="Z191" s="489"/>
    </row>
    <row r="192" ht="15.75" customHeight="1">
      <c r="A192" s="489"/>
      <c r="B192" s="489"/>
      <c r="C192" s="489"/>
      <c r="D192" s="489"/>
      <c r="E192" s="489"/>
      <c r="F192" s="489"/>
      <c r="G192" s="489"/>
      <c r="H192" s="489"/>
      <c r="I192" s="489"/>
      <c r="J192" s="489"/>
      <c r="K192" s="489"/>
      <c r="L192" s="489"/>
      <c r="M192" s="489"/>
      <c r="N192" s="489"/>
      <c r="O192" s="489"/>
      <c r="P192" s="489"/>
      <c r="Q192" s="489"/>
      <c r="R192" s="489"/>
      <c r="S192" s="489"/>
      <c r="T192" s="489"/>
      <c r="U192" s="489"/>
      <c r="V192" s="489"/>
      <c r="W192" s="489"/>
      <c r="X192" s="489"/>
      <c r="Y192" s="489"/>
      <c r="Z192" s="489"/>
    </row>
    <row r="193" ht="15.75" customHeight="1">
      <c r="A193" s="489"/>
      <c r="B193" s="489"/>
      <c r="C193" s="489"/>
      <c r="D193" s="489"/>
      <c r="E193" s="489"/>
      <c r="F193" s="489"/>
      <c r="G193" s="489"/>
      <c r="H193" s="489"/>
      <c r="I193" s="489"/>
      <c r="J193" s="489"/>
      <c r="K193" s="489"/>
      <c r="L193" s="489"/>
      <c r="M193" s="489"/>
      <c r="N193" s="489"/>
      <c r="O193" s="489"/>
      <c r="P193" s="489"/>
      <c r="Q193" s="489"/>
      <c r="R193" s="489"/>
      <c r="S193" s="489"/>
      <c r="T193" s="489"/>
      <c r="U193" s="489"/>
      <c r="V193" s="489"/>
      <c r="W193" s="489"/>
      <c r="X193" s="489"/>
      <c r="Y193" s="489"/>
      <c r="Z193" s="489"/>
    </row>
    <row r="194" ht="15.75" customHeight="1">
      <c r="A194" s="489"/>
      <c r="B194" s="489"/>
      <c r="C194" s="489"/>
      <c r="D194" s="489"/>
      <c r="E194" s="489"/>
      <c r="F194" s="489"/>
      <c r="G194" s="489"/>
      <c r="H194" s="489"/>
      <c r="I194" s="489"/>
      <c r="J194" s="489"/>
      <c r="K194" s="489"/>
      <c r="L194" s="489"/>
      <c r="M194" s="489"/>
      <c r="N194" s="489"/>
      <c r="O194" s="489"/>
      <c r="P194" s="489"/>
      <c r="Q194" s="489"/>
      <c r="R194" s="489"/>
      <c r="S194" s="489"/>
      <c r="T194" s="489"/>
      <c r="U194" s="489"/>
      <c r="V194" s="489"/>
      <c r="W194" s="489"/>
      <c r="X194" s="489"/>
      <c r="Y194" s="489"/>
      <c r="Z194" s="489"/>
    </row>
    <row r="195" ht="15.75" customHeight="1">
      <c r="A195" s="489"/>
      <c r="B195" s="489"/>
      <c r="C195" s="489"/>
      <c r="D195" s="489"/>
      <c r="E195" s="489"/>
      <c r="F195" s="489"/>
      <c r="G195" s="489"/>
      <c r="H195" s="489"/>
      <c r="I195" s="489"/>
      <c r="J195" s="489"/>
      <c r="K195" s="489"/>
      <c r="L195" s="489"/>
      <c r="M195" s="489"/>
      <c r="N195" s="489"/>
      <c r="O195" s="489"/>
      <c r="P195" s="489"/>
      <c r="Q195" s="489"/>
      <c r="R195" s="489"/>
      <c r="S195" s="489"/>
      <c r="T195" s="489"/>
      <c r="U195" s="489"/>
      <c r="V195" s="489"/>
      <c r="W195" s="489"/>
      <c r="X195" s="489"/>
      <c r="Y195" s="489"/>
      <c r="Z195" s="489"/>
    </row>
    <row r="196" ht="15.75" customHeight="1">
      <c r="A196" s="489"/>
      <c r="B196" s="489"/>
      <c r="C196" s="489"/>
      <c r="D196" s="489"/>
      <c r="E196" s="489"/>
      <c r="F196" s="489"/>
      <c r="G196" s="489"/>
      <c r="H196" s="489"/>
      <c r="I196" s="489"/>
      <c r="J196" s="489"/>
      <c r="K196" s="489"/>
      <c r="L196" s="489"/>
      <c r="M196" s="489"/>
      <c r="N196" s="489"/>
      <c r="O196" s="489"/>
      <c r="P196" s="489"/>
      <c r="Q196" s="489"/>
      <c r="R196" s="489"/>
      <c r="S196" s="489"/>
      <c r="T196" s="489"/>
      <c r="U196" s="489"/>
      <c r="V196" s="489"/>
      <c r="W196" s="489"/>
      <c r="X196" s="489"/>
      <c r="Y196" s="489"/>
      <c r="Z196" s="489"/>
    </row>
    <row r="197" ht="15.75" customHeight="1">
      <c r="A197" s="489"/>
      <c r="B197" s="489"/>
      <c r="C197" s="489"/>
      <c r="D197" s="489"/>
      <c r="E197" s="489"/>
      <c r="F197" s="489"/>
      <c r="G197" s="489"/>
      <c r="H197" s="489"/>
      <c r="I197" s="489"/>
      <c r="J197" s="489"/>
      <c r="K197" s="489"/>
      <c r="L197" s="489"/>
      <c r="M197" s="489"/>
      <c r="N197" s="489"/>
      <c r="O197" s="489"/>
      <c r="P197" s="489"/>
      <c r="Q197" s="489"/>
      <c r="R197" s="489"/>
      <c r="S197" s="489"/>
      <c r="T197" s="489"/>
      <c r="U197" s="489"/>
      <c r="V197" s="489"/>
      <c r="W197" s="489"/>
      <c r="X197" s="489"/>
      <c r="Y197" s="489"/>
      <c r="Z197" s="489"/>
    </row>
    <row r="198" ht="15.75" customHeight="1">
      <c r="A198" s="489"/>
      <c r="B198" s="489"/>
      <c r="C198" s="489"/>
      <c r="D198" s="489"/>
      <c r="E198" s="489"/>
      <c r="F198" s="489"/>
      <c r="G198" s="489"/>
      <c r="H198" s="489"/>
      <c r="I198" s="489"/>
      <c r="J198" s="489"/>
      <c r="K198" s="489"/>
      <c r="L198" s="489"/>
      <c r="M198" s="489"/>
      <c r="N198" s="489"/>
      <c r="O198" s="489"/>
      <c r="P198" s="489"/>
      <c r="Q198" s="489"/>
      <c r="R198" s="489"/>
      <c r="S198" s="489"/>
      <c r="T198" s="489"/>
      <c r="U198" s="489"/>
      <c r="V198" s="489"/>
      <c r="W198" s="489"/>
      <c r="X198" s="489"/>
      <c r="Y198" s="489"/>
      <c r="Z198" s="489"/>
    </row>
    <row r="199" ht="15.75" customHeight="1">
      <c r="A199" s="489"/>
      <c r="B199" s="489"/>
      <c r="C199" s="489"/>
      <c r="D199" s="489"/>
      <c r="E199" s="489"/>
      <c r="F199" s="489"/>
      <c r="G199" s="489"/>
      <c r="H199" s="489"/>
      <c r="I199" s="489"/>
      <c r="J199" s="489"/>
      <c r="K199" s="489"/>
      <c r="L199" s="489"/>
      <c r="M199" s="489"/>
      <c r="N199" s="489"/>
      <c r="O199" s="489"/>
      <c r="P199" s="489"/>
      <c r="Q199" s="489"/>
      <c r="R199" s="489"/>
      <c r="S199" s="489"/>
      <c r="T199" s="489"/>
      <c r="U199" s="489"/>
      <c r="V199" s="489"/>
      <c r="W199" s="489"/>
      <c r="X199" s="489"/>
      <c r="Y199" s="489"/>
      <c r="Z199" s="489"/>
    </row>
    <row r="200" ht="15.75" customHeight="1">
      <c r="A200" s="489"/>
      <c r="B200" s="489"/>
      <c r="C200" s="489"/>
      <c r="D200" s="489"/>
      <c r="E200" s="489"/>
      <c r="F200" s="489"/>
      <c r="G200" s="489"/>
      <c r="H200" s="489"/>
      <c r="I200" s="489"/>
      <c r="J200" s="489"/>
      <c r="K200" s="489"/>
      <c r="L200" s="489"/>
      <c r="M200" s="489"/>
      <c r="N200" s="489"/>
      <c r="O200" s="489"/>
      <c r="P200" s="489"/>
      <c r="Q200" s="489"/>
      <c r="R200" s="489"/>
      <c r="S200" s="489"/>
      <c r="T200" s="489"/>
      <c r="U200" s="489"/>
      <c r="V200" s="489"/>
      <c r="W200" s="489"/>
      <c r="X200" s="489"/>
      <c r="Y200" s="489"/>
      <c r="Z200" s="489"/>
    </row>
    <row r="201" ht="15.75" customHeight="1">
      <c r="A201" s="489"/>
      <c r="B201" s="489"/>
      <c r="C201" s="489"/>
      <c r="D201" s="489"/>
      <c r="E201" s="489"/>
      <c r="F201" s="489"/>
      <c r="G201" s="489"/>
      <c r="H201" s="489"/>
      <c r="I201" s="489"/>
      <c r="J201" s="489"/>
      <c r="K201" s="489"/>
      <c r="L201" s="489"/>
      <c r="M201" s="489"/>
      <c r="N201" s="489"/>
      <c r="O201" s="489"/>
      <c r="P201" s="489"/>
      <c r="Q201" s="489"/>
      <c r="R201" s="489"/>
      <c r="S201" s="489"/>
      <c r="T201" s="489"/>
      <c r="U201" s="489"/>
      <c r="V201" s="489"/>
      <c r="W201" s="489"/>
      <c r="X201" s="489"/>
      <c r="Y201" s="489"/>
      <c r="Z201" s="489"/>
    </row>
    <row r="202" ht="15.75" customHeight="1">
      <c r="A202" s="489"/>
      <c r="B202" s="489"/>
      <c r="C202" s="489"/>
      <c r="D202" s="489"/>
      <c r="E202" s="489"/>
      <c r="F202" s="489"/>
      <c r="G202" s="489"/>
      <c r="H202" s="489"/>
      <c r="I202" s="489"/>
      <c r="J202" s="489"/>
      <c r="K202" s="489"/>
      <c r="L202" s="489"/>
      <c r="M202" s="489"/>
      <c r="N202" s="489"/>
      <c r="O202" s="489"/>
      <c r="P202" s="489"/>
      <c r="Q202" s="489"/>
      <c r="R202" s="489"/>
      <c r="S202" s="489"/>
      <c r="T202" s="489"/>
      <c r="U202" s="489"/>
      <c r="V202" s="489"/>
      <c r="W202" s="489"/>
      <c r="X202" s="489"/>
      <c r="Y202" s="489"/>
      <c r="Z202" s="489"/>
    </row>
    <row r="203" ht="15.75" customHeight="1">
      <c r="A203" s="489"/>
      <c r="B203" s="489"/>
      <c r="C203" s="489"/>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row>
    <row r="204" ht="15.75" customHeight="1">
      <c r="A204" s="489"/>
      <c r="B204" s="489"/>
      <c r="C204" s="489"/>
      <c r="D204" s="489"/>
      <c r="E204" s="489"/>
      <c r="F204" s="489"/>
      <c r="G204" s="489"/>
      <c r="H204" s="489"/>
      <c r="I204" s="489"/>
      <c r="J204" s="489"/>
      <c r="K204" s="489"/>
      <c r="L204" s="489"/>
      <c r="M204" s="489"/>
      <c r="N204" s="489"/>
      <c r="O204" s="489"/>
      <c r="P204" s="489"/>
      <c r="Q204" s="489"/>
      <c r="R204" s="489"/>
      <c r="S204" s="489"/>
      <c r="T204" s="489"/>
      <c r="U204" s="489"/>
      <c r="V204" s="489"/>
      <c r="W204" s="489"/>
      <c r="X204" s="489"/>
      <c r="Y204" s="489"/>
      <c r="Z204" s="489"/>
    </row>
    <row r="205" ht="15.75" customHeight="1">
      <c r="A205" s="489"/>
      <c r="B205" s="489"/>
      <c r="C205" s="489"/>
      <c r="D205" s="489"/>
      <c r="E205" s="489"/>
      <c r="F205" s="489"/>
      <c r="G205" s="489"/>
      <c r="H205" s="489"/>
      <c r="I205" s="489"/>
      <c r="J205" s="489"/>
      <c r="K205" s="489"/>
      <c r="L205" s="489"/>
      <c r="M205" s="489"/>
      <c r="N205" s="489"/>
      <c r="O205" s="489"/>
      <c r="P205" s="489"/>
      <c r="Q205" s="489"/>
      <c r="R205" s="489"/>
      <c r="S205" s="489"/>
      <c r="T205" s="489"/>
      <c r="U205" s="489"/>
      <c r="V205" s="489"/>
      <c r="W205" s="489"/>
      <c r="X205" s="489"/>
      <c r="Y205" s="489"/>
      <c r="Z205" s="489"/>
    </row>
    <row r="206" ht="15.75" customHeight="1">
      <c r="A206" s="489"/>
      <c r="B206" s="489"/>
      <c r="C206" s="489"/>
      <c r="D206" s="489"/>
      <c r="E206" s="489"/>
      <c r="F206" s="489"/>
      <c r="G206" s="489"/>
      <c r="H206" s="489"/>
      <c r="I206" s="489"/>
      <c r="J206" s="489"/>
      <c r="K206" s="489"/>
      <c r="L206" s="489"/>
      <c r="M206" s="489"/>
      <c r="N206" s="489"/>
      <c r="O206" s="489"/>
      <c r="P206" s="489"/>
      <c r="Q206" s="489"/>
      <c r="R206" s="489"/>
      <c r="S206" s="489"/>
      <c r="T206" s="489"/>
      <c r="U206" s="489"/>
      <c r="V206" s="489"/>
      <c r="W206" s="489"/>
      <c r="X206" s="489"/>
      <c r="Y206" s="489"/>
      <c r="Z206" s="489"/>
    </row>
    <row r="207" ht="15.75" customHeight="1">
      <c r="A207" s="489"/>
      <c r="B207" s="489"/>
      <c r="C207" s="489"/>
      <c r="D207" s="489"/>
      <c r="E207" s="489"/>
      <c r="F207" s="489"/>
      <c r="G207" s="489"/>
      <c r="H207" s="489"/>
      <c r="I207" s="489"/>
      <c r="J207" s="489"/>
      <c r="K207" s="489"/>
      <c r="L207" s="489"/>
      <c r="M207" s="489"/>
      <c r="N207" s="489"/>
      <c r="O207" s="489"/>
      <c r="P207" s="489"/>
      <c r="Q207" s="489"/>
      <c r="R207" s="489"/>
      <c r="S207" s="489"/>
      <c r="T207" s="489"/>
      <c r="U207" s="489"/>
      <c r="V207" s="489"/>
      <c r="W207" s="489"/>
      <c r="X207" s="489"/>
      <c r="Y207" s="489"/>
      <c r="Z207" s="489"/>
    </row>
    <row r="208" ht="15.75" customHeight="1">
      <c r="A208" s="489"/>
      <c r="B208" s="489"/>
      <c r="C208" s="489"/>
      <c r="D208" s="489"/>
      <c r="E208" s="489"/>
      <c r="F208" s="489"/>
      <c r="G208" s="489"/>
      <c r="H208" s="489"/>
      <c r="I208" s="489"/>
      <c r="J208" s="489"/>
      <c r="K208" s="489"/>
      <c r="L208" s="489"/>
      <c r="M208" s="489"/>
      <c r="N208" s="489"/>
      <c r="O208" s="489"/>
      <c r="P208" s="489"/>
      <c r="Q208" s="489"/>
      <c r="R208" s="489"/>
      <c r="S208" s="489"/>
      <c r="T208" s="489"/>
      <c r="U208" s="489"/>
      <c r="V208" s="489"/>
      <c r="W208" s="489"/>
      <c r="X208" s="489"/>
      <c r="Y208" s="489"/>
      <c r="Z208" s="489"/>
    </row>
    <row r="209" ht="15.75" customHeight="1">
      <c r="A209" s="489"/>
      <c r="B209" s="489"/>
      <c r="C209" s="489"/>
      <c r="D209" s="489"/>
      <c r="E209" s="489"/>
      <c r="F209" s="489"/>
      <c r="G209" s="489"/>
      <c r="H209" s="489"/>
      <c r="I209" s="489"/>
      <c r="J209" s="489"/>
      <c r="K209" s="489"/>
      <c r="L209" s="489"/>
      <c r="M209" s="489"/>
      <c r="N209" s="489"/>
      <c r="O209" s="489"/>
      <c r="P209" s="489"/>
      <c r="Q209" s="489"/>
      <c r="R209" s="489"/>
      <c r="S209" s="489"/>
      <c r="T209" s="489"/>
      <c r="U209" s="489"/>
      <c r="V209" s="489"/>
      <c r="W209" s="489"/>
      <c r="X209" s="489"/>
      <c r="Y209" s="489"/>
      <c r="Z209" s="489"/>
    </row>
    <row r="210" ht="15.75" customHeight="1">
      <c r="A210" s="489"/>
      <c r="B210" s="489"/>
      <c r="C210" s="489"/>
      <c r="D210" s="489"/>
      <c r="E210" s="489"/>
      <c r="F210" s="489"/>
      <c r="G210" s="489"/>
      <c r="H210" s="489"/>
      <c r="I210" s="489"/>
      <c r="J210" s="489"/>
      <c r="K210" s="489"/>
      <c r="L210" s="489"/>
      <c r="M210" s="489"/>
      <c r="N210" s="489"/>
      <c r="O210" s="489"/>
      <c r="P210" s="489"/>
      <c r="Q210" s="489"/>
      <c r="R210" s="489"/>
      <c r="S210" s="489"/>
      <c r="T210" s="489"/>
      <c r="U210" s="489"/>
      <c r="V210" s="489"/>
      <c r="W210" s="489"/>
      <c r="X210" s="489"/>
      <c r="Y210" s="489"/>
      <c r="Z210" s="489"/>
    </row>
    <row r="211" ht="15.75" customHeight="1">
      <c r="A211" s="489"/>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row>
    <row r="212" ht="15.75" customHeight="1">
      <c r="A212" s="489"/>
      <c r="B212" s="489"/>
      <c r="C212" s="489"/>
      <c r="D212" s="489"/>
      <c r="E212" s="489"/>
      <c r="F212" s="489"/>
      <c r="G212" s="489"/>
      <c r="H212" s="489"/>
      <c r="I212" s="489"/>
      <c r="J212" s="489"/>
      <c r="K212" s="489"/>
      <c r="L212" s="489"/>
      <c r="M212" s="489"/>
      <c r="N212" s="489"/>
      <c r="O212" s="489"/>
      <c r="P212" s="489"/>
      <c r="Q212" s="489"/>
      <c r="R212" s="489"/>
      <c r="S212" s="489"/>
      <c r="T212" s="489"/>
      <c r="U212" s="489"/>
      <c r="V212" s="489"/>
      <c r="W212" s="489"/>
      <c r="X212" s="489"/>
      <c r="Y212" s="489"/>
      <c r="Z212" s="489"/>
    </row>
    <row r="213" ht="15.75" customHeight="1">
      <c r="A213" s="489"/>
      <c r="B213" s="489"/>
      <c r="C213" s="489"/>
      <c r="D213" s="489"/>
      <c r="E213" s="489"/>
      <c r="F213" s="489"/>
      <c r="G213" s="489"/>
      <c r="H213" s="489"/>
      <c r="I213" s="489"/>
      <c r="J213" s="489"/>
      <c r="K213" s="489"/>
      <c r="L213" s="489"/>
      <c r="M213" s="489"/>
      <c r="N213" s="489"/>
      <c r="O213" s="489"/>
      <c r="P213" s="489"/>
      <c r="Q213" s="489"/>
      <c r="R213" s="489"/>
      <c r="S213" s="489"/>
      <c r="T213" s="489"/>
      <c r="U213" s="489"/>
      <c r="V213" s="489"/>
      <c r="W213" s="489"/>
      <c r="X213" s="489"/>
      <c r="Y213" s="489"/>
      <c r="Z213" s="489"/>
    </row>
    <row r="214" ht="15.75" customHeight="1">
      <c r="A214" s="489"/>
      <c r="B214" s="489"/>
      <c r="C214" s="489"/>
      <c r="D214" s="489"/>
      <c r="E214" s="489"/>
      <c r="F214" s="489"/>
      <c r="G214" s="489"/>
      <c r="H214" s="489"/>
      <c r="I214" s="489"/>
      <c r="J214" s="489"/>
      <c r="K214" s="489"/>
      <c r="L214" s="489"/>
      <c r="M214" s="489"/>
      <c r="N214" s="489"/>
      <c r="O214" s="489"/>
      <c r="P214" s="489"/>
      <c r="Q214" s="489"/>
      <c r="R214" s="489"/>
      <c r="S214" s="489"/>
      <c r="T214" s="489"/>
      <c r="U214" s="489"/>
      <c r="V214" s="489"/>
      <c r="W214" s="489"/>
      <c r="X214" s="489"/>
      <c r="Y214" s="489"/>
      <c r="Z214" s="489"/>
    </row>
    <row r="215" ht="15.75" customHeight="1">
      <c r="A215" s="489"/>
      <c r="B215" s="489"/>
      <c r="C215" s="489"/>
      <c r="D215" s="489"/>
      <c r="E215" s="489"/>
      <c r="F215" s="489"/>
      <c r="G215" s="489"/>
      <c r="H215" s="489"/>
      <c r="I215" s="489"/>
      <c r="J215" s="489"/>
      <c r="K215" s="489"/>
      <c r="L215" s="489"/>
      <c r="M215" s="489"/>
      <c r="N215" s="489"/>
      <c r="O215" s="489"/>
      <c r="P215" s="489"/>
      <c r="Q215" s="489"/>
      <c r="R215" s="489"/>
      <c r="S215" s="489"/>
      <c r="T215" s="489"/>
      <c r="U215" s="489"/>
      <c r="V215" s="489"/>
      <c r="W215" s="489"/>
      <c r="X215" s="489"/>
      <c r="Y215" s="489"/>
      <c r="Z215" s="489"/>
    </row>
    <row r="216" ht="15.75" customHeight="1">
      <c r="A216" s="489"/>
      <c r="B216" s="489"/>
      <c r="C216" s="489"/>
      <c r="D216" s="489"/>
      <c r="E216" s="489"/>
      <c r="F216" s="489"/>
      <c r="G216" s="489"/>
      <c r="H216" s="489"/>
      <c r="I216" s="489"/>
      <c r="J216" s="489"/>
      <c r="K216" s="489"/>
      <c r="L216" s="489"/>
      <c r="M216" s="489"/>
      <c r="N216" s="489"/>
      <c r="O216" s="489"/>
      <c r="P216" s="489"/>
      <c r="Q216" s="489"/>
      <c r="R216" s="489"/>
      <c r="S216" s="489"/>
      <c r="T216" s="489"/>
      <c r="U216" s="489"/>
      <c r="V216" s="489"/>
      <c r="W216" s="489"/>
      <c r="X216" s="489"/>
      <c r="Y216" s="489"/>
      <c r="Z216" s="489"/>
    </row>
    <row r="217" ht="15.75" customHeight="1">
      <c r="A217" s="489"/>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row>
    <row r="218" ht="15.75" customHeight="1">
      <c r="A218" s="489"/>
      <c r="B218" s="489"/>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row>
    <row r="219" ht="15.75" customHeight="1">
      <c r="A219" s="489"/>
      <c r="B219" s="489"/>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row>
    <row r="220" ht="15.75" customHeight="1">
      <c r="A220" s="489"/>
      <c r="B220" s="489"/>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row>
    <row r="221" ht="15.75" customHeight="1">
      <c r="A221" s="489"/>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row>
    <row r="222" ht="15.75" customHeight="1">
      <c r="A222" s="489"/>
      <c r="B222" s="489"/>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row>
    <row r="223" ht="15.75" customHeight="1">
      <c r="A223" s="489"/>
      <c r="B223" s="489"/>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row>
    <row r="224" ht="15.75" customHeight="1">
      <c r="A224" s="489"/>
      <c r="B224" s="489"/>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row>
    <row r="225" ht="15.75" customHeight="1">
      <c r="A225" s="489"/>
      <c r="B225" s="489"/>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row>
    <row r="226" ht="15.75" customHeight="1">
      <c r="A226" s="489"/>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row>
    <row r="227" ht="15.75" customHeight="1">
      <c r="A227" s="489"/>
      <c r="B227" s="489"/>
      <c r="C227" s="489"/>
      <c r="D227" s="489"/>
      <c r="E227" s="489"/>
      <c r="F227" s="489"/>
      <c r="G227" s="489"/>
      <c r="H227" s="489"/>
      <c r="I227" s="489"/>
      <c r="J227" s="489"/>
      <c r="K227" s="489"/>
      <c r="L227" s="489"/>
      <c r="M227" s="489"/>
      <c r="N227" s="489"/>
      <c r="O227" s="489"/>
      <c r="P227" s="489"/>
      <c r="Q227" s="489"/>
      <c r="R227" s="489"/>
      <c r="S227" s="489"/>
      <c r="T227" s="489"/>
      <c r="U227" s="489"/>
      <c r="V227" s="489"/>
      <c r="W227" s="489"/>
      <c r="X227" s="489"/>
      <c r="Y227" s="489"/>
      <c r="Z227" s="489"/>
    </row>
    <row r="228" ht="15.75" customHeight="1">
      <c r="A228" s="489"/>
      <c r="B228" s="489"/>
      <c r="C228" s="489"/>
      <c r="D228" s="489"/>
      <c r="E228" s="489"/>
      <c r="F228" s="489"/>
      <c r="G228" s="489"/>
      <c r="H228" s="489"/>
      <c r="I228" s="489"/>
      <c r="J228" s="489"/>
      <c r="K228" s="489"/>
      <c r="L228" s="489"/>
      <c r="M228" s="489"/>
      <c r="N228" s="489"/>
      <c r="O228" s="489"/>
      <c r="P228" s="489"/>
      <c r="Q228" s="489"/>
      <c r="R228" s="489"/>
      <c r="S228" s="489"/>
      <c r="T228" s="489"/>
      <c r="U228" s="489"/>
      <c r="V228" s="489"/>
      <c r="W228" s="489"/>
      <c r="X228" s="489"/>
      <c r="Y228" s="489"/>
      <c r="Z228" s="489"/>
    </row>
    <row r="229" ht="15.75" customHeight="1">
      <c r="A229" s="489"/>
      <c r="B229" s="489"/>
      <c r="C229" s="489"/>
      <c r="D229" s="489"/>
      <c r="E229" s="489"/>
      <c r="F229" s="489"/>
      <c r="G229" s="489"/>
      <c r="H229" s="489"/>
      <c r="I229" s="489"/>
      <c r="J229" s="489"/>
      <c r="K229" s="489"/>
      <c r="L229" s="489"/>
      <c r="M229" s="489"/>
      <c r="N229" s="489"/>
      <c r="O229" s="489"/>
      <c r="P229" s="489"/>
      <c r="Q229" s="489"/>
      <c r="R229" s="489"/>
      <c r="S229" s="489"/>
      <c r="T229" s="489"/>
      <c r="U229" s="489"/>
      <c r="V229" s="489"/>
      <c r="W229" s="489"/>
      <c r="X229" s="489"/>
      <c r="Y229" s="489"/>
      <c r="Z229" s="489"/>
    </row>
    <row r="230" ht="15.75" customHeight="1">
      <c r="A230" s="489"/>
      <c r="B230" s="489"/>
      <c r="C230" s="489"/>
      <c r="D230" s="489"/>
      <c r="E230" s="489"/>
      <c r="F230" s="489"/>
      <c r="G230" s="489"/>
      <c r="H230" s="489"/>
      <c r="I230" s="489"/>
      <c r="J230" s="489"/>
      <c r="K230" s="489"/>
      <c r="L230" s="489"/>
      <c r="M230" s="489"/>
      <c r="N230" s="489"/>
      <c r="O230" s="489"/>
      <c r="P230" s="489"/>
      <c r="Q230" s="489"/>
      <c r="R230" s="489"/>
      <c r="S230" s="489"/>
      <c r="T230" s="489"/>
      <c r="U230" s="489"/>
      <c r="V230" s="489"/>
      <c r="W230" s="489"/>
      <c r="X230" s="489"/>
      <c r="Y230" s="489"/>
      <c r="Z230" s="489"/>
    </row>
    <row r="231" ht="15.75" customHeight="1">
      <c r="A231" s="489"/>
      <c r="B231" s="489"/>
      <c r="C231" s="489"/>
      <c r="D231" s="489"/>
      <c r="E231" s="489"/>
      <c r="F231" s="489"/>
      <c r="G231" s="489"/>
      <c r="H231" s="489"/>
      <c r="I231" s="489"/>
      <c r="J231" s="489"/>
      <c r="K231" s="489"/>
      <c r="L231" s="489"/>
      <c r="M231" s="489"/>
      <c r="N231" s="489"/>
      <c r="O231" s="489"/>
      <c r="P231" s="489"/>
      <c r="Q231" s="489"/>
      <c r="R231" s="489"/>
      <c r="S231" s="489"/>
      <c r="T231" s="489"/>
      <c r="U231" s="489"/>
      <c r="V231" s="489"/>
      <c r="W231" s="489"/>
      <c r="X231" s="489"/>
      <c r="Y231" s="489"/>
      <c r="Z231" s="489"/>
    </row>
    <row r="232" ht="15.75" customHeight="1">
      <c r="A232" s="489"/>
      <c r="B232" s="489"/>
      <c r="C232" s="489"/>
      <c r="D232" s="489"/>
      <c r="E232" s="489"/>
      <c r="F232" s="489"/>
      <c r="G232" s="489"/>
      <c r="H232" s="489"/>
      <c r="I232" s="489"/>
      <c r="J232" s="489"/>
      <c r="K232" s="489"/>
      <c r="L232" s="489"/>
      <c r="M232" s="489"/>
      <c r="N232" s="489"/>
      <c r="O232" s="489"/>
      <c r="P232" s="489"/>
      <c r="Q232" s="489"/>
      <c r="R232" s="489"/>
      <c r="S232" s="489"/>
      <c r="T232" s="489"/>
      <c r="U232" s="489"/>
      <c r="V232" s="489"/>
      <c r="W232" s="489"/>
      <c r="X232" s="489"/>
      <c r="Y232" s="489"/>
      <c r="Z232" s="489"/>
    </row>
    <row r="233" ht="15.75" customHeight="1">
      <c r="A233" s="489"/>
      <c r="B233" s="489"/>
      <c r="C233" s="489"/>
      <c r="D233" s="489"/>
      <c r="E233" s="489"/>
      <c r="F233" s="489"/>
      <c r="G233" s="489"/>
      <c r="H233" s="489"/>
      <c r="I233" s="489"/>
      <c r="J233" s="489"/>
      <c r="K233" s="489"/>
      <c r="L233" s="489"/>
      <c r="M233" s="489"/>
      <c r="N233" s="489"/>
      <c r="O233" s="489"/>
      <c r="P233" s="489"/>
      <c r="Q233" s="489"/>
      <c r="R233" s="489"/>
      <c r="S233" s="489"/>
      <c r="T233" s="489"/>
      <c r="U233" s="489"/>
      <c r="V233" s="489"/>
      <c r="W233" s="489"/>
      <c r="X233" s="489"/>
      <c r="Y233" s="489"/>
      <c r="Z233" s="489"/>
    </row>
    <row r="234" ht="15.75" customHeight="1">
      <c r="A234" s="489"/>
      <c r="B234" s="489"/>
      <c r="C234" s="489"/>
      <c r="D234" s="489"/>
      <c r="E234" s="489"/>
      <c r="F234" s="489"/>
      <c r="G234" s="489"/>
      <c r="H234" s="489"/>
      <c r="I234" s="489"/>
      <c r="J234" s="489"/>
      <c r="K234" s="489"/>
      <c r="L234" s="489"/>
      <c r="M234" s="489"/>
      <c r="N234" s="489"/>
      <c r="O234" s="489"/>
      <c r="P234" s="489"/>
      <c r="Q234" s="489"/>
      <c r="R234" s="489"/>
      <c r="S234" s="489"/>
      <c r="T234" s="489"/>
      <c r="U234" s="489"/>
      <c r="V234" s="489"/>
      <c r="W234" s="489"/>
      <c r="X234" s="489"/>
      <c r="Y234" s="489"/>
      <c r="Z234" s="489"/>
    </row>
    <row r="235" ht="15.75" customHeight="1">
      <c r="A235" s="489"/>
      <c r="B235" s="489"/>
      <c r="C235" s="489"/>
      <c r="D235" s="489"/>
      <c r="E235" s="489"/>
      <c r="F235" s="489"/>
      <c r="G235" s="489"/>
      <c r="H235" s="489"/>
      <c r="I235" s="489"/>
      <c r="J235" s="489"/>
      <c r="K235" s="489"/>
      <c r="L235" s="489"/>
      <c r="M235" s="489"/>
      <c r="N235" s="489"/>
      <c r="O235" s="489"/>
      <c r="P235" s="489"/>
      <c r="Q235" s="489"/>
      <c r="R235" s="489"/>
      <c r="S235" s="489"/>
      <c r="T235" s="489"/>
      <c r="U235" s="489"/>
      <c r="V235" s="489"/>
      <c r="W235" s="489"/>
      <c r="X235" s="489"/>
      <c r="Y235" s="489"/>
      <c r="Z235" s="489"/>
    </row>
    <row r="236" ht="15.75" customHeight="1">
      <c r="A236" s="489"/>
      <c r="B236" s="489"/>
      <c r="C236" s="489"/>
      <c r="D236" s="489"/>
      <c r="E236" s="489"/>
      <c r="F236" s="489"/>
      <c r="G236" s="489"/>
      <c r="H236" s="489"/>
      <c r="I236" s="489"/>
      <c r="J236" s="489"/>
      <c r="K236" s="489"/>
      <c r="L236" s="489"/>
      <c r="M236" s="489"/>
      <c r="N236" s="489"/>
      <c r="O236" s="489"/>
      <c r="P236" s="489"/>
      <c r="Q236" s="489"/>
      <c r="R236" s="489"/>
      <c r="S236" s="489"/>
      <c r="T236" s="489"/>
      <c r="U236" s="489"/>
      <c r="V236" s="489"/>
      <c r="W236" s="489"/>
      <c r="X236" s="489"/>
      <c r="Y236" s="489"/>
      <c r="Z236" s="489"/>
    </row>
    <row r="237" ht="15.75" customHeight="1">
      <c r="A237" s="489"/>
      <c r="B237" s="489"/>
      <c r="C237" s="489"/>
      <c r="D237" s="489"/>
      <c r="E237" s="489"/>
      <c r="F237" s="489"/>
      <c r="G237" s="489"/>
      <c r="H237" s="489"/>
      <c r="I237" s="489"/>
      <c r="J237" s="489"/>
      <c r="K237" s="489"/>
      <c r="L237" s="489"/>
      <c r="M237" s="489"/>
      <c r="N237" s="489"/>
      <c r="O237" s="489"/>
      <c r="P237" s="489"/>
      <c r="Q237" s="489"/>
      <c r="R237" s="489"/>
      <c r="S237" s="489"/>
      <c r="T237" s="489"/>
      <c r="U237" s="489"/>
      <c r="V237" s="489"/>
      <c r="W237" s="489"/>
      <c r="X237" s="489"/>
      <c r="Y237" s="489"/>
      <c r="Z237" s="489"/>
    </row>
    <row r="238" ht="15.75" customHeight="1">
      <c r="A238" s="489"/>
      <c r="B238" s="489"/>
      <c r="C238" s="489"/>
      <c r="D238" s="489"/>
      <c r="E238" s="489"/>
      <c r="F238" s="489"/>
      <c r="G238" s="489"/>
      <c r="H238" s="489"/>
      <c r="I238" s="489"/>
      <c r="J238" s="489"/>
      <c r="K238" s="489"/>
      <c r="L238" s="489"/>
      <c r="M238" s="489"/>
      <c r="N238" s="489"/>
      <c r="O238" s="489"/>
      <c r="P238" s="489"/>
      <c r="Q238" s="489"/>
      <c r="R238" s="489"/>
      <c r="S238" s="489"/>
      <c r="T238" s="489"/>
      <c r="U238" s="489"/>
      <c r="V238" s="489"/>
      <c r="W238" s="489"/>
      <c r="X238" s="489"/>
      <c r="Y238" s="489"/>
      <c r="Z238" s="489"/>
    </row>
    <row r="239" ht="15.75" customHeight="1">
      <c r="A239" s="489"/>
      <c r="B239" s="489"/>
      <c r="C239" s="489"/>
      <c r="D239" s="489"/>
      <c r="E239" s="489"/>
      <c r="F239" s="489"/>
      <c r="G239" s="489"/>
      <c r="H239" s="489"/>
      <c r="I239" s="489"/>
      <c r="J239" s="489"/>
      <c r="K239" s="489"/>
      <c r="L239" s="489"/>
      <c r="M239" s="489"/>
      <c r="N239" s="489"/>
      <c r="O239" s="489"/>
      <c r="P239" s="489"/>
      <c r="Q239" s="489"/>
      <c r="R239" s="489"/>
      <c r="S239" s="489"/>
      <c r="T239" s="489"/>
      <c r="U239" s="489"/>
      <c r="V239" s="489"/>
      <c r="W239" s="489"/>
      <c r="X239" s="489"/>
      <c r="Y239" s="489"/>
      <c r="Z239" s="489"/>
    </row>
    <row r="240" ht="15.75" customHeight="1">
      <c r="A240" s="489"/>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89"/>
      <c r="X240" s="489"/>
      <c r="Y240" s="489"/>
      <c r="Z240" s="489"/>
    </row>
    <row r="241" ht="15.75" customHeight="1">
      <c r="A241" s="489"/>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row>
    <row r="242" ht="15.75" customHeight="1">
      <c r="A242" s="489"/>
      <c r="B242" s="489"/>
      <c r="C242" s="489"/>
      <c r="D242" s="489"/>
      <c r="E242" s="489"/>
      <c r="F242" s="489"/>
      <c r="G242" s="489"/>
      <c r="H242" s="489"/>
      <c r="I242" s="489"/>
      <c r="J242" s="489"/>
      <c r="K242" s="489"/>
      <c r="L242" s="489"/>
      <c r="M242" s="489"/>
      <c r="N242" s="489"/>
      <c r="O242" s="489"/>
      <c r="P242" s="489"/>
      <c r="Q242" s="489"/>
      <c r="R242" s="489"/>
      <c r="S242" s="489"/>
      <c r="T242" s="489"/>
      <c r="U242" s="489"/>
      <c r="V242" s="489"/>
      <c r="W242" s="489"/>
      <c r="X242" s="489"/>
      <c r="Y242" s="489"/>
      <c r="Z242" s="489"/>
    </row>
    <row r="243" ht="15.75" customHeight="1">
      <c r="A243" s="489"/>
      <c r="B243" s="489"/>
      <c r="C243" s="489"/>
      <c r="D243" s="489"/>
      <c r="E243" s="489"/>
      <c r="F243" s="489"/>
      <c r="G243" s="489"/>
      <c r="H243" s="489"/>
      <c r="I243" s="489"/>
      <c r="J243" s="489"/>
      <c r="K243" s="489"/>
      <c r="L243" s="489"/>
      <c r="M243" s="489"/>
      <c r="N243" s="489"/>
      <c r="O243" s="489"/>
      <c r="P243" s="489"/>
      <c r="Q243" s="489"/>
      <c r="R243" s="489"/>
      <c r="S243" s="489"/>
      <c r="T243" s="489"/>
      <c r="U243" s="489"/>
      <c r="V243" s="489"/>
      <c r="W243" s="489"/>
      <c r="X243" s="489"/>
      <c r="Y243" s="489"/>
      <c r="Z243" s="489"/>
    </row>
    <row r="244" ht="15.75" customHeight="1">
      <c r="A244" s="489"/>
      <c r="B244" s="489"/>
      <c r="C244" s="489"/>
      <c r="D244" s="489"/>
      <c r="E244" s="489"/>
      <c r="F244" s="489"/>
      <c r="G244" s="489"/>
      <c r="H244" s="489"/>
      <c r="I244" s="489"/>
      <c r="J244" s="489"/>
      <c r="K244" s="489"/>
      <c r="L244" s="489"/>
      <c r="M244" s="489"/>
      <c r="N244" s="489"/>
      <c r="O244" s="489"/>
      <c r="P244" s="489"/>
      <c r="Q244" s="489"/>
      <c r="R244" s="489"/>
      <c r="S244" s="489"/>
      <c r="T244" s="489"/>
      <c r="U244" s="489"/>
      <c r="V244" s="489"/>
      <c r="W244" s="489"/>
      <c r="X244" s="489"/>
      <c r="Y244" s="489"/>
      <c r="Z244" s="489"/>
    </row>
    <row r="245" ht="15.75" customHeight="1">
      <c r="A245" s="489"/>
      <c r="B245" s="489"/>
      <c r="C245" s="489"/>
      <c r="D245" s="489"/>
      <c r="E245" s="489"/>
      <c r="F245" s="489"/>
      <c r="G245" s="489"/>
      <c r="H245" s="489"/>
      <c r="I245" s="489"/>
      <c r="J245" s="489"/>
      <c r="K245" s="489"/>
      <c r="L245" s="489"/>
      <c r="M245" s="489"/>
      <c r="N245" s="489"/>
      <c r="O245" s="489"/>
      <c r="P245" s="489"/>
      <c r="Q245" s="489"/>
      <c r="R245" s="489"/>
      <c r="S245" s="489"/>
      <c r="T245" s="489"/>
      <c r="U245" s="489"/>
      <c r="V245" s="489"/>
      <c r="W245" s="489"/>
      <c r="X245" s="489"/>
      <c r="Y245" s="489"/>
      <c r="Z245" s="489"/>
    </row>
    <row r="246" ht="15.75" customHeight="1">
      <c r="A246" s="489"/>
      <c r="B246" s="489"/>
      <c r="C246" s="489"/>
      <c r="D246" s="489"/>
      <c r="E246" s="489"/>
      <c r="F246" s="489"/>
      <c r="G246" s="489"/>
      <c r="H246" s="489"/>
      <c r="I246" s="489"/>
      <c r="J246" s="489"/>
      <c r="K246" s="489"/>
      <c r="L246" s="489"/>
      <c r="M246" s="489"/>
      <c r="N246" s="489"/>
      <c r="O246" s="489"/>
      <c r="P246" s="489"/>
      <c r="Q246" s="489"/>
      <c r="R246" s="489"/>
      <c r="S246" s="489"/>
      <c r="T246" s="489"/>
      <c r="U246" s="489"/>
      <c r="V246" s="489"/>
      <c r="W246" s="489"/>
      <c r="X246" s="489"/>
      <c r="Y246" s="489"/>
      <c r="Z246" s="489"/>
    </row>
    <row r="247" ht="15.75" customHeight="1">
      <c r="A247" s="489"/>
      <c r="B247" s="489"/>
      <c r="C247" s="489"/>
      <c r="D247" s="489"/>
      <c r="E247" s="489"/>
      <c r="F247" s="489"/>
      <c r="G247" s="489"/>
      <c r="H247" s="489"/>
      <c r="I247" s="489"/>
      <c r="J247" s="489"/>
      <c r="K247" s="489"/>
      <c r="L247" s="489"/>
      <c r="M247" s="489"/>
      <c r="N247" s="489"/>
      <c r="O247" s="489"/>
      <c r="P247" s="489"/>
      <c r="Q247" s="489"/>
      <c r="R247" s="489"/>
      <c r="S247" s="489"/>
      <c r="T247" s="489"/>
      <c r="U247" s="489"/>
      <c r="V247" s="489"/>
      <c r="W247" s="489"/>
      <c r="X247" s="489"/>
      <c r="Y247" s="489"/>
      <c r="Z247" s="489"/>
    </row>
    <row r="248" ht="15.75" customHeight="1">
      <c r="A248" s="489"/>
      <c r="B248" s="489"/>
      <c r="C248" s="489"/>
      <c r="D248" s="489"/>
      <c r="E248" s="489"/>
      <c r="F248" s="489"/>
      <c r="G248" s="489"/>
      <c r="H248" s="489"/>
      <c r="I248" s="489"/>
      <c r="J248" s="489"/>
      <c r="K248" s="489"/>
      <c r="L248" s="489"/>
      <c r="M248" s="489"/>
      <c r="N248" s="489"/>
      <c r="O248" s="489"/>
      <c r="P248" s="489"/>
      <c r="Q248" s="489"/>
      <c r="R248" s="489"/>
      <c r="S248" s="489"/>
      <c r="T248" s="489"/>
      <c r="U248" s="489"/>
      <c r="V248" s="489"/>
      <c r="W248" s="489"/>
      <c r="X248" s="489"/>
      <c r="Y248" s="489"/>
      <c r="Z248" s="489"/>
    </row>
    <row r="249" ht="15.75" customHeight="1">
      <c r="A249" s="489"/>
      <c r="B249" s="489"/>
      <c r="C249" s="489"/>
      <c r="D249" s="489"/>
      <c r="E249" s="489"/>
      <c r="F249" s="489"/>
      <c r="G249" s="489"/>
      <c r="H249" s="489"/>
      <c r="I249" s="489"/>
      <c r="J249" s="489"/>
      <c r="K249" s="489"/>
      <c r="L249" s="489"/>
      <c r="M249" s="489"/>
      <c r="N249" s="489"/>
      <c r="O249" s="489"/>
      <c r="P249" s="489"/>
      <c r="Q249" s="489"/>
      <c r="R249" s="489"/>
      <c r="S249" s="489"/>
      <c r="T249" s="489"/>
      <c r="U249" s="489"/>
      <c r="V249" s="489"/>
      <c r="W249" s="489"/>
      <c r="X249" s="489"/>
      <c r="Y249" s="489"/>
      <c r="Z249" s="489"/>
    </row>
    <row r="250" ht="15.75" customHeight="1">
      <c r="A250" s="489"/>
      <c r="B250" s="489"/>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row>
    <row r="251" ht="15.75" customHeight="1">
      <c r="A251" s="489"/>
      <c r="B251" s="489"/>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row>
    <row r="252" ht="15.75" customHeight="1">
      <c r="A252" s="489"/>
      <c r="B252" s="489"/>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row>
    <row r="253" ht="15.75" customHeight="1">
      <c r="A253" s="489"/>
      <c r="B253" s="489"/>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row>
    <row r="254" ht="15.75" customHeight="1">
      <c r="A254" s="489"/>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row>
    <row r="255" ht="15.75" customHeight="1">
      <c r="A255" s="489"/>
      <c r="B255" s="489"/>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row>
    <row r="256" ht="15.75" customHeight="1">
      <c r="A256" s="489"/>
      <c r="B256" s="489"/>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row>
    <row r="257" ht="15.75" customHeight="1">
      <c r="A257" s="489"/>
      <c r="B257" s="489"/>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row>
    <row r="258" ht="15.75" customHeight="1">
      <c r="A258" s="489"/>
      <c r="B258" s="489"/>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88.25"/>
    <col customWidth="1" min="2" max="2" width="13.0"/>
    <col customWidth="1" min="3" max="3" width="24.25"/>
    <col customWidth="1" min="4" max="4" width="25.25"/>
  </cols>
  <sheetData>
    <row r="1" ht="15.75" customHeight="1">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3"/>
      <c r="AP1" s="493"/>
      <c r="AQ1" s="493"/>
    </row>
    <row r="2" ht="15.75" hidden="1" customHeight="1">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row>
    <row r="3" ht="15.75" hidden="1" customHeight="1">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row>
    <row r="4" ht="15.75" hidden="1" customHeight="1">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row>
    <row r="5" ht="15.75" hidden="1" customHeight="1">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row>
    <row r="6" ht="15.75" hidden="1" customHeight="1">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row>
    <row r="7" ht="15.75" hidden="1" customHeight="1">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row>
    <row r="8" ht="15.75" hidden="1" customHeight="1">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row>
    <row r="9" ht="15.75" hidden="1" customHeight="1">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row>
    <row r="10" ht="15.75" hidden="1" customHeight="1">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row>
    <row r="11" ht="15.75" hidden="1" customHeight="1">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row>
    <row r="12" ht="15.75" hidden="1" customHeight="1">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row>
    <row r="13" ht="15.75" hidden="1" customHeight="1">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row>
    <row r="14" ht="15.75" hidden="1" customHeight="1">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row>
    <row r="15" ht="15.75" hidden="1" customHeight="1">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row>
    <row r="16" ht="15.75" hidden="1" customHeight="1">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row>
    <row r="17" ht="15.75" hidden="1" customHeight="1">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row>
    <row r="18" ht="15.75" hidden="1" customHeight="1">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row>
    <row r="19" ht="15.75" hidden="1" customHeight="1">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row>
    <row r="20" ht="15.75" hidden="1" customHeight="1">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row>
    <row r="21" ht="15.75" hidden="1" customHeight="1">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row>
    <row r="22" ht="15.75" hidden="1" customHeight="1">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row>
    <row r="23" ht="15.75" hidden="1" customHeight="1">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row>
    <row r="24" ht="15.75" hidden="1" customHeight="1">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row>
    <row r="25" ht="15.75" hidden="1" customHeight="1">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row>
    <row r="26" ht="15.75" hidden="1" customHeight="1">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row>
    <row r="27" ht="15.75" hidden="1" customHeight="1">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row>
    <row r="28" ht="15.75" hidden="1" customHeight="1">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row>
    <row r="29" ht="15.75" hidden="1" customHeight="1">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row>
    <row r="30" ht="15.75" hidden="1" customHeight="1">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row>
    <row r="31" ht="15.75" hidden="1" customHeight="1">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row>
    <row r="32" ht="15.75" hidden="1" customHeight="1">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row>
    <row r="33" ht="15.75" hidden="1" customHeight="1">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row>
    <row r="34" ht="15.75" hidden="1" customHeight="1">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row>
    <row r="35" ht="15.75" hidden="1" customHeight="1">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row>
    <row r="36" ht="15.75" hidden="1" customHeight="1">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row>
    <row r="37" ht="15.75" hidden="1" customHeight="1">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row>
    <row r="38" ht="15.75" hidden="1" customHeight="1">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row>
    <row r="39" ht="15.75" hidden="1" customHeight="1">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row>
    <row r="40" ht="15.75" hidden="1" customHeight="1">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row>
    <row r="41" ht="15.75" hidden="1" customHeight="1">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row>
    <row r="42" ht="15.75" hidden="1" customHeight="1">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row>
    <row r="43" ht="15.75" hidden="1" customHeight="1">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row>
    <row r="44" ht="15.75" hidden="1" customHeight="1">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row>
    <row r="45" ht="15.75" hidden="1" customHeight="1">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row>
    <row r="46" ht="15.75" hidden="1" customHeight="1">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row>
    <row r="47" ht="15.75" hidden="1" customHeight="1">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row>
    <row r="48" ht="15.75" hidden="1" customHeight="1">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c r="AQ48" s="77"/>
    </row>
    <row r="49" ht="15.75" hidden="1" customHeight="1">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row>
    <row r="50" ht="15.75" hidden="1" customHeight="1">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row>
    <row r="51" ht="15.75" hidden="1" customHeight="1">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row>
    <row r="52" ht="15.75" hidden="1" customHeight="1">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row>
    <row r="53" ht="15.75" customHeight="1">
      <c r="A53" s="494"/>
      <c r="B53" s="494"/>
      <c r="C53" s="494"/>
      <c r="D53" s="495"/>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row>
    <row r="54" ht="15.75" customHeight="1">
      <c r="A54" s="77"/>
      <c r="B54" s="328"/>
      <c r="C54" s="329"/>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row>
    <row r="55" ht="15.75" customHeight="1">
      <c r="A55" s="77"/>
      <c r="B55" s="328"/>
      <c r="C55" s="329"/>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row>
    <row r="56" ht="15.75" customHeight="1">
      <c r="A56" s="77"/>
      <c r="B56" s="328"/>
      <c r="C56" s="329"/>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row>
    <row r="57" ht="15.75" customHeight="1">
      <c r="A57" s="77"/>
      <c r="B57" s="328"/>
      <c r="C57" s="329"/>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row>
    <row r="58" ht="15.75" customHeight="1">
      <c r="A58" s="77"/>
      <c r="B58" s="328"/>
      <c r="C58" s="329"/>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row>
    <row r="59" ht="15.75" customHeight="1">
      <c r="A59" s="77"/>
      <c r="B59" s="328"/>
      <c r="C59" s="329"/>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row>
    <row r="60" ht="15.75" customHeight="1">
      <c r="A60" s="77"/>
      <c r="B60" s="328"/>
      <c r="C60" s="329"/>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row>
    <row r="61" ht="15.75" customHeight="1">
      <c r="A61" s="77"/>
      <c r="B61" s="328"/>
      <c r="C61" s="329"/>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row>
    <row r="62" ht="15.75" customHeight="1">
      <c r="A62" s="77"/>
      <c r="B62" s="328"/>
      <c r="C62" s="329"/>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row>
    <row r="63" ht="15.75" customHeight="1">
      <c r="A63" s="77"/>
      <c r="B63" s="328"/>
      <c r="C63" s="329"/>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row>
    <row r="64" ht="15.75" customHeight="1">
      <c r="A64" s="77"/>
      <c r="B64" s="328"/>
      <c r="C64" s="329"/>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row>
    <row r="65" ht="15.75" customHeight="1">
      <c r="A65" s="77"/>
      <c r="B65" s="328"/>
      <c r="C65" s="329"/>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row>
    <row r="66" ht="15.75" customHeight="1">
      <c r="A66" s="77"/>
      <c r="B66" s="328"/>
      <c r="C66" s="329"/>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row>
    <row r="67" ht="15.75" customHeight="1">
      <c r="A67" s="77"/>
      <c r="B67" s="328"/>
      <c r="C67" s="329"/>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row>
    <row r="68" ht="15.75" customHeight="1">
      <c r="A68" s="77"/>
      <c r="B68" s="328"/>
      <c r="C68" s="329"/>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row>
    <row r="69" ht="15.75" customHeight="1">
      <c r="A69" s="77"/>
      <c r="B69" s="328"/>
      <c r="C69" s="329"/>
      <c r="D69" s="77"/>
      <c r="E69" s="77"/>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row>
    <row r="70" ht="15.75" customHeight="1">
      <c r="A70" s="77"/>
      <c r="B70" s="328"/>
      <c r="C70" s="329"/>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row>
    <row r="71" ht="15.75" customHeight="1">
      <c r="A71" s="77"/>
      <c r="B71" s="328"/>
      <c r="C71" s="329"/>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row>
    <row r="72" ht="15.75" customHeight="1">
      <c r="A72" s="77"/>
      <c r="B72" s="328"/>
      <c r="C72" s="329"/>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row>
    <row r="73" ht="15.75" customHeight="1">
      <c r="A73" s="77"/>
      <c r="B73" s="328"/>
      <c r="C73" s="329"/>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row>
    <row r="74" ht="15.75" customHeight="1">
      <c r="A74" s="77"/>
      <c r="B74" s="328"/>
      <c r="C74" s="329"/>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row>
    <row r="75" ht="15.75" customHeight="1">
      <c r="A75" s="77"/>
      <c r="B75" s="328"/>
      <c r="C75" s="329"/>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row>
    <row r="76" ht="15.75" customHeight="1">
      <c r="A76" s="77"/>
      <c r="B76" s="328"/>
      <c r="C76" s="329"/>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row>
    <row r="77" ht="15.75" customHeight="1">
      <c r="A77" s="77"/>
      <c r="B77" s="328"/>
      <c r="C77" s="329"/>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row>
    <row r="78" ht="15.75" customHeight="1">
      <c r="A78" s="77"/>
      <c r="B78" s="328"/>
      <c r="C78" s="329"/>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row>
    <row r="79" ht="15.75" customHeight="1">
      <c r="A79" s="77"/>
      <c r="B79" s="328"/>
      <c r="C79" s="329"/>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row>
    <row r="80" ht="15.75" customHeight="1">
      <c r="A80" s="77"/>
      <c r="B80" s="328"/>
      <c r="C80" s="329"/>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row>
    <row r="81" ht="15.75" customHeight="1">
      <c r="A81" s="77"/>
      <c r="B81" s="328"/>
      <c r="C81" s="329"/>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row>
    <row r="82" ht="15.75" customHeight="1">
      <c r="A82" s="77"/>
      <c r="B82" s="328"/>
      <c r="C82" s="329"/>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row>
    <row r="83" ht="15.75" customHeight="1">
      <c r="A83" s="77"/>
      <c r="B83" s="328"/>
      <c r="C83" s="329"/>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row>
    <row r="84" ht="15.75" customHeight="1">
      <c r="A84" s="77"/>
      <c r="B84" s="328"/>
      <c r="C84" s="329"/>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row>
    <row r="85" ht="15.75" customHeight="1">
      <c r="A85" s="77"/>
      <c r="B85" s="328"/>
      <c r="C85" s="329"/>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row>
    <row r="86" ht="15.75" customHeight="1">
      <c r="A86" s="77"/>
      <c r="B86" s="328"/>
      <c r="C86" s="329"/>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row>
    <row r="87" ht="15.75" customHeight="1">
      <c r="A87" s="77"/>
      <c r="B87" s="328"/>
      <c r="C87" s="329"/>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row>
    <row r="88" ht="15.75" customHeight="1">
      <c r="A88" s="77"/>
      <c r="B88" s="328"/>
      <c r="C88" s="329"/>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row>
    <row r="89" ht="15.75" customHeight="1">
      <c r="A89" s="77"/>
      <c r="B89" s="328"/>
      <c r="C89" s="329"/>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row>
    <row r="90" ht="15.75" customHeight="1">
      <c r="A90" s="77"/>
      <c r="B90" s="328"/>
      <c r="C90" s="329"/>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row>
    <row r="91" ht="15.75" customHeight="1">
      <c r="A91" s="77"/>
      <c r="B91" s="328"/>
      <c r="C91" s="329"/>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row>
    <row r="92" ht="15.75" customHeight="1">
      <c r="A92" s="77"/>
      <c r="B92" s="328"/>
      <c r="C92" s="329"/>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row>
    <row r="93" ht="15.75" customHeight="1">
      <c r="A93" s="77"/>
      <c r="B93" s="328"/>
      <c r="C93" s="329"/>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row>
    <row r="94" ht="15.75" customHeight="1">
      <c r="A94" s="77"/>
      <c r="B94" s="328"/>
      <c r="C94" s="329"/>
      <c r="D94" s="77"/>
      <c r="E94" s="77"/>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row>
    <row r="95" ht="15.75" customHeight="1">
      <c r="A95" s="77"/>
      <c r="B95" s="328"/>
      <c r="C95" s="329"/>
      <c r="D95" s="77"/>
      <c r="E95" s="77"/>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row>
    <row r="96" ht="15.75" customHeight="1">
      <c r="A96" s="77"/>
      <c r="B96" s="328"/>
      <c r="C96" s="329"/>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row>
    <row r="97" ht="15.75" customHeight="1">
      <c r="A97" s="77"/>
      <c r="B97" s="328"/>
      <c r="C97" s="329"/>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row>
    <row r="98" ht="15.75" customHeight="1">
      <c r="A98" s="77"/>
      <c r="B98" s="328"/>
      <c r="C98" s="329"/>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row>
    <row r="99" ht="15.75" customHeight="1">
      <c r="A99" s="77"/>
      <c r="B99" s="328"/>
      <c r="C99" s="329"/>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row>
    <row r="100" ht="15.75" customHeight="1">
      <c r="A100" s="77"/>
      <c r="B100" s="328"/>
      <c r="C100" s="329"/>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row>
    <row r="101" ht="15.75" customHeight="1">
      <c r="A101" s="77"/>
      <c r="B101" s="328"/>
      <c r="C101" s="329"/>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row>
    <row r="102" ht="15.75" customHeight="1">
      <c r="A102" s="77"/>
      <c r="B102" s="328"/>
      <c r="C102" s="329"/>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row>
    <row r="103" ht="15.75" customHeight="1">
      <c r="A103" s="77"/>
      <c r="B103" s="328"/>
      <c r="C103" s="329"/>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row>
    <row r="104" ht="15.75" customHeight="1">
      <c r="A104" s="77"/>
      <c r="B104" s="328"/>
      <c r="C104" s="329"/>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row>
    <row r="105" ht="15.75" customHeight="1">
      <c r="A105" s="77"/>
      <c r="B105" s="328"/>
      <c r="C105" s="329"/>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row>
    <row r="106" ht="15.75" customHeight="1">
      <c r="A106" s="77"/>
      <c r="B106" s="328"/>
      <c r="C106" s="329"/>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row>
    <row r="107" ht="15.75" customHeight="1">
      <c r="A107" s="77"/>
      <c r="B107" s="328"/>
      <c r="C107" s="329"/>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row>
    <row r="108" ht="15.75" customHeight="1">
      <c r="A108" s="77"/>
      <c r="B108" s="328"/>
      <c r="C108" s="329"/>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row>
    <row r="109" ht="15.75" customHeight="1">
      <c r="A109" s="77"/>
      <c r="B109" s="328"/>
      <c r="C109" s="329"/>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row>
    <row r="110" ht="15.75" customHeight="1">
      <c r="A110" s="77"/>
      <c r="B110" s="328"/>
      <c r="C110" s="329"/>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row>
    <row r="111" ht="15.75" customHeight="1">
      <c r="A111" s="77"/>
      <c r="B111" s="328"/>
      <c r="C111" s="329"/>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row>
    <row r="112" ht="15.75" customHeight="1">
      <c r="A112" s="77"/>
      <c r="B112" s="328"/>
      <c r="C112" s="329"/>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row>
    <row r="113" ht="15.75" customHeight="1">
      <c r="A113" s="77"/>
      <c r="B113" s="328"/>
      <c r="C113" s="329"/>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row>
    <row r="114" ht="15.75" customHeight="1">
      <c r="A114" s="77"/>
      <c r="B114" s="328"/>
      <c r="C114" s="329"/>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row>
    <row r="115" ht="15.75" customHeight="1">
      <c r="A115" s="77"/>
      <c r="B115" s="328"/>
      <c r="C115" s="329"/>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c r="AQ115" s="77"/>
    </row>
    <row r="116" ht="15.75" customHeight="1">
      <c r="A116" s="77"/>
      <c r="B116" s="328"/>
      <c r="C116" s="329"/>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c r="AI116" s="77"/>
      <c r="AJ116" s="77"/>
      <c r="AK116" s="77"/>
      <c r="AL116" s="77"/>
      <c r="AM116" s="77"/>
      <c r="AN116" s="77"/>
      <c r="AO116" s="77"/>
      <c r="AP116" s="77"/>
      <c r="AQ116" s="77"/>
    </row>
    <row r="117" ht="15.75" customHeight="1">
      <c r="A117" s="77"/>
      <c r="B117" s="328"/>
      <c r="C117" s="329"/>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row>
    <row r="118" ht="15.75" customHeight="1">
      <c r="A118" s="77"/>
      <c r="B118" s="328"/>
      <c r="C118" s="329"/>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77"/>
      <c r="AI118" s="77"/>
      <c r="AJ118" s="77"/>
      <c r="AK118" s="77"/>
      <c r="AL118" s="77"/>
      <c r="AM118" s="77"/>
      <c r="AN118" s="77"/>
      <c r="AO118" s="77"/>
      <c r="AP118" s="77"/>
      <c r="AQ118" s="77"/>
    </row>
    <row r="119" ht="15.75" customHeight="1">
      <c r="A119" s="77"/>
      <c r="B119" s="328"/>
      <c r="C119" s="329"/>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77"/>
      <c r="AI119" s="77"/>
      <c r="AJ119" s="77"/>
      <c r="AK119" s="77"/>
      <c r="AL119" s="77"/>
      <c r="AM119" s="77"/>
      <c r="AN119" s="77"/>
      <c r="AO119" s="77"/>
      <c r="AP119" s="77"/>
      <c r="AQ119" s="77"/>
    </row>
    <row r="120" ht="15.75" customHeight="1">
      <c r="A120" s="77"/>
      <c r="B120" s="328"/>
      <c r="C120" s="329"/>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77"/>
      <c r="AI120" s="77"/>
      <c r="AJ120" s="77"/>
      <c r="AK120" s="77"/>
      <c r="AL120" s="77"/>
      <c r="AM120" s="77"/>
      <c r="AN120" s="77"/>
      <c r="AO120" s="77"/>
      <c r="AP120" s="77"/>
      <c r="AQ120" s="77"/>
    </row>
    <row r="121" ht="15.75" customHeight="1">
      <c r="A121" s="77"/>
      <c r="B121" s="328"/>
      <c r="C121" s="329"/>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77"/>
      <c r="AI121" s="77"/>
      <c r="AJ121" s="77"/>
      <c r="AK121" s="77"/>
      <c r="AL121" s="77"/>
      <c r="AM121" s="77"/>
      <c r="AN121" s="77"/>
      <c r="AO121" s="77"/>
      <c r="AP121" s="77"/>
      <c r="AQ121" s="77"/>
    </row>
    <row r="122" ht="15.75" customHeight="1">
      <c r="A122" s="77"/>
      <c r="B122" s="328"/>
      <c r="C122" s="329"/>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c r="AI122" s="77"/>
      <c r="AJ122" s="77"/>
      <c r="AK122" s="77"/>
      <c r="AL122" s="77"/>
      <c r="AM122" s="77"/>
      <c r="AN122" s="77"/>
      <c r="AO122" s="77"/>
      <c r="AP122" s="77"/>
      <c r="AQ122" s="77"/>
    </row>
    <row r="123" ht="15.75" customHeight="1">
      <c r="A123" s="77"/>
      <c r="B123" s="328"/>
      <c r="C123" s="329"/>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77"/>
      <c r="AI123" s="77"/>
      <c r="AJ123" s="77"/>
      <c r="AK123" s="77"/>
      <c r="AL123" s="77"/>
      <c r="AM123" s="77"/>
      <c r="AN123" s="77"/>
      <c r="AO123" s="77"/>
      <c r="AP123" s="77"/>
      <c r="AQ123" s="77"/>
    </row>
    <row r="124" ht="15.75" customHeight="1">
      <c r="A124" s="77"/>
      <c r="B124" s="328"/>
      <c r="C124" s="329"/>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c r="AI124" s="77"/>
      <c r="AJ124" s="77"/>
      <c r="AK124" s="77"/>
      <c r="AL124" s="77"/>
      <c r="AM124" s="77"/>
      <c r="AN124" s="77"/>
      <c r="AO124" s="77"/>
      <c r="AP124" s="77"/>
      <c r="AQ124" s="77"/>
    </row>
    <row r="125" ht="15.75" customHeight="1">
      <c r="A125" s="77"/>
      <c r="B125" s="328"/>
      <c r="C125" s="329"/>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77"/>
      <c r="AI125" s="77"/>
      <c r="AJ125" s="77"/>
      <c r="AK125" s="77"/>
      <c r="AL125" s="77"/>
      <c r="AM125" s="77"/>
      <c r="AN125" s="77"/>
      <c r="AO125" s="77"/>
      <c r="AP125" s="77"/>
      <c r="AQ125" s="77"/>
    </row>
    <row r="126" ht="15.75" customHeight="1">
      <c r="A126" s="77"/>
      <c r="B126" s="328"/>
      <c r="C126" s="329"/>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c r="AJ126" s="77"/>
      <c r="AK126" s="77"/>
      <c r="AL126" s="77"/>
      <c r="AM126" s="77"/>
      <c r="AN126" s="77"/>
      <c r="AO126" s="77"/>
      <c r="AP126" s="77"/>
      <c r="AQ126" s="77"/>
    </row>
    <row r="127" ht="15.75" customHeight="1">
      <c r="A127" s="77"/>
      <c r="B127" s="328"/>
      <c r="C127" s="329"/>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7"/>
      <c r="AF127" s="77"/>
      <c r="AG127" s="77"/>
      <c r="AH127" s="77"/>
      <c r="AI127" s="77"/>
      <c r="AJ127" s="77"/>
      <c r="AK127" s="77"/>
      <c r="AL127" s="77"/>
      <c r="AM127" s="77"/>
      <c r="AN127" s="77"/>
      <c r="AO127" s="77"/>
      <c r="AP127" s="77"/>
      <c r="AQ127" s="77"/>
    </row>
    <row r="128" ht="15.75" customHeight="1">
      <c r="A128" s="77"/>
      <c r="B128" s="328"/>
      <c r="C128" s="329"/>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c r="AJ128" s="77"/>
      <c r="AK128" s="77"/>
      <c r="AL128" s="77"/>
      <c r="AM128" s="77"/>
      <c r="AN128" s="77"/>
      <c r="AO128" s="77"/>
      <c r="AP128" s="77"/>
      <c r="AQ128" s="77"/>
    </row>
    <row r="129" ht="15.75" customHeight="1">
      <c r="A129" s="77"/>
      <c r="B129" s="328"/>
      <c r="C129" s="329"/>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c r="AD129" s="77"/>
      <c r="AE129" s="77"/>
      <c r="AF129" s="77"/>
      <c r="AG129" s="77"/>
      <c r="AH129" s="77"/>
      <c r="AI129" s="77"/>
      <c r="AJ129" s="77"/>
      <c r="AK129" s="77"/>
      <c r="AL129" s="77"/>
      <c r="AM129" s="77"/>
      <c r="AN129" s="77"/>
      <c r="AO129" s="77"/>
      <c r="AP129" s="77"/>
      <c r="AQ129" s="77"/>
    </row>
    <row r="130" ht="15.75" customHeight="1">
      <c r="A130" s="77"/>
      <c r="B130" s="328"/>
      <c r="C130" s="329"/>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77"/>
      <c r="AI130" s="77"/>
      <c r="AJ130" s="77"/>
      <c r="AK130" s="77"/>
      <c r="AL130" s="77"/>
      <c r="AM130" s="77"/>
      <c r="AN130" s="77"/>
      <c r="AO130" s="77"/>
      <c r="AP130" s="77"/>
      <c r="AQ130" s="77"/>
    </row>
    <row r="131" ht="15.75" customHeight="1">
      <c r="A131" s="77"/>
      <c r="B131" s="328"/>
      <c r="C131" s="329"/>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c r="AE131" s="77"/>
      <c r="AF131" s="77"/>
      <c r="AG131" s="77"/>
      <c r="AH131" s="77"/>
      <c r="AI131" s="77"/>
      <c r="AJ131" s="77"/>
      <c r="AK131" s="77"/>
      <c r="AL131" s="77"/>
      <c r="AM131" s="77"/>
      <c r="AN131" s="77"/>
      <c r="AO131" s="77"/>
      <c r="AP131" s="77"/>
      <c r="AQ131" s="77"/>
    </row>
    <row r="132" ht="15.75" customHeight="1">
      <c r="A132" s="77"/>
      <c r="B132" s="328"/>
      <c r="C132" s="329"/>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77"/>
      <c r="AI132" s="77"/>
      <c r="AJ132" s="77"/>
      <c r="AK132" s="77"/>
      <c r="AL132" s="77"/>
      <c r="AM132" s="77"/>
      <c r="AN132" s="77"/>
      <c r="AO132" s="77"/>
      <c r="AP132" s="77"/>
      <c r="AQ132" s="77"/>
    </row>
    <row r="133" ht="15.75" customHeight="1">
      <c r="A133" s="77"/>
      <c r="B133" s="328"/>
      <c r="C133" s="329"/>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c r="AD133" s="77"/>
      <c r="AE133" s="77"/>
      <c r="AF133" s="77"/>
      <c r="AG133" s="77"/>
      <c r="AH133" s="77"/>
      <c r="AI133" s="77"/>
      <c r="AJ133" s="77"/>
      <c r="AK133" s="77"/>
      <c r="AL133" s="77"/>
      <c r="AM133" s="77"/>
      <c r="AN133" s="77"/>
      <c r="AO133" s="77"/>
      <c r="AP133" s="77"/>
      <c r="AQ133" s="77"/>
    </row>
    <row r="134" ht="15.75" customHeight="1">
      <c r="A134" s="77"/>
      <c r="B134" s="328"/>
      <c r="C134" s="329"/>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c r="AI134" s="77"/>
      <c r="AJ134" s="77"/>
      <c r="AK134" s="77"/>
      <c r="AL134" s="77"/>
      <c r="AM134" s="77"/>
      <c r="AN134" s="77"/>
      <c r="AO134" s="77"/>
      <c r="AP134" s="77"/>
      <c r="AQ134" s="77"/>
    </row>
    <row r="135" ht="15.75" customHeight="1">
      <c r="A135" s="77"/>
      <c r="B135" s="328"/>
      <c r="C135" s="329"/>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c r="AE135" s="77"/>
      <c r="AF135" s="77"/>
      <c r="AG135" s="77"/>
      <c r="AH135" s="77"/>
      <c r="AI135" s="77"/>
      <c r="AJ135" s="77"/>
      <c r="AK135" s="77"/>
      <c r="AL135" s="77"/>
      <c r="AM135" s="77"/>
      <c r="AN135" s="77"/>
      <c r="AO135" s="77"/>
      <c r="AP135" s="77"/>
      <c r="AQ135" s="77"/>
    </row>
    <row r="136" ht="15.75" customHeight="1">
      <c r="A136" s="77"/>
      <c r="B136" s="328"/>
      <c r="C136" s="329"/>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c r="AI136" s="77"/>
      <c r="AJ136" s="77"/>
      <c r="AK136" s="77"/>
      <c r="AL136" s="77"/>
      <c r="AM136" s="77"/>
      <c r="AN136" s="77"/>
      <c r="AO136" s="77"/>
      <c r="AP136" s="77"/>
      <c r="AQ136" s="77"/>
    </row>
    <row r="137" ht="15.75" customHeight="1">
      <c r="A137" s="77"/>
      <c r="B137" s="328"/>
      <c r="C137" s="329"/>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c r="AF137" s="77"/>
      <c r="AG137" s="77"/>
      <c r="AH137" s="77"/>
      <c r="AI137" s="77"/>
      <c r="AJ137" s="77"/>
      <c r="AK137" s="77"/>
      <c r="AL137" s="77"/>
      <c r="AM137" s="77"/>
      <c r="AN137" s="77"/>
      <c r="AO137" s="77"/>
      <c r="AP137" s="77"/>
      <c r="AQ137" s="77"/>
    </row>
    <row r="138" ht="15.75" customHeight="1">
      <c r="A138" s="77"/>
      <c r="B138" s="328"/>
      <c r="C138" s="329"/>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c r="AD138" s="77"/>
      <c r="AE138" s="77"/>
      <c r="AF138" s="77"/>
      <c r="AG138" s="77"/>
      <c r="AH138" s="77"/>
      <c r="AI138" s="77"/>
      <c r="AJ138" s="77"/>
      <c r="AK138" s="77"/>
      <c r="AL138" s="77"/>
      <c r="AM138" s="77"/>
      <c r="AN138" s="77"/>
      <c r="AO138" s="77"/>
      <c r="AP138" s="77"/>
      <c r="AQ138" s="77"/>
    </row>
    <row r="139" ht="15.75" customHeight="1">
      <c r="A139" s="77"/>
      <c r="B139" s="328"/>
      <c r="C139" s="329"/>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7"/>
      <c r="AF139" s="77"/>
      <c r="AG139" s="77"/>
      <c r="AH139" s="77"/>
      <c r="AI139" s="77"/>
      <c r="AJ139" s="77"/>
      <c r="AK139" s="77"/>
      <c r="AL139" s="77"/>
      <c r="AM139" s="77"/>
      <c r="AN139" s="77"/>
      <c r="AO139" s="77"/>
      <c r="AP139" s="77"/>
      <c r="AQ139" s="77"/>
    </row>
    <row r="140" ht="15.75" customHeight="1">
      <c r="A140" s="77"/>
      <c r="B140" s="328"/>
      <c r="C140" s="329"/>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c r="AI140" s="77"/>
      <c r="AJ140" s="77"/>
      <c r="AK140" s="77"/>
      <c r="AL140" s="77"/>
      <c r="AM140" s="77"/>
      <c r="AN140" s="77"/>
      <c r="AO140" s="77"/>
      <c r="AP140" s="77"/>
      <c r="AQ140" s="77"/>
    </row>
    <row r="141" ht="15.75" customHeight="1">
      <c r="A141" s="77"/>
      <c r="B141" s="328"/>
      <c r="C141" s="329"/>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c r="AK141" s="77"/>
      <c r="AL141" s="77"/>
      <c r="AM141" s="77"/>
      <c r="AN141" s="77"/>
      <c r="AO141" s="77"/>
      <c r="AP141" s="77"/>
      <c r="AQ141" s="77"/>
    </row>
    <row r="142" ht="15.75" customHeight="1">
      <c r="A142" s="77"/>
      <c r="B142" s="328"/>
      <c r="C142" s="329"/>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c r="AK142" s="77"/>
      <c r="AL142" s="77"/>
      <c r="AM142" s="77"/>
      <c r="AN142" s="77"/>
      <c r="AO142" s="77"/>
      <c r="AP142" s="77"/>
      <c r="AQ142" s="77"/>
    </row>
    <row r="143" ht="15.75" customHeight="1">
      <c r="A143" s="77"/>
      <c r="B143" s="328"/>
      <c r="C143" s="329"/>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c r="AK143" s="77"/>
      <c r="AL143" s="77"/>
      <c r="AM143" s="77"/>
      <c r="AN143" s="77"/>
      <c r="AO143" s="77"/>
      <c r="AP143" s="77"/>
      <c r="AQ143" s="77"/>
    </row>
    <row r="144" ht="15.75" customHeight="1">
      <c r="A144" s="77"/>
      <c r="B144" s="328"/>
      <c r="C144" s="329"/>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c r="AK144" s="77"/>
      <c r="AL144" s="77"/>
      <c r="AM144" s="77"/>
      <c r="AN144" s="77"/>
      <c r="AO144" s="77"/>
      <c r="AP144" s="77"/>
      <c r="AQ144" s="77"/>
    </row>
    <row r="145" ht="15.75" customHeight="1">
      <c r="A145" s="77"/>
      <c r="B145" s="328"/>
      <c r="C145" s="329"/>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c r="AK145" s="77"/>
      <c r="AL145" s="77"/>
      <c r="AM145" s="77"/>
      <c r="AN145" s="77"/>
      <c r="AO145" s="77"/>
      <c r="AP145" s="77"/>
      <c r="AQ145" s="77"/>
    </row>
    <row r="146" ht="15.75" customHeight="1">
      <c r="A146" s="77"/>
      <c r="B146" s="328"/>
      <c r="C146" s="329"/>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c r="AK146" s="77"/>
      <c r="AL146" s="77"/>
      <c r="AM146" s="77"/>
      <c r="AN146" s="77"/>
      <c r="AO146" s="77"/>
      <c r="AP146" s="77"/>
      <c r="AQ146" s="77"/>
    </row>
    <row r="147" ht="15.75" customHeight="1">
      <c r="A147" s="77"/>
      <c r="B147" s="328"/>
      <c r="C147" s="329"/>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c r="AK147" s="77"/>
      <c r="AL147" s="77"/>
      <c r="AM147" s="77"/>
      <c r="AN147" s="77"/>
      <c r="AO147" s="77"/>
      <c r="AP147" s="77"/>
      <c r="AQ147" s="77"/>
    </row>
    <row r="148" ht="15.75" customHeight="1">
      <c r="A148" s="77"/>
      <c r="B148" s="328"/>
      <c r="C148" s="329"/>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c r="AK148" s="77"/>
      <c r="AL148" s="77"/>
      <c r="AM148" s="77"/>
      <c r="AN148" s="77"/>
      <c r="AO148" s="77"/>
      <c r="AP148" s="77"/>
      <c r="AQ148" s="77"/>
    </row>
    <row r="149" ht="15.75" customHeight="1">
      <c r="A149" s="77"/>
      <c r="B149" s="328"/>
      <c r="C149" s="329"/>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c r="AK149" s="77"/>
      <c r="AL149" s="77"/>
      <c r="AM149" s="77"/>
      <c r="AN149" s="77"/>
      <c r="AO149" s="77"/>
      <c r="AP149" s="77"/>
      <c r="AQ149" s="77"/>
    </row>
    <row r="150" ht="15.75" customHeight="1">
      <c r="A150" s="77"/>
      <c r="B150" s="328"/>
      <c r="C150" s="329"/>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c r="AK150" s="77"/>
      <c r="AL150" s="77"/>
      <c r="AM150" s="77"/>
      <c r="AN150" s="77"/>
      <c r="AO150" s="77"/>
      <c r="AP150" s="77"/>
      <c r="AQ150" s="77"/>
    </row>
    <row r="151" ht="15.75" customHeight="1">
      <c r="A151" s="77"/>
      <c r="B151" s="328"/>
      <c r="C151" s="329"/>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c r="AI151" s="77"/>
      <c r="AJ151" s="77"/>
      <c r="AK151" s="77"/>
      <c r="AL151" s="77"/>
      <c r="AM151" s="77"/>
      <c r="AN151" s="77"/>
      <c r="AO151" s="77"/>
      <c r="AP151" s="77"/>
      <c r="AQ151" s="77"/>
    </row>
    <row r="152" ht="15.75" customHeight="1">
      <c r="A152" s="77"/>
      <c r="B152" s="328"/>
      <c r="C152" s="329"/>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c r="AI152" s="77"/>
      <c r="AJ152" s="77"/>
      <c r="AK152" s="77"/>
      <c r="AL152" s="77"/>
      <c r="AM152" s="77"/>
      <c r="AN152" s="77"/>
      <c r="AO152" s="77"/>
      <c r="AP152" s="77"/>
      <c r="AQ152" s="77"/>
    </row>
    <row r="153" ht="15.75" customHeight="1">
      <c r="A153" s="77"/>
      <c r="B153" s="328"/>
      <c r="C153" s="329"/>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c r="AE153" s="77"/>
      <c r="AF153" s="77"/>
      <c r="AG153" s="77"/>
      <c r="AH153" s="77"/>
      <c r="AI153" s="77"/>
      <c r="AJ153" s="77"/>
      <c r="AK153" s="77"/>
      <c r="AL153" s="77"/>
      <c r="AM153" s="77"/>
      <c r="AN153" s="77"/>
      <c r="AO153" s="77"/>
      <c r="AP153" s="77"/>
      <c r="AQ153" s="77"/>
    </row>
    <row r="154" ht="15.75" customHeight="1">
      <c r="A154" s="77"/>
      <c r="B154" s="328"/>
      <c r="C154" s="329"/>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77"/>
      <c r="AI154" s="77"/>
      <c r="AJ154" s="77"/>
      <c r="AK154" s="77"/>
      <c r="AL154" s="77"/>
      <c r="AM154" s="77"/>
      <c r="AN154" s="77"/>
      <c r="AO154" s="77"/>
      <c r="AP154" s="77"/>
      <c r="AQ154" s="77"/>
    </row>
    <row r="155" ht="15.75" customHeight="1">
      <c r="A155" s="77"/>
      <c r="B155" s="328"/>
      <c r="C155" s="329"/>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77"/>
      <c r="AI155" s="77"/>
      <c r="AJ155" s="77"/>
      <c r="AK155" s="77"/>
      <c r="AL155" s="77"/>
      <c r="AM155" s="77"/>
      <c r="AN155" s="77"/>
      <c r="AO155" s="77"/>
      <c r="AP155" s="77"/>
      <c r="AQ155" s="77"/>
    </row>
    <row r="156" ht="15.75" customHeight="1">
      <c r="A156" s="77"/>
      <c r="B156" s="328"/>
      <c r="C156" s="329"/>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c r="AJ156" s="77"/>
      <c r="AK156" s="77"/>
      <c r="AL156" s="77"/>
      <c r="AM156" s="77"/>
      <c r="AN156" s="77"/>
      <c r="AO156" s="77"/>
      <c r="AP156" s="77"/>
      <c r="AQ156" s="77"/>
    </row>
    <row r="157" ht="15.75" customHeight="1">
      <c r="A157" s="77"/>
      <c r="B157" s="328"/>
      <c r="C157" s="329"/>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7"/>
      <c r="AF157" s="77"/>
      <c r="AG157" s="77"/>
      <c r="AH157" s="77"/>
      <c r="AI157" s="77"/>
      <c r="AJ157" s="77"/>
      <c r="AK157" s="77"/>
      <c r="AL157" s="77"/>
      <c r="AM157" s="77"/>
      <c r="AN157" s="77"/>
      <c r="AO157" s="77"/>
      <c r="AP157" s="77"/>
      <c r="AQ157" s="77"/>
    </row>
    <row r="158" ht="15.75" customHeight="1">
      <c r="A158" s="77"/>
      <c r="B158" s="328"/>
      <c r="C158" s="329"/>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77"/>
      <c r="AL158" s="77"/>
      <c r="AM158" s="77"/>
      <c r="AN158" s="77"/>
      <c r="AO158" s="77"/>
      <c r="AP158" s="77"/>
      <c r="AQ158" s="77"/>
    </row>
    <row r="159" ht="15.75" customHeight="1">
      <c r="A159" s="77"/>
      <c r="B159" s="328"/>
      <c r="C159" s="329"/>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7"/>
      <c r="AF159" s="77"/>
      <c r="AG159" s="77"/>
      <c r="AH159" s="77"/>
      <c r="AI159" s="77"/>
      <c r="AJ159" s="77"/>
      <c r="AK159" s="77"/>
      <c r="AL159" s="77"/>
      <c r="AM159" s="77"/>
      <c r="AN159" s="77"/>
      <c r="AO159" s="77"/>
      <c r="AP159" s="77"/>
      <c r="AQ159" s="77"/>
    </row>
    <row r="160" ht="15.75" customHeight="1">
      <c r="A160" s="77"/>
      <c r="B160" s="328"/>
      <c r="C160" s="329"/>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c r="AI160" s="77"/>
      <c r="AJ160" s="77"/>
      <c r="AK160" s="77"/>
      <c r="AL160" s="77"/>
      <c r="AM160" s="77"/>
      <c r="AN160" s="77"/>
      <c r="AO160" s="77"/>
      <c r="AP160" s="77"/>
      <c r="AQ160" s="77"/>
    </row>
    <row r="161" ht="15.75" customHeight="1">
      <c r="A161" s="77"/>
      <c r="B161" s="328"/>
      <c r="C161" s="329"/>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c r="AE161" s="77"/>
      <c r="AF161" s="77"/>
      <c r="AG161" s="77"/>
      <c r="AH161" s="77"/>
      <c r="AI161" s="77"/>
      <c r="AJ161" s="77"/>
      <c r="AK161" s="77"/>
      <c r="AL161" s="77"/>
      <c r="AM161" s="77"/>
      <c r="AN161" s="77"/>
      <c r="AO161" s="77"/>
      <c r="AP161" s="77"/>
      <c r="AQ161" s="77"/>
    </row>
    <row r="162" ht="15.75" customHeight="1">
      <c r="A162" s="77"/>
      <c r="B162" s="328"/>
      <c r="C162" s="329"/>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c r="AI162" s="77"/>
      <c r="AJ162" s="77"/>
      <c r="AK162" s="77"/>
      <c r="AL162" s="77"/>
      <c r="AM162" s="77"/>
      <c r="AN162" s="77"/>
      <c r="AO162" s="77"/>
      <c r="AP162" s="77"/>
      <c r="AQ162" s="77"/>
    </row>
    <row r="163" ht="15.75" customHeight="1">
      <c r="A163" s="77"/>
      <c r="B163" s="328"/>
      <c r="C163" s="329"/>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77"/>
      <c r="AJ163" s="77"/>
      <c r="AK163" s="77"/>
      <c r="AL163" s="77"/>
      <c r="AM163" s="77"/>
      <c r="AN163" s="77"/>
      <c r="AO163" s="77"/>
      <c r="AP163" s="77"/>
      <c r="AQ163" s="77"/>
    </row>
    <row r="164" ht="15.75" customHeight="1">
      <c r="A164" s="77"/>
      <c r="B164" s="328"/>
      <c r="C164" s="329"/>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c r="AI164" s="77"/>
      <c r="AJ164" s="77"/>
      <c r="AK164" s="77"/>
      <c r="AL164" s="77"/>
      <c r="AM164" s="77"/>
      <c r="AN164" s="77"/>
      <c r="AO164" s="77"/>
      <c r="AP164" s="77"/>
      <c r="AQ164" s="77"/>
    </row>
    <row r="165" ht="15.75" customHeight="1">
      <c r="A165" s="77"/>
      <c r="B165" s="328"/>
      <c r="C165" s="329"/>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7"/>
      <c r="AF165" s="77"/>
      <c r="AG165" s="77"/>
      <c r="AH165" s="77"/>
      <c r="AI165" s="77"/>
      <c r="AJ165" s="77"/>
      <c r="AK165" s="77"/>
      <c r="AL165" s="77"/>
      <c r="AM165" s="77"/>
      <c r="AN165" s="77"/>
      <c r="AO165" s="77"/>
      <c r="AP165" s="77"/>
      <c r="AQ165" s="77"/>
    </row>
    <row r="166" ht="15.75" customHeight="1">
      <c r="A166" s="77"/>
      <c r="B166" s="328"/>
      <c r="C166" s="329"/>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c r="AD166" s="77"/>
      <c r="AE166" s="77"/>
      <c r="AF166" s="77"/>
      <c r="AG166" s="77"/>
      <c r="AH166" s="77"/>
      <c r="AI166" s="77"/>
      <c r="AJ166" s="77"/>
      <c r="AK166" s="77"/>
      <c r="AL166" s="77"/>
      <c r="AM166" s="77"/>
      <c r="AN166" s="77"/>
      <c r="AO166" s="77"/>
      <c r="AP166" s="77"/>
      <c r="AQ166" s="77"/>
    </row>
    <row r="167" ht="15.75" customHeight="1">
      <c r="A167" s="77"/>
      <c r="B167" s="328"/>
      <c r="C167" s="329"/>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c r="AK167" s="77"/>
      <c r="AL167" s="77"/>
      <c r="AM167" s="77"/>
      <c r="AN167" s="77"/>
      <c r="AO167" s="77"/>
      <c r="AP167" s="77"/>
      <c r="AQ167" s="77"/>
    </row>
    <row r="168" ht="15.75" customHeight="1">
      <c r="A168" s="77"/>
      <c r="B168" s="328"/>
      <c r="C168" s="329"/>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77"/>
      <c r="AJ168" s="77"/>
      <c r="AK168" s="77"/>
      <c r="AL168" s="77"/>
      <c r="AM168" s="77"/>
      <c r="AN168" s="77"/>
      <c r="AO168" s="77"/>
      <c r="AP168" s="77"/>
      <c r="AQ168" s="77"/>
    </row>
    <row r="169" ht="15.75" customHeight="1">
      <c r="A169" s="77"/>
      <c r="B169" s="328"/>
      <c r="C169" s="329"/>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7"/>
      <c r="AF169" s="77"/>
      <c r="AG169" s="77"/>
      <c r="AH169" s="77"/>
      <c r="AI169" s="77"/>
      <c r="AJ169" s="77"/>
      <c r="AK169" s="77"/>
      <c r="AL169" s="77"/>
      <c r="AM169" s="77"/>
      <c r="AN169" s="77"/>
      <c r="AO169" s="77"/>
      <c r="AP169" s="77"/>
      <c r="AQ169" s="77"/>
    </row>
    <row r="170" ht="15.75" customHeight="1">
      <c r="A170" s="77"/>
      <c r="B170" s="328"/>
      <c r="C170" s="329"/>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77"/>
      <c r="AJ170" s="77"/>
      <c r="AK170" s="77"/>
      <c r="AL170" s="77"/>
      <c r="AM170" s="77"/>
      <c r="AN170" s="77"/>
      <c r="AO170" s="77"/>
      <c r="AP170" s="77"/>
      <c r="AQ170" s="77"/>
    </row>
    <row r="171" ht="15.75" customHeight="1">
      <c r="A171" s="77"/>
      <c r="B171" s="328"/>
      <c r="C171" s="329"/>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77"/>
      <c r="AJ171" s="77"/>
      <c r="AK171" s="77"/>
      <c r="AL171" s="77"/>
      <c r="AM171" s="77"/>
      <c r="AN171" s="77"/>
      <c r="AO171" s="77"/>
      <c r="AP171" s="77"/>
      <c r="AQ171" s="77"/>
    </row>
    <row r="172" ht="15.75" customHeight="1">
      <c r="A172" s="77"/>
      <c r="B172" s="328"/>
      <c r="C172" s="329"/>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c r="AI172" s="77"/>
      <c r="AJ172" s="77"/>
      <c r="AK172" s="77"/>
      <c r="AL172" s="77"/>
      <c r="AM172" s="77"/>
      <c r="AN172" s="77"/>
      <c r="AO172" s="77"/>
      <c r="AP172" s="77"/>
      <c r="AQ172" s="77"/>
    </row>
    <row r="173" ht="15.75" customHeight="1">
      <c r="A173" s="77"/>
      <c r="B173" s="328"/>
      <c r="C173" s="329"/>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7"/>
      <c r="AF173" s="77"/>
      <c r="AG173" s="77"/>
      <c r="AH173" s="77"/>
      <c r="AI173" s="77"/>
      <c r="AJ173" s="77"/>
      <c r="AK173" s="77"/>
      <c r="AL173" s="77"/>
      <c r="AM173" s="77"/>
      <c r="AN173" s="77"/>
      <c r="AO173" s="77"/>
      <c r="AP173" s="77"/>
      <c r="AQ173" s="77"/>
    </row>
    <row r="174" ht="15.75" customHeight="1">
      <c r="A174" s="77"/>
      <c r="B174" s="328"/>
      <c r="C174" s="329"/>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c r="AI174" s="77"/>
      <c r="AJ174" s="77"/>
      <c r="AK174" s="77"/>
      <c r="AL174" s="77"/>
      <c r="AM174" s="77"/>
      <c r="AN174" s="77"/>
      <c r="AO174" s="77"/>
      <c r="AP174" s="77"/>
      <c r="AQ174" s="77"/>
    </row>
    <row r="175" ht="15.75" customHeight="1">
      <c r="A175" s="77"/>
      <c r="B175" s="328"/>
      <c r="C175" s="329"/>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7"/>
      <c r="AF175" s="77"/>
      <c r="AG175" s="77"/>
      <c r="AH175" s="77"/>
      <c r="AI175" s="77"/>
      <c r="AJ175" s="77"/>
      <c r="AK175" s="77"/>
      <c r="AL175" s="77"/>
      <c r="AM175" s="77"/>
      <c r="AN175" s="77"/>
      <c r="AO175" s="77"/>
      <c r="AP175" s="77"/>
      <c r="AQ175" s="77"/>
    </row>
    <row r="176" ht="15.75" customHeight="1">
      <c r="A176" s="77"/>
      <c r="B176" s="328"/>
      <c r="C176" s="329"/>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77"/>
      <c r="AJ176" s="77"/>
      <c r="AK176" s="77"/>
      <c r="AL176" s="77"/>
      <c r="AM176" s="77"/>
      <c r="AN176" s="77"/>
      <c r="AO176" s="77"/>
      <c r="AP176" s="77"/>
      <c r="AQ176" s="77"/>
    </row>
    <row r="177" ht="15.75" customHeight="1">
      <c r="A177" s="77"/>
      <c r="B177" s="328"/>
      <c r="C177" s="329"/>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77"/>
      <c r="AG177" s="77"/>
      <c r="AH177" s="77"/>
      <c r="AI177" s="77"/>
      <c r="AJ177" s="77"/>
      <c r="AK177" s="77"/>
      <c r="AL177" s="77"/>
      <c r="AM177" s="77"/>
      <c r="AN177" s="77"/>
      <c r="AO177" s="77"/>
      <c r="AP177" s="77"/>
      <c r="AQ177" s="77"/>
    </row>
    <row r="178" ht="15.75" customHeight="1">
      <c r="A178" s="77"/>
      <c r="B178" s="328"/>
      <c r="C178" s="329"/>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c r="AI178" s="77"/>
      <c r="AJ178" s="77"/>
      <c r="AK178" s="77"/>
      <c r="AL178" s="77"/>
      <c r="AM178" s="77"/>
      <c r="AN178" s="77"/>
      <c r="AO178" s="77"/>
      <c r="AP178" s="77"/>
      <c r="AQ178" s="77"/>
    </row>
    <row r="179" ht="15.75" customHeight="1">
      <c r="A179" s="77"/>
      <c r="B179" s="328"/>
      <c r="C179" s="329"/>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7"/>
      <c r="AF179" s="77"/>
      <c r="AG179" s="77"/>
      <c r="AH179" s="77"/>
      <c r="AI179" s="77"/>
      <c r="AJ179" s="77"/>
      <c r="AK179" s="77"/>
      <c r="AL179" s="77"/>
      <c r="AM179" s="77"/>
      <c r="AN179" s="77"/>
      <c r="AO179" s="77"/>
      <c r="AP179" s="77"/>
      <c r="AQ179" s="77"/>
    </row>
    <row r="180" ht="15.75" customHeight="1">
      <c r="A180" s="77"/>
      <c r="B180" s="328"/>
      <c r="C180" s="329"/>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77"/>
      <c r="AL180" s="77"/>
      <c r="AM180" s="77"/>
      <c r="AN180" s="77"/>
      <c r="AO180" s="77"/>
      <c r="AP180" s="77"/>
      <c r="AQ180" s="77"/>
    </row>
    <row r="181" ht="15.75" customHeight="1">
      <c r="A181" s="77"/>
      <c r="B181" s="328"/>
      <c r="C181" s="329"/>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77"/>
      <c r="AJ181" s="77"/>
      <c r="AK181" s="77"/>
      <c r="AL181" s="77"/>
      <c r="AM181" s="77"/>
      <c r="AN181" s="77"/>
      <c r="AO181" s="77"/>
      <c r="AP181" s="77"/>
      <c r="AQ181" s="77"/>
    </row>
    <row r="182" ht="15.75" customHeight="1">
      <c r="A182" s="77"/>
      <c r="B182" s="328"/>
      <c r="C182" s="329"/>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77"/>
      <c r="AJ182" s="77"/>
      <c r="AK182" s="77"/>
      <c r="AL182" s="77"/>
      <c r="AM182" s="77"/>
      <c r="AN182" s="77"/>
      <c r="AO182" s="77"/>
      <c r="AP182" s="77"/>
      <c r="AQ182" s="77"/>
    </row>
    <row r="183" ht="15.75" customHeight="1">
      <c r="A183" s="77"/>
      <c r="B183" s="328"/>
      <c r="C183" s="329"/>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77"/>
      <c r="AJ183" s="77"/>
      <c r="AK183" s="77"/>
      <c r="AL183" s="77"/>
      <c r="AM183" s="77"/>
      <c r="AN183" s="77"/>
      <c r="AO183" s="77"/>
      <c r="AP183" s="77"/>
      <c r="AQ183" s="77"/>
    </row>
    <row r="184" ht="15.75" customHeight="1">
      <c r="A184" s="77"/>
      <c r="B184" s="328"/>
      <c r="C184" s="329"/>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77"/>
      <c r="AJ184" s="77"/>
      <c r="AK184" s="77"/>
      <c r="AL184" s="77"/>
      <c r="AM184" s="77"/>
      <c r="AN184" s="77"/>
      <c r="AO184" s="77"/>
      <c r="AP184" s="77"/>
      <c r="AQ184" s="77"/>
    </row>
    <row r="185" ht="15.75" customHeight="1">
      <c r="A185" s="77"/>
      <c r="B185" s="328"/>
      <c r="C185" s="329"/>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77"/>
      <c r="AJ185" s="77"/>
      <c r="AK185" s="77"/>
      <c r="AL185" s="77"/>
      <c r="AM185" s="77"/>
      <c r="AN185" s="77"/>
      <c r="AO185" s="77"/>
      <c r="AP185" s="77"/>
      <c r="AQ185" s="77"/>
    </row>
    <row r="186" ht="15.75" customHeight="1">
      <c r="A186" s="77"/>
      <c r="B186" s="328"/>
      <c r="C186" s="329"/>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c r="AI186" s="77"/>
      <c r="AJ186" s="77"/>
      <c r="AK186" s="77"/>
      <c r="AL186" s="77"/>
      <c r="AM186" s="77"/>
      <c r="AN186" s="77"/>
      <c r="AO186" s="77"/>
      <c r="AP186" s="77"/>
      <c r="AQ186" s="77"/>
    </row>
    <row r="187" ht="15.75" customHeight="1">
      <c r="A187" s="77"/>
      <c r="B187" s="328"/>
      <c r="C187" s="329"/>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7"/>
      <c r="AF187" s="77"/>
      <c r="AG187" s="77"/>
      <c r="AH187" s="77"/>
      <c r="AI187" s="77"/>
      <c r="AJ187" s="77"/>
      <c r="AK187" s="77"/>
      <c r="AL187" s="77"/>
      <c r="AM187" s="77"/>
      <c r="AN187" s="77"/>
      <c r="AO187" s="77"/>
      <c r="AP187" s="77"/>
      <c r="AQ187" s="77"/>
    </row>
    <row r="188" ht="15.75" customHeight="1">
      <c r="A188" s="77"/>
      <c r="B188" s="328"/>
      <c r="C188" s="329"/>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c r="AI188" s="77"/>
      <c r="AJ188" s="77"/>
      <c r="AK188" s="77"/>
      <c r="AL188" s="77"/>
      <c r="AM188" s="77"/>
      <c r="AN188" s="77"/>
      <c r="AO188" s="77"/>
      <c r="AP188" s="77"/>
      <c r="AQ188" s="77"/>
    </row>
    <row r="189" ht="15.75" customHeight="1">
      <c r="A189" s="77"/>
      <c r="B189" s="328"/>
      <c r="C189" s="329"/>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c r="AE189" s="77"/>
      <c r="AF189" s="77"/>
      <c r="AG189" s="77"/>
      <c r="AH189" s="77"/>
      <c r="AI189" s="77"/>
      <c r="AJ189" s="77"/>
      <c r="AK189" s="77"/>
      <c r="AL189" s="77"/>
      <c r="AM189" s="77"/>
      <c r="AN189" s="77"/>
      <c r="AO189" s="77"/>
      <c r="AP189" s="77"/>
      <c r="AQ189" s="77"/>
    </row>
    <row r="190" ht="15.75" customHeight="1">
      <c r="A190" s="77"/>
      <c r="B190" s="328"/>
      <c r="C190" s="329"/>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c r="AE190" s="77"/>
      <c r="AF190" s="77"/>
      <c r="AG190" s="77"/>
      <c r="AH190" s="77"/>
      <c r="AI190" s="77"/>
      <c r="AJ190" s="77"/>
      <c r="AK190" s="77"/>
      <c r="AL190" s="77"/>
      <c r="AM190" s="77"/>
      <c r="AN190" s="77"/>
      <c r="AO190" s="77"/>
      <c r="AP190" s="77"/>
      <c r="AQ190" s="77"/>
    </row>
    <row r="191" ht="15.75" customHeight="1">
      <c r="A191" s="77"/>
      <c r="B191" s="328"/>
      <c r="C191" s="329"/>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c r="AE191" s="77"/>
      <c r="AF191" s="77"/>
      <c r="AG191" s="77"/>
      <c r="AH191" s="77"/>
      <c r="AI191" s="77"/>
      <c r="AJ191" s="77"/>
      <c r="AK191" s="77"/>
      <c r="AL191" s="77"/>
      <c r="AM191" s="77"/>
      <c r="AN191" s="77"/>
      <c r="AO191" s="77"/>
      <c r="AP191" s="77"/>
      <c r="AQ191" s="77"/>
    </row>
    <row r="192" ht="15.75" customHeight="1">
      <c r="A192" s="77"/>
      <c r="B192" s="328"/>
      <c r="C192" s="329"/>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77"/>
      <c r="AJ192" s="77"/>
      <c r="AK192" s="77"/>
      <c r="AL192" s="77"/>
      <c r="AM192" s="77"/>
      <c r="AN192" s="77"/>
      <c r="AO192" s="77"/>
      <c r="AP192" s="77"/>
      <c r="AQ192" s="77"/>
    </row>
    <row r="193" ht="15.75" customHeight="1">
      <c r="A193" s="77"/>
      <c r="B193" s="328"/>
      <c r="C193" s="329"/>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c r="AK193" s="77"/>
      <c r="AL193" s="77"/>
      <c r="AM193" s="77"/>
      <c r="AN193" s="77"/>
      <c r="AO193" s="77"/>
      <c r="AP193" s="77"/>
      <c r="AQ193" s="77"/>
    </row>
    <row r="194" ht="15.75" customHeight="1">
      <c r="A194" s="77"/>
      <c r="B194" s="328"/>
      <c r="C194" s="329"/>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c r="AK194" s="77"/>
      <c r="AL194" s="77"/>
      <c r="AM194" s="77"/>
      <c r="AN194" s="77"/>
      <c r="AO194" s="77"/>
      <c r="AP194" s="77"/>
      <c r="AQ194" s="77"/>
    </row>
    <row r="195" ht="15.75" customHeight="1">
      <c r="A195" s="77"/>
      <c r="B195" s="328"/>
      <c r="C195" s="329"/>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c r="AK195" s="77"/>
      <c r="AL195" s="77"/>
      <c r="AM195" s="77"/>
      <c r="AN195" s="77"/>
      <c r="AO195" s="77"/>
      <c r="AP195" s="77"/>
      <c r="AQ195" s="77"/>
    </row>
    <row r="196" ht="15.75" customHeight="1">
      <c r="A196" s="77"/>
      <c r="B196" s="328"/>
      <c r="C196" s="329"/>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c r="AK196" s="77"/>
      <c r="AL196" s="77"/>
      <c r="AM196" s="77"/>
      <c r="AN196" s="77"/>
      <c r="AO196" s="77"/>
      <c r="AP196" s="77"/>
      <c r="AQ196" s="77"/>
    </row>
    <row r="197" ht="15.75" customHeight="1">
      <c r="A197" s="77"/>
      <c r="B197" s="328"/>
      <c r="C197" s="329"/>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c r="AK197" s="77"/>
      <c r="AL197" s="77"/>
      <c r="AM197" s="77"/>
      <c r="AN197" s="77"/>
      <c r="AO197" s="77"/>
      <c r="AP197" s="77"/>
      <c r="AQ197" s="77"/>
    </row>
    <row r="198" ht="15.75" customHeight="1">
      <c r="A198" s="77"/>
      <c r="B198" s="328"/>
      <c r="C198" s="329"/>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c r="AK198" s="77"/>
      <c r="AL198" s="77"/>
      <c r="AM198" s="77"/>
      <c r="AN198" s="77"/>
      <c r="AO198" s="77"/>
      <c r="AP198" s="77"/>
      <c r="AQ198" s="77"/>
    </row>
    <row r="199" ht="15.75" customHeight="1">
      <c r="A199" s="77"/>
      <c r="B199" s="328"/>
      <c r="C199" s="329"/>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c r="AK199" s="77"/>
      <c r="AL199" s="77"/>
      <c r="AM199" s="77"/>
      <c r="AN199" s="77"/>
      <c r="AO199" s="77"/>
      <c r="AP199" s="77"/>
      <c r="AQ199" s="77"/>
    </row>
    <row r="200" ht="15.75" customHeight="1">
      <c r="A200" s="77"/>
      <c r="B200" s="328"/>
      <c r="C200" s="329"/>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c r="AK200" s="77"/>
      <c r="AL200" s="77"/>
      <c r="AM200" s="77"/>
      <c r="AN200" s="77"/>
      <c r="AO200" s="77"/>
      <c r="AP200" s="77"/>
      <c r="AQ200" s="77"/>
    </row>
    <row r="201" ht="15.75" customHeight="1">
      <c r="A201" s="77"/>
      <c r="B201" s="328"/>
      <c r="C201" s="329"/>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c r="AK201" s="77"/>
      <c r="AL201" s="77"/>
      <c r="AM201" s="77"/>
      <c r="AN201" s="77"/>
      <c r="AO201" s="77"/>
      <c r="AP201" s="77"/>
      <c r="AQ201" s="77"/>
    </row>
    <row r="202" ht="15.75" customHeight="1">
      <c r="A202" s="77"/>
      <c r="B202" s="328"/>
      <c r="C202" s="329"/>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77"/>
      <c r="AL202" s="77"/>
      <c r="AM202" s="77"/>
      <c r="AN202" s="77"/>
      <c r="AO202" s="77"/>
      <c r="AP202" s="77"/>
      <c r="AQ202" s="77"/>
    </row>
    <row r="203" ht="15.75" customHeight="1">
      <c r="A203" s="77"/>
      <c r="B203" s="328"/>
      <c r="C203" s="329"/>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c r="AK203" s="77"/>
      <c r="AL203" s="77"/>
      <c r="AM203" s="77"/>
      <c r="AN203" s="77"/>
      <c r="AO203" s="77"/>
      <c r="AP203" s="77"/>
      <c r="AQ203" s="77"/>
    </row>
    <row r="204" ht="15.75" customHeight="1">
      <c r="A204" s="77"/>
      <c r="B204" s="328"/>
      <c r="C204" s="329"/>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c r="AI204" s="77"/>
      <c r="AJ204" s="77"/>
      <c r="AK204" s="77"/>
      <c r="AL204" s="77"/>
      <c r="AM204" s="77"/>
      <c r="AN204" s="77"/>
      <c r="AO204" s="77"/>
      <c r="AP204" s="77"/>
      <c r="AQ204" s="77"/>
    </row>
    <row r="205" ht="15.75" customHeight="1">
      <c r="A205" s="77"/>
      <c r="B205" s="328"/>
      <c r="C205" s="329"/>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c r="AK205" s="77"/>
      <c r="AL205" s="77"/>
      <c r="AM205" s="77"/>
      <c r="AN205" s="77"/>
      <c r="AO205" s="77"/>
      <c r="AP205" s="77"/>
      <c r="AQ205" s="77"/>
    </row>
    <row r="206" ht="15.75" customHeight="1">
      <c r="A206" s="77"/>
      <c r="B206" s="328"/>
      <c r="C206" s="329"/>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c r="AK206" s="77"/>
      <c r="AL206" s="77"/>
      <c r="AM206" s="77"/>
      <c r="AN206" s="77"/>
      <c r="AO206" s="77"/>
      <c r="AP206" s="77"/>
      <c r="AQ206" s="77"/>
    </row>
    <row r="207" ht="15.75" customHeight="1">
      <c r="A207" s="77"/>
      <c r="B207" s="328"/>
      <c r="C207" s="329"/>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c r="AK207" s="77"/>
      <c r="AL207" s="77"/>
      <c r="AM207" s="77"/>
      <c r="AN207" s="77"/>
      <c r="AO207" s="77"/>
      <c r="AP207" s="77"/>
      <c r="AQ207" s="77"/>
    </row>
    <row r="208" ht="15.75" customHeight="1">
      <c r="A208" s="77"/>
      <c r="B208" s="328"/>
      <c r="C208" s="329"/>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c r="AK208" s="77"/>
      <c r="AL208" s="77"/>
      <c r="AM208" s="77"/>
      <c r="AN208" s="77"/>
      <c r="AO208" s="77"/>
      <c r="AP208" s="77"/>
      <c r="AQ208" s="77"/>
    </row>
    <row r="209" ht="15.75" customHeight="1">
      <c r="A209" s="77"/>
      <c r="B209" s="328"/>
      <c r="C209" s="329"/>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c r="AK209" s="77"/>
      <c r="AL209" s="77"/>
      <c r="AM209" s="77"/>
      <c r="AN209" s="77"/>
      <c r="AO209" s="77"/>
      <c r="AP209" s="77"/>
      <c r="AQ209" s="77"/>
    </row>
    <row r="210" ht="15.75" customHeight="1">
      <c r="A210" s="77"/>
      <c r="B210" s="328"/>
      <c r="C210" s="329"/>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c r="AK210" s="77"/>
      <c r="AL210" s="77"/>
      <c r="AM210" s="77"/>
      <c r="AN210" s="77"/>
      <c r="AO210" s="77"/>
      <c r="AP210" s="77"/>
      <c r="AQ210" s="77"/>
    </row>
    <row r="211" ht="15.75" customHeight="1">
      <c r="A211" s="77"/>
      <c r="B211" s="328"/>
      <c r="C211" s="329"/>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c r="AK211" s="77"/>
      <c r="AL211" s="77"/>
      <c r="AM211" s="77"/>
      <c r="AN211" s="77"/>
      <c r="AO211" s="77"/>
      <c r="AP211" s="77"/>
      <c r="AQ211" s="77"/>
    </row>
    <row r="212" ht="15.75" customHeight="1">
      <c r="A212" s="77"/>
      <c r="B212" s="328"/>
      <c r="C212" s="329"/>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c r="AK212" s="77"/>
      <c r="AL212" s="77"/>
      <c r="AM212" s="77"/>
      <c r="AN212" s="77"/>
      <c r="AO212" s="77"/>
      <c r="AP212" s="77"/>
      <c r="AQ212" s="77"/>
    </row>
    <row r="213" ht="15.75" customHeight="1">
      <c r="A213" s="77"/>
      <c r="B213" s="328"/>
      <c r="C213" s="329"/>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c r="AB213" s="77"/>
      <c r="AC213" s="77"/>
      <c r="AD213" s="77"/>
      <c r="AE213" s="77"/>
      <c r="AF213" s="77"/>
      <c r="AG213" s="77"/>
      <c r="AH213" s="77"/>
      <c r="AI213" s="77"/>
      <c r="AJ213" s="77"/>
      <c r="AK213" s="77"/>
      <c r="AL213" s="77"/>
      <c r="AM213" s="77"/>
      <c r="AN213" s="77"/>
      <c r="AO213" s="77"/>
      <c r="AP213" s="77"/>
      <c r="AQ213" s="77"/>
    </row>
    <row r="214" ht="15.75" customHeight="1">
      <c r="A214" s="77"/>
      <c r="B214" s="328"/>
      <c r="C214" s="329"/>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c r="AI214" s="77"/>
      <c r="AJ214" s="77"/>
      <c r="AK214" s="77"/>
      <c r="AL214" s="77"/>
      <c r="AM214" s="77"/>
      <c r="AN214" s="77"/>
      <c r="AO214" s="77"/>
      <c r="AP214" s="77"/>
      <c r="AQ214" s="77"/>
    </row>
    <row r="215" ht="15.75" customHeight="1">
      <c r="A215" s="77"/>
      <c r="B215" s="328"/>
      <c r="C215" s="329"/>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c r="AK215" s="77"/>
      <c r="AL215" s="77"/>
      <c r="AM215" s="77"/>
      <c r="AN215" s="77"/>
      <c r="AO215" s="77"/>
      <c r="AP215" s="77"/>
      <c r="AQ215" s="77"/>
    </row>
    <row r="216" ht="15.75" customHeight="1">
      <c r="A216" s="77"/>
      <c r="B216" s="328"/>
      <c r="C216" s="329"/>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c r="AI216" s="77"/>
      <c r="AJ216" s="77"/>
      <c r="AK216" s="77"/>
      <c r="AL216" s="77"/>
      <c r="AM216" s="77"/>
      <c r="AN216" s="77"/>
      <c r="AO216" s="77"/>
      <c r="AP216" s="77"/>
      <c r="AQ216" s="77"/>
    </row>
    <row r="217" ht="15.75" customHeight="1">
      <c r="A217" s="77"/>
      <c r="B217" s="328"/>
      <c r="C217" s="329"/>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c r="AK217" s="77"/>
      <c r="AL217" s="77"/>
      <c r="AM217" s="77"/>
      <c r="AN217" s="77"/>
      <c r="AO217" s="77"/>
      <c r="AP217" s="77"/>
      <c r="AQ217" s="77"/>
    </row>
    <row r="218" ht="15.75" customHeight="1">
      <c r="A218" s="77"/>
      <c r="B218" s="328"/>
      <c r="C218" s="329"/>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c r="AK218" s="77"/>
      <c r="AL218" s="77"/>
      <c r="AM218" s="77"/>
      <c r="AN218" s="77"/>
      <c r="AO218" s="77"/>
      <c r="AP218" s="77"/>
      <c r="AQ218" s="77"/>
    </row>
    <row r="219" ht="15.75" customHeight="1">
      <c r="A219" s="77"/>
      <c r="B219" s="328"/>
      <c r="C219" s="329"/>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c r="AK219" s="77"/>
      <c r="AL219" s="77"/>
      <c r="AM219" s="77"/>
      <c r="AN219" s="77"/>
      <c r="AO219" s="77"/>
      <c r="AP219" s="77"/>
      <c r="AQ219" s="77"/>
    </row>
    <row r="220" ht="15.75" customHeight="1">
      <c r="A220" s="77"/>
      <c r="B220" s="328"/>
      <c r="C220" s="329"/>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c r="AK220" s="77"/>
      <c r="AL220" s="77"/>
      <c r="AM220" s="77"/>
      <c r="AN220" s="77"/>
      <c r="AO220" s="77"/>
      <c r="AP220" s="77"/>
      <c r="AQ220" s="77"/>
    </row>
    <row r="221" ht="15.75" customHeight="1">
      <c r="A221" s="77"/>
      <c r="B221" s="328"/>
      <c r="C221" s="329"/>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c r="AK221" s="77"/>
      <c r="AL221" s="77"/>
      <c r="AM221" s="77"/>
      <c r="AN221" s="77"/>
      <c r="AO221" s="77"/>
      <c r="AP221" s="77"/>
      <c r="AQ221" s="77"/>
    </row>
    <row r="222" ht="15.75" customHeight="1">
      <c r="A222" s="77"/>
      <c r="B222" s="328"/>
      <c r="C222" s="329"/>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c r="AK222" s="77"/>
      <c r="AL222" s="77"/>
      <c r="AM222" s="77"/>
      <c r="AN222" s="77"/>
      <c r="AO222" s="77"/>
      <c r="AP222" s="77"/>
      <c r="AQ222" s="77"/>
    </row>
    <row r="223" ht="15.75" customHeight="1">
      <c r="A223" s="77"/>
      <c r="B223" s="328"/>
      <c r="C223" s="329"/>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c r="AK223" s="77"/>
      <c r="AL223" s="77"/>
      <c r="AM223" s="77"/>
      <c r="AN223" s="77"/>
      <c r="AO223" s="77"/>
      <c r="AP223" s="77"/>
      <c r="AQ223" s="77"/>
    </row>
    <row r="224" ht="15.75" customHeight="1">
      <c r="A224" s="77"/>
      <c r="B224" s="328"/>
      <c r="C224" s="329"/>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c r="AK224" s="77"/>
      <c r="AL224" s="77"/>
      <c r="AM224" s="77"/>
      <c r="AN224" s="77"/>
      <c r="AO224" s="77"/>
      <c r="AP224" s="77"/>
      <c r="AQ224" s="77"/>
    </row>
    <row r="225" ht="15.75" customHeight="1">
      <c r="A225" s="77"/>
      <c r="B225" s="328"/>
      <c r="C225" s="329"/>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c r="AD225" s="77"/>
      <c r="AE225" s="77"/>
      <c r="AF225" s="77"/>
      <c r="AG225" s="77"/>
      <c r="AH225" s="77"/>
      <c r="AI225" s="77"/>
      <c r="AJ225" s="77"/>
      <c r="AK225" s="77"/>
      <c r="AL225" s="77"/>
      <c r="AM225" s="77"/>
      <c r="AN225" s="77"/>
      <c r="AO225" s="77"/>
      <c r="AP225" s="77"/>
      <c r="AQ225" s="77"/>
    </row>
    <row r="226" ht="15.75" customHeight="1">
      <c r="A226" s="77"/>
      <c r="B226" s="328"/>
      <c r="C226" s="329"/>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row>
    <row r="227" ht="15.75" customHeight="1">
      <c r="A227" s="77"/>
      <c r="B227" s="328"/>
      <c r="C227" s="329"/>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row>
    <row r="228" ht="15.75" customHeight="1">
      <c r="A228" s="77"/>
      <c r="B228" s="328"/>
      <c r="C228" s="329"/>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c r="AI228" s="77"/>
      <c r="AJ228" s="77"/>
      <c r="AK228" s="77"/>
      <c r="AL228" s="77"/>
      <c r="AM228" s="77"/>
      <c r="AN228" s="77"/>
      <c r="AO228" s="77"/>
      <c r="AP228" s="77"/>
      <c r="AQ228" s="77"/>
    </row>
    <row r="229" ht="15.75" customHeight="1">
      <c r="A229" s="77"/>
      <c r="B229" s="328"/>
      <c r="C229" s="329"/>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c r="AD229" s="77"/>
      <c r="AE229" s="77"/>
      <c r="AF229" s="77"/>
      <c r="AG229" s="77"/>
      <c r="AH229" s="77"/>
      <c r="AI229" s="77"/>
      <c r="AJ229" s="77"/>
      <c r="AK229" s="77"/>
      <c r="AL229" s="77"/>
      <c r="AM229" s="77"/>
      <c r="AN229" s="77"/>
      <c r="AO229" s="77"/>
      <c r="AP229" s="77"/>
      <c r="AQ229" s="77"/>
    </row>
    <row r="230" ht="15.75" customHeight="1">
      <c r="A230" s="77"/>
      <c r="B230" s="328"/>
      <c r="C230" s="329"/>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row>
    <row r="231" ht="15.75" customHeight="1">
      <c r="A231" s="77"/>
      <c r="B231" s="328"/>
      <c r="C231" s="329"/>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row>
    <row r="232" ht="15.75" customHeight="1">
      <c r="A232" s="77"/>
      <c r="B232" s="328"/>
      <c r="C232" s="329"/>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c r="AD232" s="77"/>
      <c r="AE232" s="77"/>
      <c r="AF232" s="77"/>
      <c r="AG232" s="77"/>
      <c r="AH232" s="77"/>
      <c r="AI232" s="77"/>
      <c r="AJ232" s="77"/>
      <c r="AK232" s="77"/>
      <c r="AL232" s="77"/>
      <c r="AM232" s="77"/>
      <c r="AN232" s="77"/>
      <c r="AO232" s="77"/>
      <c r="AP232" s="77"/>
      <c r="AQ232" s="77"/>
    </row>
    <row r="233" ht="15.75" customHeight="1">
      <c r="A233" s="77"/>
      <c r="B233" s="328"/>
      <c r="C233" s="329"/>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c r="AD233" s="77"/>
      <c r="AE233" s="77"/>
      <c r="AF233" s="77"/>
      <c r="AG233" s="77"/>
      <c r="AH233" s="77"/>
      <c r="AI233" s="77"/>
      <c r="AJ233" s="77"/>
      <c r="AK233" s="77"/>
      <c r="AL233" s="77"/>
      <c r="AM233" s="77"/>
      <c r="AN233" s="77"/>
      <c r="AO233" s="77"/>
      <c r="AP233" s="77"/>
      <c r="AQ233" s="77"/>
    </row>
    <row r="234" ht="15.75" customHeight="1">
      <c r="A234" s="77"/>
      <c r="B234" s="328"/>
      <c r="C234" s="329"/>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row>
    <row r="235" ht="15.75" customHeight="1">
      <c r="A235" s="77"/>
      <c r="B235" s="328"/>
      <c r="C235" s="329"/>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row>
    <row r="236" ht="15.75" customHeight="1">
      <c r="A236" s="77"/>
      <c r="B236" s="328"/>
      <c r="C236" s="329"/>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c r="AE236" s="77"/>
      <c r="AF236" s="77"/>
      <c r="AG236" s="77"/>
      <c r="AH236" s="77"/>
      <c r="AI236" s="77"/>
      <c r="AJ236" s="77"/>
      <c r="AK236" s="77"/>
      <c r="AL236" s="77"/>
      <c r="AM236" s="77"/>
      <c r="AN236" s="77"/>
      <c r="AO236" s="77"/>
      <c r="AP236" s="77"/>
      <c r="AQ236" s="77"/>
    </row>
    <row r="237" ht="15.75" customHeight="1">
      <c r="A237" s="77"/>
      <c r="B237" s="328"/>
      <c r="C237" s="329"/>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7"/>
      <c r="AF237" s="77"/>
      <c r="AG237" s="77"/>
      <c r="AH237" s="77"/>
      <c r="AI237" s="77"/>
      <c r="AJ237" s="77"/>
      <c r="AK237" s="77"/>
      <c r="AL237" s="77"/>
      <c r="AM237" s="77"/>
      <c r="AN237" s="77"/>
      <c r="AO237" s="77"/>
      <c r="AP237" s="77"/>
      <c r="AQ237" s="77"/>
    </row>
    <row r="238" ht="15.75" customHeight="1">
      <c r="A238" s="77"/>
      <c r="B238" s="328"/>
      <c r="C238" s="329"/>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row>
    <row r="239" ht="15.75" customHeight="1">
      <c r="A239" s="77"/>
      <c r="B239" s="328"/>
      <c r="C239" s="329"/>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row>
    <row r="240" ht="15.75" customHeight="1">
      <c r="A240" s="77"/>
      <c r="B240" s="328"/>
      <c r="C240" s="329"/>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row>
    <row r="241" ht="15.75" customHeight="1">
      <c r="A241" s="77"/>
      <c r="B241" s="328"/>
      <c r="C241" s="329"/>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row>
    <row r="242" ht="15.75" customHeight="1">
      <c r="A242" s="77"/>
      <c r="B242" s="328"/>
      <c r="C242" s="329"/>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row>
    <row r="243" ht="15.75" customHeight="1">
      <c r="A243" s="77"/>
      <c r="B243" s="328"/>
      <c r="C243" s="329"/>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row>
    <row r="244" ht="15.75" customHeight="1">
      <c r="A244" s="77"/>
      <c r="B244" s="328"/>
      <c r="C244" s="329"/>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row>
    <row r="245" ht="15.75" customHeight="1">
      <c r="A245" s="77"/>
      <c r="B245" s="328"/>
      <c r="C245" s="329"/>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row>
    <row r="246" ht="15.75" customHeight="1">
      <c r="A246" s="77"/>
      <c r="B246" s="328"/>
      <c r="C246" s="329"/>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row>
    <row r="247" ht="15.75" customHeight="1">
      <c r="A247" s="77"/>
      <c r="B247" s="328"/>
      <c r="C247" s="329"/>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row>
    <row r="248" ht="15.75" customHeight="1">
      <c r="A248" s="77"/>
      <c r="B248" s="328"/>
      <c r="C248" s="329"/>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row>
    <row r="249" ht="15.75" customHeight="1">
      <c r="A249" s="77"/>
      <c r="B249" s="328"/>
      <c r="C249" s="329"/>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row>
    <row r="250" ht="15.75" customHeight="1">
      <c r="A250" s="77"/>
      <c r="B250" s="328"/>
      <c r="C250" s="329"/>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row>
    <row r="251" ht="15.75" customHeight="1">
      <c r="A251" s="77"/>
      <c r="B251" s="328"/>
      <c r="C251" s="329"/>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row>
    <row r="252" ht="15.75" customHeight="1">
      <c r="A252" s="77"/>
      <c r="B252" s="328"/>
      <c r="C252" s="329"/>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row>
    <row r="253" ht="15.75" customHeight="1">
      <c r="A253" s="77"/>
      <c r="B253" s="328"/>
      <c r="C253" s="329"/>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Q$52">
    <filterColumn colId="1">
      <filters>
        <filter val="Màu Xanh"/>
        <filter val="Hộp 30 Viên"/>
        <filter val="30 Viên"/>
        <filter val="-"/>
        <filter val="60 viên"/>
        <filter val="Màu xanh"/>
        <filter val="Hộp 60 Viên"/>
        <filter val="Màu trắng"/>
        <filter val="60 Viên"/>
        <filter val="30 viên"/>
        <filter val="Than Hoạt Tính"/>
        <filter val="Màu Trắng"/>
        <filter val="Hộp/Vỉ 10 viên x 3"/>
      </filters>
    </filterColumn>
  </autoFilter>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5" max="5" width="14.75"/>
    <col customWidth="1" min="12" max="12" width="24.13"/>
  </cols>
  <sheetData>
    <row r="1" ht="15.75" customHeight="1">
      <c r="A1" s="406" t="s">
        <v>33</v>
      </c>
      <c r="B1" s="406" t="s">
        <v>851</v>
      </c>
      <c r="C1" s="406" t="s">
        <v>984</v>
      </c>
      <c r="D1" s="406" t="s">
        <v>985</v>
      </c>
      <c r="E1" s="406" t="s">
        <v>986</v>
      </c>
      <c r="F1" s="406" t="s">
        <v>987</v>
      </c>
      <c r="G1" s="406" t="s">
        <v>988</v>
      </c>
      <c r="H1" s="406" t="s">
        <v>989</v>
      </c>
      <c r="I1" s="406" t="s">
        <v>990</v>
      </c>
      <c r="J1" s="406" t="s">
        <v>991</v>
      </c>
      <c r="K1" s="406" t="s">
        <v>992</v>
      </c>
      <c r="L1" s="109"/>
      <c r="M1" s="109" t="s">
        <v>993</v>
      </c>
      <c r="N1" s="109"/>
      <c r="O1" s="109"/>
      <c r="P1" s="109"/>
      <c r="Q1" s="109"/>
      <c r="R1" s="109"/>
      <c r="S1" s="109"/>
      <c r="T1" s="109"/>
      <c r="U1" s="109"/>
      <c r="V1" s="109"/>
      <c r="W1" s="109"/>
      <c r="X1" s="109"/>
      <c r="Y1" s="109"/>
      <c r="Z1" s="109"/>
    </row>
    <row r="2" ht="15.75" customHeight="1">
      <c r="A2" s="407">
        <v>45870.0</v>
      </c>
      <c r="B2" s="408">
        <v>1.0</v>
      </c>
      <c r="C2" s="409">
        <v>1152167.0</v>
      </c>
      <c r="D2" s="408">
        <v>0.0</v>
      </c>
      <c r="E2" s="109"/>
      <c r="F2" s="109"/>
      <c r="G2" s="109"/>
      <c r="H2" s="109"/>
      <c r="I2" s="109"/>
      <c r="J2" s="109"/>
      <c r="K2" s="109"/>
      <c r="L2" s="109"/>
      <c r="M2" s="109">
        <f t="shared" ref="M2:M82" si="1">MONTH(A2)</f>
        <v>8</v>
      </c>
      <c r="N2" s="109"/>
      <c r="O2" s="109"/>
      <c r="P2" s="109"/>
      <c r="Q2" s="109"/>
      <c r="R2" s="109"/>
      <c r="S2" s="109"/>
      <c r="T2" s="109"/>
      <c r="U2" s="109"/>
      <c r="V2" s="109"/>
      <c r="W2" s="109"/>
      <c r="X2" s="109"/>
      <c r="Y2" s="109"/>
      <c r="Z2" s="109"/>
    </row>
    <row r="3" ht="15.75" customHeight="1">
      <c r="A3" s="407">
        <v>45876.0</v>
      </c>
      <c r="B3" s="408">
        <v>1.0</v>
      </c>
      <c r="C3" s="409">
        <v>945000.0</v>
      </c>
      <c r="D3" s="408">
        <v>0.0</v>
      </c>
      <c r="E3" s="109"/>
      <c r="F3" s="109"/>
      <c r="G3" s="109"/>
      <c r="H3" s="109"/>
      <c r="I3" s="109"/>
      <c r="J3" s="109"/>
      <c r="K3" s="109"/>
      <c r="L3" s="109"/>
      <c r="M3" s="109">
        <f t="shared" si="1"/>
        <v>8</v>
      </c>
      <c r="N3" s="109"/>
      <c r="O3" s="109"/>
      <c r="P3" s="109"/>
      <c r="Q3" s="109"/>
      <c r="R3" s="109"/>
      <c r="S3" s="109"/>
      <c r="T3" s="109"/>
      <c r="U3" s="109"/>
      <c r="V3" s="109"/>
      <c r="W3" s="109"/>
      <c r="X3" s="109"/>
      <c r="Y3" s="109"/>
      <c r="Z3" s="109"/>
    </row>
    <row r="4" ht="15.75" customHeight="1">
      <c r="A4" s="407">
        <v>45909.0</v>
      </c>
      <c r="B4" s="109">
        <v>1.0</v>
      </c>
      <c r="C4" s="409">
        <v>3364667.0</v>
      </c>
      <c r="D4" s="409">
        <v>0.0</v>
      </c>
      <c r="E4" s="409">
        <v>3364667.0</v>
      </c>
      <c r="F4" s="109"/>
      <c r="G4" s="109"/>
      <c r="H4" s="109"/>
      <c r="I4" s="109"/>
      <c r="J4" s="109"/>
      <c r="K4" s="109"/>
      <c r="L4" s="109"/>
      <c r="M4" s="109">
        <f t="shared" si="1"/>
        <v>9</v>
      </c>
      <c r="N4" s="109"/>
      <c r="O4" s="109"/>
      <c r="P4" s="109"/>
      <c r="Q4" s="109"/>
      <c r="R4" s="109"/>
      <c r="S4" s="109"/>
      <c r="T4" s="109"/>
      <c r="U4" s="109"/>
      <c r="V4" s="109"/>
      <c r="W4" s="109"/>
      <c r="X4" s="109"/>
      <c r="Y4" s="109"/>
      <c r="Z4" s="109"/>
    </row>
    <row r="5" ht="15.75" customHeight="1">
      <c r="A5" s="407">
        <v>45910.0</v>
      </c>
      <c r="B5" s="109">
        <v>1.0</v>
      </c>
      <c r="C5" s="409">
        <v>945000.0</v>
      </c>
      <c r="D5" s="109"/>
      <c r="E5" s="109">
        <v>945000.0</v>
      </c>
      <c r="F5" s="109"/>
      <c r="G5" s="109"/>
      <c r="H5" s="109"/>
      <c r="I5" s="109"/>
      <c r="J5" s="109"/>
      <c r="K5" s="109"/>
      <c r="L5" s="109" t="s">
        <v>1104</v>
      </c>
      <c r="M5" s="109">
        <f t="shared" si="1"/>
        <v>9</v>
      </c>
      <c r="N5" s="109"/>
      <c r="O5" s="109"/>
      <c r="P5" s="109"/>
      <c r="Q5" s="109"/>
      <c r="R5" s="109"/>
      <c r="S5" s="109"/>
      <c r="T5" s="109"/>
      <c r="U5" s="109"/>
      <c r="V5" s="109"/>
      <c r="W5" s="109"/>
      <c r="X5" s="109"/>
      <c r="Y5" s="109"/>
      <c r="Z5" s="109"/>
    </row>
    <row r="6" ht="15.75" customHeight="1">
      <c r="A6" s="407">
        <v>45922.0</v>
      </c>
      <c r="B6" s="109">
        <v>1.0</v>
      </c>
      <c r="C6" s="409">
        <v>1499037.0</v>
      </c>
      <c r="D6" s="109"/>
      <c r="E6" s="109">
        <v>1499037.0</v>
      </c>
      <c r="F6" s="109"/>
      <c r="G6" s="109"/>
      <c r="H6" s="109"/>
      <c r="I6" s="109"/>
      <c r="J6" s="109"/>
      <c r="K6" s="109"/>
      <c r="L6" s="109"/>
      <c r="M6" s="109">
        <f t="shared" si="1"/>
        <v>9</v>
      </c>
      <c r="N6" s="109"/>
      <c r="O6" s="109"/>
      <c r="P6" s="109"/>
      <c r="Q6" s="109"/>
      <c r="R6" s="109"/>
      <c r="S6" s="109"/>
      <c r="T6" s="109"/>
      <c r="U6" s="109"/>
      <c r="V6" s="109"/>
      <c r="W6" s="109"/>
      <c r="X6" s="109"/>
      <c r="Y6" s="109"/>
      <c r="Z6" s="109"/>
    </row>
    <row r="7" ht="15.75" customHeight="1">
      <c r="A7" s="407">
        <v>45924.0</v>
      </c>
      <c r="B7" s="109">
        <v>1.0</v>
      </c>
      <c r="C7" s="409">
        <v>362056.0</v>
      </c>
      <c r="D7" s="109"/>
      <c r="E7" s="109">
        <v>362056.0</v>
      </c>
      <c r="F7" s="109"/>
      <c r="G7" s="109"/>
      <c r="H7" s="109"/>
      <c r="I7" s="109"/>
      <c r="J7" s="109"/>
      <c r="K7" s="109"/>
      <c r="L7" s="109"/>
      <c r="M7" s="109">
        <f t="shared" si="1"/>
        <v>9</v>
      </c>
      <c r="N7" s="109"/>
      <c r="O7" s="109"/>
      <c r="P7" s="109"/>
      <c r="Q7" s="109"/>
      <c r="R7" s="109"/>
      <c r="S7" s="109"/>
      <c r="T7" s="109"/>
      <c r="U7" s="109"/>
      <c r="V7" s="109"/>
      <c r="W7" s="109"/>
      <c r="X7" s="109"/>
      <c r="Y7" s="109"/>
      <c r="Z7" s="109"/>
    </row>
    <row r="8" ht="15.75" customHeight="1">
      <c r="A8" s="407">
        <v>45929.0</v>
      </c>
      <c r="B8" s="109">
        <v>2.0</v>
      </c>
      <c r="C8" s="409">
        <f>650000+3450000</f>
        <v>4100000</v>
      </c>
      <c r="D8" s="109">
        <v>650.0</v>
      </c>
      <c r="E8" s="109"/>
      <c r="F8" s="109"/>
      <c r="G8" s="109"/>
      <c r="H8" s="109"/>
      <c r="I8" s="109"/>
      <c r="J8" s="109"/>
      <c r="K8" s="109"/>
      <c r="L8" s="109"/>
      <c r="M8" s="109">
        <f t="shared" si="1"/>
        <v>9</v>
      </c>
      <c r="N8" s="109"/>
      <c r="O8" s="109"/>
      <c r="P8" s="109"/>
      <c r="Q8" s="109"/>
      <c r="R8" s="109"/>
      <c r="S8" s="109"/>
      <c r="T8" s="109"/>
      <c r="U8" s="109"/>
      <c r="V8" s="109"/>
      <c r="W8" s="109"/>
      <c r="X8" s="109"/>
      <c r="Y8" s="109"/>
      <c r="Z8" s="109"/>
    </row>
    <row r="9" ht="15.75" customHeight="1">
      <c r="A9" s="407">
        <v>45932.0</v>
      </c>
      <c r="B9" s="109">
        <v>1.0</v>
      </c>
      <c r="C9" s="216">
        <v>668000.0</v>
      </c>
      <c r="D9" s="216">
        <f t="shared" ref="D9:D10" si="2">C9-E9</f>
        <v>185556</v>
      </c>
      <c r="E9" s="109">
        <v>482444.0</v>
      </c>
      <c r="F9" s="109"/>
      <c r="G9" s="109"/>
      <c r="H9" s="109"/>
      <c r="I9" s="109"/>
      <c r="J9" s="109"/>
      <c r="K9" s="109"/>
      <c r="L9" s="109"/>
      <c r="M9" s="109">
        <f t="shared" si="1"/>
        <v>10</v>
      </c>
      <c r="N9" s="109"/>
      <c r="O9" s="109"/>
      <c r="P9" s="109"/>
      <c r="Q9" s="109"/>
      <c r="R9" s="109"/>
      <c r="S9" s="109"/>
      <c r="T9" s="109"/>
      <c r="U9" s="109"/>
      <c r="V9" s="109"/>
      <c r="W9" s="109"/>
      <c r="X9" s="109"/>
      <c r="Y9" s="109"/>
      <c r="Z9" s="109"/>
    </row>
    <row r="10" ht="15.75" customHeight="1">
      <c r="A10" s="407">
        <v>45933.0</v>
      </c>
      <c r="B10" s="109">
        <v>1.0</v>
      </c>
      <c r="C10" s="216">
        <v>945000.0</v>
      </c>
      <c r="D10" s="216">
        <f t="shared" si="2"/>
        <v>41000</v>
      </c>
      <c r="E10" s="109">
        <v>904000.0</v>
      </c>
      <c r="F10" s="109"/>
      <c r="G10" s="109"/>
      <c r="H10" s="109"/>
      <c r="I10" s="109"/>
      <c r="J10" s="109"/>
      <c r="K10" s="109"/>
      <c r="L10" s="109"/>
      <c r="M10" s="109">
        <f t="shared" si="1"/>
        <v>10</v>
      </c>
      <c r="N10" s="109"/>
      <c r="O10" s="109"/>
      <c r="P10" s="109"/>
      <c r="Q10" s="109"/>
      <c r="R10" s="109"/>
      <c r="S10" s="109"/>
      <c r="T10" s="109"/>
      <c r="U10" s="109"/>
      <c r="V10" s="109"/>
      <c r="W10" s="109"/>
      <c r="X10" s="109"/>
      <c r="Y10" s="109"/>
      <c r="Z10" s="109"/>
    </row>
    <row r="11" ht="15.75" customHeight="1">
      <c r="A11" s="407">
        <v>45939.0</v>
      </c>
      <c r="B11" s="109">
        <v>1.0</v>
      </c>
      <c r="C11" s="216">
        <v>500000.0</v>
      </c>
      <c r="D11" s="109"/>
      <c r="E11" s="109">
        <v>500000.0</v>
      </c>
      <c r="F11" s="109"/>
      <c r="G11" s="109"/>
      <c r="H11" s="109"/>
      <c r="I11" s="109"/>
      <c r="J11" s="109"/>
      <c r="K11" s="109"/>
      <c r="L11" s="109" t="s">
        <v>1105</v>
      </c>
      <c r="M11" s="109">
        <f t="shared" si="1"/>
        <v>10</v>
      </c>
      <c r="N11" s="109"/>
      <c r="O11" s="109"/>
      <c r="P11" s="109"/>
      <c r="Q11" s="109"/>
      <c r="R11" s="109"/>
      <c r="S11" s="109"/>
      <c r="T11" s="109"/>
      <c r="U11" s="109"/>
      <c r="V11" s="109"/>
      <c r="W11" s="109"/>
      <c r="X11" s="109"/>
      <c r="Y11" s="109"/>
      <c r="Z11" s="109"/>
    </row>
    <row r="12" ht="15.75" customHeight="1">
      <c r="A12" s="407">
        <v>45946.0</v>
      </c>
      <c r="B12" s="109">
        <v>1.0</v>
      </c>
      <c r="C12" s="216">
        <v>1366444.0</v>
      </c>
      <c r="D12" s="109"/>
      <c r="E12" s="109"/>
      <c r="F12" s="109"/>
      <c r="G12" s="109"/>
      <c r="H12" s="109"/>
      <c r="I12" s="109"/>
      <c r="J12" s="109"/>
      <c r="K12" s="109"/>
      <c r="L12" s="109" t="s">
        <v>1106</v>
      </c>
      <c r="M12" s="109">
        <f t="shared" si="1"/>
        <v>10</v>
      </c>
      <c r="N12" s="109"/>
      <c r="O12" s="109"/>
      <c r="P12" s="109"/>
      <c r="Q12" s="109"/>
      <c r="R12" s="109"/>
      <c r="S12" s="109"/>
      <c r="T12" s="109"/>
      <c r="U12" s="109"/>
      <c r="V12" s="109"/>
      <c r="W12" s="109"/>
      <c r="X12" s="109"/>
      <c r="Y12" s="109"/>
      <c r="Z12" s="109"/>
    </row>
    <row r="13" ht="15.75" customHeight="1">
      <c r="A13" s="407">
        <v>45947.0</v>
      </c>
      <c r="B13" s="109">
        <v>1.0</v>
      </c>
      <c r="C13" s="216">
        <v>1241111.0</v>
      </c>
      <c r="D13" s="109"/>
      <c r="E13" s="109"/>
      <c r="F13" s="109"/>
      <c r="G13" s="109"/>
      <c r="H13" s="109"/>
      <c r="I13" s="109"/>
      <c r="J13" s="109"/>
      <c r="K13" s="109"/>
      <c r="L13" s="109"/>
      <c r="M13" s="109">
        <f t="shared" si="1"/>
        <v>10</v>
      </c>
      <c r="N13" s="109"/>
      <c r="O13" s="109"/>
      <c r="P13" s="109"/>
      <c r="Q13" s="109"/>
      <c r="R13" s="109"/>
      <c r="S13" s="109"/>
      <c r="T13" s="109"/>
      <c r="U13" s="109"/>
      <c r="V13" s="109"/>
      <c r="W13" s="109"/>
      <c r="X13" s="109"/>
      <c r="Y13" s="109"/>
      <c r="Z13" s="109"/>
    </row>
    <row r="14" ht="15.75" customHeight="1">
      <c r="A14" s="407">
        <v>45948.0</v>
      </c>
      <c r="B14" s="109">
        <v>1.0</v>
      </c>
      <c r="C14" s="216">
        <v>2054000.0</v>
      </c>
      <c r="D14" s="109"/>
      <c r="E14" s="109"/>
      <c r="F14" s="109"/>
      <c r="G14" s="109"/>
      <c r="H14" s="109"/>
      <c r="I14" s="109"/>
      <c r="J14" s="109"/>
      <c r="K14" s="109"/>
      <c r="L14" s="109"/>
      <c r="M14" s="109">
        <f t="shared" si="1"/>
        <v>10</v>
      </c>
      <c r="N14" s="109"/>
      <c r="O14" s="109"/>
      <c r="P14" s="109"/>
      <c r="Q14" s="109"/>
      <c r="R14" s="109"/>
      <c r="S14" s="109"/>
      <c r="T14" s="109"/>
      <c r="U14" s="109"/>
      <c r="V14" s="109"/>
      <c r="W14" s="109"/>
      <c r="X14" s="109"/>
      <c r="Y14" s="109"/>
      <c r="Z14" s="109"/>
    </row>
    <row r="15" ht="15.75" customHeight="1">
      <c r="A15" s="407">
        <v>45949.0</v>
      </c>
      <c r="B15" s="109"/>
      <c r="C15" s="109"/>
      <c r="D15" s="109"/>
      <c r="E15" s="109"/>
      <c r="F15" s="109"/>
      <c r="G15" s="109"/>
      <c r="H15" s="109"/>
      <c r="I15" s="109"/>
      <c r="J15" s="109"/>
      <c r="K15" s="109"/>
      <c r="L15" s="109"/>
      <c r="M15" s="109">
        <f t="shared" si="1"/>
        <v>10</v>
      </c>
      <c r="N15" s="109"/>
      <c r="O15" s="109"/>
      <c r="P15" s="109"/>
      <c r="Q15" s="109"/>
      <c r="R15" s="109"/>
      <c r="S15" s="109"/>
      <c r="T15" s="109"/>
      <c r="U15" s="109"/>
      <c r="V15" s="109"/>
      <c r="W15" s="109"/>
      <c r="X15" s="109"/>
      <c r="Y15" s="109"/>
      <c r="Z15" s="109"/>
    </row>
    <row r="16" ht="15.75" customHeight="1">
      <c r="A16" s="407">
        <v>45950.0</v>
      </c>
      <c r="B16" s="109"/>
      <c r="C16" s="109"/>
      <c r="D16" s="109"/>
      <c r="E16" s="109"/>
      <c r="F16" s="109"/>
      <c r="G16" s="109"/>
      <c r="H16" s="109"/>
      <c r="I16" s="109"/>
      <c r="J16" s="109"/>
      <c r="K16" s="109"/>
      <c r="L16" s="109"/>
      <c r="M16" s="109">
        <f t="shared" si="1"/>
        <v>10</v>
      </c>
      <c r="N16" s="109"/>
      <c r="O16" s="109"/>
      <c r="P16" s="109"/>
      <c r="Q16" s="109"/>
      <c r="R16" s="109"/>
      <c r="S16" s="109"/>
      <c r="T16" s="109"/>
      <c r="U16" s="109"/>
      <c r="V16" s="109"/>
      <c r="W16" s="109"/>
      <c r="X16" s="109"/>
      <c r="Y16" s="109"/>
      <c r="Z16" s="109"/>
    </row>
    <row r="17" ht="15.75" customHeight="1">
      <c r="A17" s="407">
        <v>45951.0</v>
      </c>
      <c r="B17" s="109"/>
      <c r="C17" s="109"/>
      <c r="D17" s="109"/>
      <c r="E17" s="109"/>
      <c r="F17" s="109"/>
      <c r="G17" s="109"/>
      <c r="H17" s="109"/>
      <c r="I17" s="109"/>
      <c r="J17" s="109"/>
      <c r="K17" s="109"/>
      <c r="L17" s="109"/>
      <c r="M17" s="109">
        <f t="shared" si="1"/>
        <v>10</v>
      </c>
      <c r="N17" s="109"/>
      <c r="O17" s="109"/>
      <c r="P17" s="109"/>
      <c r="Q17" s="109"/>
      <c r="R17" s="109"/>
      <c r="S17" s="109"/>
      <c r="T17" s="109"/>
      <c r="U17" s="109"/>
      <c r="V17" s="109"/>
      <c r="W17" s="109"/>
      <c r="X17" s="109"/>
      <c r="Y17" s="109"/>
      <c r="Z17" s="109"/>
    </row>
    <row r="18" ht="15.75" customHeight="1">
      <c r="A18" s="407">
        <v>45952.0</v>
      </c>
      <c r="B18" s="109"/>
      <c r="C18" s="109"/>
      <c r="D18" s="109"/>
      <c r="E18" s="109"/>
      <c r="F18" s="109"/>
      <c r="G18" s="109"/>
      <c r="H18" s="109"/>
      <c r="I18" s="109"/>
      <c r="J18" s="109"/>
      <c r="K18" s="109"/>
      <c r="L18" s="109"/>
      <c r="M18" s="109">
        <f t="shared" si="1"/>
        <v>10</v>
      </c>
      <c r="N18" s="109"/>
      <c r="O18" s="109"/>
      <c r="P18" s="109"/>
      <c r="Q18" s="109"/>
      <c r="R18" s="109"/>
      <c r="S18" s="109"/>
      <c r="T18" s="109"/>
      <c r="U18" s="109"/>
      <c r="V18" s="109"/>
      <c r="W18" s="109"/>
      <c r="X18" s="109"/>
      <c r="Y18" s="109"/>
      <c r="Z18" s="109"/>
    </row>
    <row r="19" ht="15.75" customHeight="1">
      <c r="A19" s="407">
        <v>45953.0</v>
      </c>
      <c r="B19" s="109">
        <v>1.0</v>
      </c>
      <c r="C19" s="109">
        <v>778182.0</v>
      </c>
      <c r="D19" s="109"/>
      <c r="E19" s="109"/>
      <c r="F19" s="109"/>
      <c r="G19" s="109"/>
      <c r="H19" s="109"/>
      <c r="I19" s="109"/>
      <c r="J19" s="109"/>
      <c r="K19" s="109"/>
      <c r="L19" s="109" t="s">
        <v>1107</v>
      </c>
      <c r="M19" s="109">
        <f t="shared" si="1"/>
        <v>10</v>
      </c>
      <c r="N19" s="109"/>
      <c r="O19" s="109"/>
      <c r="P19" s="109"/>
      <c r="Q19" s="109"/>
      <c r="R19" s="109"/>
      <c r="S19" s="109"/>
      <c r="T19" s="109"/>
      <c r="U19" s="109"/>
      <c r="V19" s="109"/>
      <c r="W19" s="109"/>
      <c r="X19" s="109"/>
      <c r="Y19" s="109"/>
      <c r="Z19" s="109"/>
    </row>
    <row r="20" ht="15.75" customHeight="1">
      <c r="A20" s="407">
        <v>45954.0</v>
      </c>
      <c r="B20" s="109"/>
      <c r="C20" s="109"/>
      <c r="D20" s="109"/>
      <c r="E20" s="109"/>
      <c r="F20" s="109"/>
      <c r="G20" s="109"/>
      <c r="H20" s="109"/>
      <c r="I20" s="109"/>
      <c r="J20" s="109"/>
      <c r="K20" s="109"/>
      <c r="L20" s="109"/>
      <c r="M20" s="109">
        <f t="shared" si="1"/>
        <v>10</v>
      </c>
      <c r="N20" s="109"/>
      <c r="O20" s="109"/>
      <c r="P20" s="109"/>
      <c r="Q20" s="109"/>
      <c r="R20" s="109"/>
      <c r="S20" s="109"/>
      <c r="T20" s="109"/>
      <c r="U20" s="109"/>
      <c r="V20" s="109"/>
      <c r="W20" s="109"/>
      <c r="X20" s="109"/>
      <c r="Y20" s="109"/>
      <c r="Z20" s="109"/>
    </row>
    <row r="21" ht="15.75" customHeight="1">
      <c r="A21" s="407">
        <v>45955.0</v>
      </c>
      <c r="B21" s="109">
        <v>1.0</v>
      </c>
      <c r="C21" s="109">
        <v>348000.0</v>
      </c>
      <c r="D21" s="109"/>
      <c r="E21" s="109"/>
      <c r="F21" s="109"/>
      <c r="G21" s="109"/>
      <c r="H21" s="109"/>
      <c r="I21" s="109"/>
      <c r="J21" s="109"/>
      <c r="K21" s="109"/>
      <c r="L21" s="109" t="s">
        <v>1108</v>
      </c>
      <c r="M21" s="109">
        <f t="shared" si="1"/>
        <v>10</v>
      </c>
      <c r="N21" s="109"/>
      <c r="O21" s="109"/>
      <c r="P21" s="109"/>
      <c r="Q21" s="109"/>
      <c r="R21" s="109"/>
      <c r="S21" s="109"/>
      <c r="T21" s="109"/>
      <c r="U21" s="109"/>
      <c r="V21" s="109"/>
      <c r="W21" s="109"/>
      <c r="X21" s="109"/>
      <c r="Y21" s="109"/>
      <c r="Z21" s="109"/>
    </row>
    <row r="22" ht="15.75" customHeight="1">
      <c r="A22" s="407">
        <v>45956.0</v>
      </c>
      <c r="B22" s="109"/>
      <c r="C22" s="109"/>
      <c r="D22" s="109"/>
      <c r="E22" s="109"/>
      <c r="F22" s="109"/>
      <c r="G22" s="109"/>
      <c r="H22" s="109"/>
      <c r="I22" s="109"/>
      <c r="J22" s="109"/>
      <c r="K22" s="109"/>
      <c r="L22" s="109"/>
      <c r="M22" s="109">
        <f t="shared" si="1"/>
        <v>10</v>
      </c>
      <c r="N22" s="109"/>
      <c r="O22" s="109"/>
      <c r="P22" s="109"/>
      <c r="Q22" s="109"/>
      <c r="R22" s="109"/>
      <c r="S22" s="109"/>
      <c r="T22" s="109"/>
      <c r="U22" s="109"/>
      <c r="V22" s="109"/>
      <c r="W22" s="109"/>
      <c r="X22" s="109"/>
      <c r="Y22" s="109"/>
      <c r="Z22" s="109"/>
    </row>
    <row r="23" ht="15.75" customHeight="1">
      <c r="A23" s="407">
        <v>45957.0</v>
      </c>
      <c r="B23" s="109"/>
      <c r="C23" s="109"/>
      <c r="D23" s="109"/>
      <c r="E23" s="109"/>
      <c r="F23" s="109"/>
      <c r="G23" s="109"/>
      <c r="H23" s="109"/>
      <c r="I23" s="109"/>
      <c r="J23" s="109"/>
      <c r="K23" s="109"/>
      <c r="L23" s="109"/>
      <c r="M23" s="109">
        <f t="shared" si="1"/>
        <v>10</v>
      </c>
      <c r="N23" s="109"/>
      <c r="O23" s="109"/>
      <c r="P23" s="109"/>
      <c r="Q23" s="109"/>
      <c r="R23" s="109"/>
      <c r="S23" s="109"/>
      <c r="T23" s="109"/>
      <c r="U23" s="109"/>
      <c r="V23" s="109"/>
      <c r="W23" s="109"/>
      <c r="X23" s="109"/>
      <c r="Y23" s="109"/>
      <c r="Z23" s="109"/>
    </row>
    <row r="24" ht="15.75" customHeight="1">
      <c r="A24" s="407">
        <v>45958.0</v>
      </c>
      <c r="B24" s="109"/>
      <c r="C24" s="109"/>
      <c r="D24" s="109"/>
      <c r="E24" s="109"/>
      <c r="F24" s="109"/>
      <c r="G24" s="109"/>
      <c r="H24" s="109"/>
      <c r="I24" s="109"/>
      <c r="J24" s="109"/>
      <c r="K24" s="109"/>
      <c r="L24" s="109"/>
      <c r="M24" s="109">
        <f t="shared" si="1"/>
        <v>10</v>
      </c>
      <c r="N24" s="109"/>
      <c r="O24" s="109"/>
      <c r="P24" s="109"/>
      <c r="Q24" s="109"/>
      <c r="R24" s="109"/>
      <c r="S24" s="109"/>
      <c r="T24" s="109"/>
      <c r="U24" s="109"/>
      <c r="V24" s="109"/>
      <c r="W24" s="109"/>
      <c r="X24" s="109"/>
      <c r="Y24" s="109"/>
      <c r="Z24" s="109"/>
    </row>
    <row r="25" ht="15.75" customHeight="1">
      <c r="A25" s="407">
        <v>45959.0</v>
      </c>
      <c r="B25" s="109">
        <v>1.0</v>
      </c>
      <c r="C25" s="109">
        <v>740000.0</v>
      </c>
      <c r="D25" s="109"/>
      <c r="E25" s="109"/>
      <c r="F25" s="109"/>
      <c r="G25" s="109"/>
      <c r="H25" s="109"/>
      <c r="I25" s="109"/>
      <c r="J25" s="109"/>
      <c r="K25" s="109"/>
      <c r="L25" s="109" t="s">
        <v>1109</v>
      </c>
      <c r="M25" s="109">
        <f t="shared" si="1"/>
        <v>10</v>
      </c>
      <c r="N25" s="109"/>
      <c r="O25" s="109"/>
      <c r="P25" s="109"/>
      <c r="Q25" s="109"/>
      <c r="R25" s="109"/>
      <c r="S25" s="109"/>
      <c r="T25" s="109"/>
      <c r="U25" s="109"/>
      <c r="V25" s="109"/>
      <c r="W25" s="109"/>
      <c r="X25" s="109"/>
      <c r="Y25" s="109"/>
      <c r="Z25" s="109"/>
    </row>
    <row r="26" ht="15.75" customHeight="1">
      <c r="A26" s="407">
        <v>45960.0</v>
      </c>
      <c r="B26" s="109">
        <v>1.0</v>
      </c>
      <c r="C26" s="109">
        <v>4287500.0</v>
      </c>
      <c r="D26" s="109"/>
      <c r="E26" s="109"/>
      <c r="F26" s="109"/>
      <c r="G26" s="109"/>
      <c r="H26" s="109"/>
      <c r="I26" s="109"/>
      <c r="J26" s="109"/>
      <c r="K26" s="109"/>
      <c r="L26" s="109" t="s">
        <v>1110</v>
      </c>
      <c r="M26" s="109">
        <f t="shared" si="1"/>
        <v>10</v>
      </c>
      <c r="N26" s="109"/>
      <c r="O26" s="109"/>
      <c r="P26" s="109"/>
      <c r="Q26" s="109"/>
      <c r="R26" s="109"/>
      <c r="S26" s="109"/>
      <c r="T26" s="109"/>
      <c r="U26" s="109"/>
      <c r="V26" s="109"/>
      <c r="W26" s="109"/>
      <c r="X26" s="109"/>
      <c r="Y26" s="109"/>
      <c r="Z26" s="109"/>
    </row>
    <row r="27" ht="15.75" customHeight="1">
      <c r="A27" s="407">
        <v>45961.0</v>
      </c>
      <c r="B27" s="109"/>
      <c r="C27" s="109"/>
      <c r="D27" s="109"/>
      <c r="E27" s="109"/>
      <c r="F27" s="109"/>
      <c r="G27" s="109"/>
      <c r="H27" s="109"/>
      <c r="I27" s="109"/>
      <c r="J27" s="109"/>
      <c r="K27" s="109"/>
      <c r="L27" s="109"/>
      <c r="M27" s="109">
        <f t="shared" si="1"/>
        <v>10</v>
      </c>
      <c r="N27" s="109"/>
      <c r="O27" s="109"/>
      <c r="P27" s="109"/>
      <c r="Q27" s="109"/>
      <c r="R27" s="109"/>
      <c r="S27" s="109"/>
      <c r="T27" s="109"/>
      <c r="U27" s="109"/>
      <c r="V27" s="109"/>
      <c r="W27" s="109"/>
      <c r="X27" s="109"/>
      <c r="Y27" s="109"/>
      <c r="Z27" s="109"/>
    </row>
    <row r="28" ht="15.75" customHeight="1">
      <c r="A28" s="407">
        <v>45962.0</v>
      </c>
      <c r="B28" s="109"/>
      <c r="C28" s="109"/>
      <c r="D28" s="109"/>
      <c r="E28" s="109"/>
      <c r="F28" s="109"/>
      <c r="G28" s="109"/>
      <c r="H28" s="109"/>
      <c r="I28" s="109"/>
      <c r="J28" s="109"/>
      <c r="K28" s="109"/>
      <c r="L28" s="109"/>
      <c r="M28" s="109">
        <f t="shared" si="1"/>
        <v>11</v>
      </c>
      <c r="N28" s="109"/>
      <c r="O28" s="109"/>
      <c r="P28" s="109"/>
      <c r="Q28" s="109"/>
      <c r="R28" s="109"/>
      <c r="S28" s="109"/>
      <c r="T28" s="109"/>
      <c r="U28" s="109"/>
      <c r="V28" s="109"/>
      <c r="W28" s="109"/>
      <c r="X28" s="109"/>
      <c r="Y28" s="109"/>
      <c r="Z28" s="109"/>
    </row>
    <row r="29" ht="15.75" customHeight="1">
      <c r="A29" s="407">
        <v>45963.0</v>
      </c>
      <c r="B29" s="109"/>
      <c r="C29" s="109"/>
      <c r="D29" s="109"/>
      <c r="E29" s="109"/>
      <c r="F29" s="109"/>
      <c r="G29" s="109"/>
      <c r="H29" s="109"/>
      <c r="I29" s="109"/>
      <c r="J29" s="109"/>
      <c r="K29" s="109"/>
      <c r="L29" s="109"/>
      <c r="M29" s="109">
        <f t="shared" si="1"/>
        <v>11</v>
      </c>
      <c r="N29" s="109"/>
      <c r="O29" s="109"/>
      <c r="P29" s="109"/>
      <c r="Q29" s="109"/>
      <c r="R29" s="109"/>
      <c r="S29" s="109"/>
      <c r="T29" s="109"/>
      <c r="U29" s="109"/>
      <c r="V29" s="109"/>
      <c r="W29" s="109"/>
      <c r="X29" s="109"/>
      <c r="Y29" s="109"/>
      <c r="Z29" s="109"/>
    </row>
    <row r="30" ht="15.75" customHeight="1">
      <c r="A30" s="407">
        <v>45964.0</v>
      </c>
      <c r="B30" s="109"/>
      <c r="C30" s="109"/>
      <c r="D30" s="109"/>
      <c r="E30" s="109"/>
      <c r="F30" s="109"/>
      <c r="G30" s="109"/>
      <c r="H30" s="109"/>
      <c r="I30" s="109"/>
      <c r="J30" s="109"/>
      <c r="K30" s="109"/>
      <c r="L30" s="109"/>
      <c r="M30" s="109">
        <f t="shared" si="1"/>
        <v>11</v>
      </c>
      <c r="N30" s="109"/>
      <c r="O30" s="109"/>
      <c r="P30" s="109"/>
      <c r="Q30" s="109"/>
      <c r="R30" s="109"/>
      <c r="S30" s="109"/>
      <c r="T30" s="109"/>
      <c r="U30" s="109"/>
      <c r="V30" s="109"/>
      <c r="W30" s="109"/>
      <c r="X30" s="109"/>
      <c r="Y30" s="109"/>
      <c r="Z30" s="109"/>
    </row>
    <row r="31" ht="15.75" customHeight="1">
      <c r="A31" s="407">
        <v>45965.0</v>
      </c>
      <c r="B31" s="109">
        <v>1.0</v>
      </c>
      <c r="C31" s="109">
        <v>1.371E7</v>
      </c>
      <c r="D31" s="109"/>
      <c r="E31" s="109"/>
      <c r="F31" s="109"/>
      <c r="G31" s="109"/>
      <c r="H31" s="109"/>
      <c r="I31" s="109"/>
      <c r="J31" s="109"/>
      <c r="K31" s="109"/>
      <c r="L31" s="109" t="s">
        <v>1111</v>
      </c>
      <c r="M31" s="109">
        <f t="shared" si="1"/>
        <v>11</v>
      </c>
      <c r="N31" s="109"/>
      <c r="O31" s="109"/>
      <c r="P31" s="109"/>
      <c r="Q31" s="109"/>
      <c r="R31" s="109"/>
      <c r="S31" s="109"/>
      <c r="T31" s="109"/>
      <c r="U31" s="109"/>
      <c r="V31" s="109"/>
      <c r="W31" s="109"/>
      <c r="X31" s="109"/>
      <c r="Y31" s="109"/>
      <c r="Z31" s="109"/>
    </row>
    <row r="32" ht="15.75" customHeight="1">
      <c r="A32" s="407">
        <v>45966.0</v>
      </c>
      <c r="B32" s="109"/>
      <c r="C32" s="109"/>
      <c r="D32" s="109"/>
      <c r="E32" s="109"/>
      <c r="F32" s="109"/>
      <c r="G32" s="109"/>
      <c r="H32" s="109"/>
      <c r="I32" s="109"/>
      <c r="J32" s="109"/>
      <c r="K32" s="109"/>
      <c r="L32" s="109"/>
      <c r="M32" s="109">
        <f t="shared" si="1"/>
        <v>11</v>
      </c>
      <c r="N32" s="109"/>
      <c r="O32" s="109"/>
      <c r="P32" s="109"/>
      <c r="Q32" s="109"/>
      <c r="R32" s="109"/>
      <c r="S32" s="109"/>
      <c r="T32" s="109"/>
      <c r="U32" s="109"/>
      <c r="V32" s="109"/>
      <c r="W32" s="109"/>
      <c r="X32" s="109"/>
      <c r="Y32" s="109"/>
      <c r="Z32" s="109"/>
    </row>
    <row r="33" ht="15.75" customHeight="1">
      <c r="A33" s="407">
        <v>45967.0</v>
      </c>
      <c r="B33" s="109"/>
      <c r="C33" s="109"/>
      <c r="D33" s="109"/>
      <c r="E33" s="109"/>
      <c r="F33" s="109"/>
      <c r="G33" s="109"/>
      <c r="H33" s="109"/>
      <c r="I33" s="109"/>
      <c r="J33" s="109"/>
      <c r="K33" s="109"/>
      <c r="L33" s="109"/>
      <c r="M33" s="109">
        <f t="shared" si="1"/>
        <v>11</v>
      </c>
      <c r="N33" s="109"/>
      <c r="O33" s="109"/>
      <c r="P33" s="109"/>
      <c r="Q33" s="109"/>
      <c r="R33" s="109"/>
      <c r="S33" s="109"/>
      <c r="T33" s="109"/>
      <c r="U33" s="109"/>
      <c r="V33" s="109"/>
      <c r="W33" s="109"/>
      <c r="X33" s="109"/>
      <c r="Y33" s="109"/>
      <c r="Z33" s="109"/>
    </row>
    <row r="34" ht="15.75" customHeight="1">
      <c r="A34" s="407">
        <v>45968.0</v>
      </c>
      <c r="B34" s="109"/>
      <c r="C34" s="109"/>
      <c r="D34" s="109"/>
      <c r="E34" s="109"/>
      <c r="F34" s="109"/>
      <c r="G34" s="109"/>
      <c r="H34" s="109"/>
      <c r="I34" s="109"/>
      <c r="J34" s="109"/>
      <c r="K34" s="109"/>
      <c r="L34" s="109"/>
      <c r="M34" s="109">
        <f t="shared" si="1"/>
        <v>11</v>
      </c>
      <c r="N34" s="109"/>
      <c r="O34" s="109"/>
      <c r="P34" s="109"/>
      <c r="Q34" s="109"/>
      <c r="R34" s="109"/>
      <c r="S34" s="109"/>
      <c r="T34" s="109"/>
      <c r="U34" s="109"/>
      <c r="V34" s="109"/>
      <c r="W34" s="109"/>
      <c r="X34" s="109"/>
      <c r="Y34" s="109"/>
      <c r="Z34" s="109"/>
    </row>
    <row r="35" ht="15.75" customHeight="1">
      <c r="A35" s="407">
        <v>45969.0</v>
      </c>
      <c r="B35" s="109"/>
      <c r="C35" s="109"/>
      <c r="D35" s="109"/>
      <c r="E35" s="109"/>
      <c r="F35" s="109"/>
      <c r="G35" s="109"/>
      <c r="H35" s="109"/>
      <c r="I35" s="109"/>
      <c r="J35" s="109"/>
      <c r="K35" s="109"/>
      <c r="L35" s="109"/>
      <c r="M35" s="109">
        <f t="shared" si="1"/>
        <v>11</v>
      </c>
      <c r="N35" s="109"/>
      <c r="O35" s="109"/>
      <c r="P35" s="109"/>
      <c r="Q35" s="109"/>
      <c r="R35" s="109"/>
      <c r="S35" s="109"/>
      <c r="T35" s="109"/>
      <c r="U35" s="109"/>
      <c r="V35" s="109"/>
      <c r="W35" s="109"/>
      <c r="X35" s="109"/>
      <c r="Y35" s="109"/>
      <c r="Z35" s="109"/>
    </row>
    <row r="36" ht="15.75" customHeight="1">
      <c r="A36" s="407">
        <v>45970.0</v>
      </c>
      <c r="B36" s="109"/>
      <c r="C36" s="109"/>
      <c r="D36" s="109"/>
      <c r="E36" s="109"/>
      <c r="F36" s="109"/>
      <c r="G36" s="109"/>
      <c r="H36" s="109"/>
      <c r="I36" s="109"/>
      <c r="J36" s="109"/>
      <c r="K36" s="109"/>
      <c r="L36" s="109"/>
      <c r="M36" s="109">
        <f t="shared" si="1"/>
        <v>11</v>
      </c>
      <c r="N36" s="109"/>
      <c r="O36" s="109"/>
      <c r="P36" s="109"/>
      <c r="Q36" s="109"/>
      <c r="R36" s="109"/>
      <c r="S36" s="109"/>
      <c r="T36" s="109"/>
      <c r="U36" s="109"/>
      <c r="V36" s="109"/>
      <c r="W36" s="109"/>
      <c r="X36" s="109"/>
      <c r="Y36" s="109"/>
      <c r="Z36" s="109"/>
    </row>
    <row r="37" ht="15.75" customHeight="1">
      <c r="A37" s="407">
        <v>45971.0</v>
      </c>
      <c r="B37" s="109"/>
      <c r="C37" s="109"/>
      <c r="D37" s="109"/>
      <c r="E37" s="109"/>
      <c r="F37" s="109"/>
      <c r="G37" s="109"/>
      <c r="H37" s="109"/>
      <c r="I37" s="109"/>
      <c r="J37" s="109"/>
      <c r="K37" s="109"/>
      <c r="L37" s="109"/>
      <c r="M37" s="109">
        <f t="shared" si="1"/>
        <v>11</v>
      </c>
      <c r="N37" s="109"/>
      <c r="O37" s="109"/>
      <c r="P37" s="109"/>
      <c r="Q37" s="109"/>
      <c r="R37" s="109"/>
      <c r="S37" s="109"/>
      <c r="T37" s="109"/>
      <c r="U37" s="109"/>
      <c r="V37" s="109"/>
      <c r="W37" s="109"/>
      <c r="X37" s="109"/>
      <c r="Y37" s="109"/>
      <c r="Z37" s="109"/>
    </row>
    <row r="38" ht="15.75" customHeight="1">
      <c r="A38" s="407">
        <v>45972.0</v>
      </c>
      <c r="B38" s="109"/>
      <c r="C38" s="109"/>
      <c r="D38" s="109"/>
      <c r="E38" s="109"/>
      <c r="F38" s="109"/>
      <c r="G38" s="109"/>
      <c r="H38" s="109"/>
      <c r="I38" s="109"/>
      <c r="J38" s="109"/>
      <c r="K38" s="109"/>
      <c r="L38" s="109"/>
      <c r="M38" s="109">
        <f t="shared" si="1"/>
        <v>11</v>
      </c>
      <c r="N38" s="109"/>
      <c r="O38" s="109"/>
      <c r="P38" s="109"/>
      <c r="Q38" s="109"/>
      <c r="R38" s="109"/>
      <c r="S38" s="109"/>
      <c r="T38" s="109"/>
      <c r="U38" s="109"/>
      <c r="V38" s="109"/>
      <c r="W38" s="109"/>
      <c r="X38" s="109"/>
      <c r="Y38" s="109"/>
      <c r="Z38" s="109"/>
    </row>
    <row r="39" ht="15.75" customHeight="1">
      <c r="A39" s="407">
        <v>45973.0</v>
      </c>
      <c r="B39" s="109"/>
      <c r="C39" s="109"/>
      <c r="D39" s="109"/>
      <c r="E39" s="109"/>
      <c r="F39" s="109"/>
      <c r="G39" s="109"/>
      <c r="H39" s="109"/>
      <c r="I39" s="109"/>
      <c r="J39" s="109"/>
      <c r="K39" s="109"/>
      <c r="L39" s="109"/>
      <c r="M39" s="109">
        <f t="shared" si="1"/>
        <v>11</v>
      </c>
      <c r="N39" s="109"/>
      <c r="O39" s="109"/>
      <c r="P39" s="109"/>
      <c r="Q39" s="109"/>
      <c r="R39" s="109"/>
      <c r="S39" s="109"/>
      <c r="T39" s="109"/>
      <c r="U39" s="109"/>
      <c r="V39" s="109"/>
      <c r="W39" s="109"/>
      <c r="X39" s="109"/>
      <c r="Y39" s="109"/>
      <c r="Z39" s="109"/>
    </row>
    <row r="40" ht="15.75" customHeight="1">
      <c r="A40" s="407">
        <v>45974.0</v>
      </c>
      <c r="B40" s="109"/>
      <c r="C40" s="109"/>
      <c r="D40" s="109"/>
      <c r="E40" s="109"/>
      <c r="F40" s="109"/>
      <c r="G40" s="109"/>
      <c r="H40" s="109"/>
      <c r="I40" s="109"/>
      <c r="J40" s="109"/>
      <c r="K40" s="109"/>
      <c r="L40" s="109"/>
      <c r="M40" s="109">
        <f t="shared" si="1"/>
        <v>11</v>
      </c>
      <c r="N40" s="109"/>
      <c r="O40" s="109"/>
      <c r="P40" s="109"/>
      <c r="Q40" s="109"/>
      <c r="R40" s="109"/>
      <c r="S40" s="109"/>
      <c r="T40" s="109"/>
      <c r="U40" s="109"/>
      <c r="V40" s="109"/>
      <c r="W40" s="109"/>
      <c r="X40" s="109"/>
      <c r="Y40" s="109"/>
      <c r="Z40" s="109"/>
    </row>
    <row r="41" ht="15.75" customHeight="1">
      <c r="A41" s="407">
        <v>45975.0</v>
      </c>
      <c r="B41" s="109"/>
      <c r="C41" s="109"/>
      <c r="D41" s="109"/>
      <c r="E41" s="109"/>
      <c r="F41" s="109"/>
      <c r="G41" s="109"/>
      <c r="H41" s="109"/>
      <c r="I41" s="109"/>
      <c r="J41" s="109"/>
      <c r="K41" s="109"/>
      <c r="L41" s="109"/>
      <c r="M41" s="109">
        <f t="shared" si="1"/>
        <v>11</v>
      </c>
      <c r="N41" s="109"/>
      <c r="O41" s="109"/>
      <c r="P41" s="109"/>
      <c r="Q41" s="109"/>
      <c r="R41" s="109"/>
      <c r="S41" s="109"/>
      <c r="T41" s="109"/>
      <c r="U41" s="109"/>
      <c r="V41" s="109"/>
      <c r="W41" s="109"/>
      <c r="X41" s="109"/>
      <c r="Y41" s="109"/>
      <c r="Z41" s="109"/>
    </row>
    <row r="42" ht="15.75" customHeight="1">
      <c r="A42" s="407">
        <v>45976.0</v>
      </c>
      <c r="B42" s="109"/>
      <c r="C42" s="109"/>
      <c r="D42" s="109"/>
      <c r="E42" s="109"/>
      <c r="F42" s="109"/>
      <c r="G42" s="109"/>
      <c r="H42" s="109"/>
      <c r="I42" s="109"/>
      <c r="J42" s="109"/>
      <c r="K42" s="109"/>
      <c r="L42" s="109"/>
      <c r="M42" s="109">
        <f t="shared" si="1"/>
        <v>11</v>
      </c>
      <c r="N42" s="109"/>
      <c r="O42" s="109"/>
      <c r="P42" s="109"/>
      <c r="Q42" s="109"/>
      <c r="R42" s="109"/>
      <c r="S42" s="109"/>
      <c r="T42" s="109"/>
      <c r="U42" s="109"/>
      <c r="V42" s="109"/>
      <c r="W42" s="109"/>
      <c r="X42" s="109"/>
      <c r="Y42" s="109"/>
      <c r="Z42" s="109"/>
    </row>
    <row r="43" ht="15.75" customHeight="1">
      <c r="A43" s="407">
        <v>45977.0</v>
      </c>
      <c r="B43" s="109"/>
      <c r="C43" s="109"/>
      <c r="D43" s="109"/>
      <c r="E43" s="109"/>
      <c r="F43" s="109"/>
      <c r="G43" s="109"/>
      <c r="H43" s="109"/>
      <c r="I43" s="109"/>
      <c r="J43" s="109"/>
      <c r="K43" s="109"/>
      <c r="L43" s="109"/>
      <c r="M43" s="109">
        <f t="shared" si="1"/>
        <v>11</v>
      </c>
      <c r="N43" s="109"/>
      <c r="O43" s="109"/>
      <c r="P43" s="109"/>
      <c r="Q43" s="109"/>
      <c r="R43" s="109"/>
      <c r="S43" s="109"/>
      <c r="T43" s="109"/>
      <c r="U43" s="109"/>
      <c r="V43" s="109"/>
      <c r="W43" s="109"/>
      <c r="X43" s="109"/>
      <c r="Y43" s="109"/>
      <c r="Z43" s="109"/>
    </row>
    <row r="44" ht="15.75" customHeight="1">
      <c r="A44" s="407">
        <v>45978.0</v>
      </c>
      <c r="B44" s="109"/>
      <c r="C44" s="109"/>
      <c r="D44" s="109"/>
      <c r="E44" s="109"/>
      <c r="F44" s="109"/>
      <c r="G44" s="109"/>
      <c r="H44" s="109"/>
      <c r="I44" s="109"/>
      <c r="J44" s="109"/>
      <c r="K44" s="109"/>
      <c r="L44" s="109"/>
      <c r="M44" s="109">
        <f t="shared" si="1"/>
        <v>11</v>
      </c>
      <c r="N44" s="109"/>
      <c r="O44" s="109"/>
      <c r="P44" s="109"/>
      <c r="Q44" s="109"/>
      <c r="R44" s="109"/>
      <c r="S44" s="109"/>
      <c r="T44" s="109"/>
      <c r="U44" s="109"/>
      <c r="V44" s="109"/>
      <c r="W44" s="109"/>
      <c r="X44" s="109"/>
      <c r="Y44" s="109"/>
      <c r="Z44" s="109"/>
    </row>
    <row r="45" ht="15.75" customHeight="1">
      <c r="A45" s="407">
        <v>45979.0</v>
      </c>
      <c r="B45" s="109"/>
      <c r="C45" s="109"/>
      <c r="D45" s="109"/>
      <c r="E45" s="109"/>
      <c r="F45" s="109"/>
      <c r="G45" s="109"/>
      <c r="H45" s="109"/>
      <c r="I45" s="109"/>
      <c r="J45" s="109"/>
      <c r="K45" s="109"/>
      <c r="L45" s="109"/>
      <c r="M45" s="109">
        <f t="shared" si="1"/>
        <v>11</v>
      </c>
      <c r="N45" s="109"/>
      <c r="O45" s="109"/>
      <c r="P45" s="109"/>
      <c r="Q45" s="109"/>
      <c r="R45" s="109"/>
      <c r="S45" s="109"/>
      <c r="T45" s="109"/>
      <c r="U45" s="109"/>
      <c r="V45" s="109"/>
      <c r="W45" s="109"/>
      <c r="X45" s="109"/>
      <c r="Y45" s="109"/>
      <c r="Z45" s="109"/>
    </row>
    <row r="46" ht="15.75" customHeight="1">
      <c r="A46" s="407">
        <v>45980.0</v>
      </c>
      <c r="B46" s="109">
        <v>1.0</v>
      </c>
      <c r="C46" s="109">
        <v>2274000.0</v>
      </c>
      <c r="D46" s="109"/>
      <c r="E46" s="109"/>
      <c r="F46" s="109"/>
      <c r="G46" s="109"/>
      <c r="H46" s="109"/>
      <c r="I46" s="109"/>
      <c r="J46" s="109"/>
      <c r="K46" s="109"/>
      <c r="L46" s="109" t="s">
        <v>1112</v>
      </c>
      <c r="M46" s="109">
        <f t="shared" si="1"/>
        <v>11</v>
      </c>
      <c r="N46" s="109"/>
      <c r="O46" s="109"/>
      <c r="P46" s="109"/>
      <c r="Q46" s="109"/>
      <c r="R46" s="109"/>
      <c r="S46" s="109"/>
      <c r="T46" s="109"/>
      <c r="U46" s="109"/>
      <c r="V46" s="109"/>
      <c r="W46" s="109"/>
      <c r="X46" s="109"/>
      <c r="Y46" s="109"/>
      <c r="Z46" s="109"/>
    </row>
    <row r="47" ht="15.75" customHeight="1">
      <c r="A47" s="407">
        <v>45981.0</v>
      </c>
      <c r="B47" s="109"/>
      <c r="C47" s="109"/>
      <c r="D47" s="109"/>
      <c r="E47" s="109"/>
      <c r="F47" s="109"/>
      <c r="G47" s="109"/>
      <c r="H47" s="109"/>
      <c r="I47" s="109"/>
      <c r="J47" s="109"/>
      <c r="K47" s="109"/>
      <c r="L47" s="109"/>
      <c r="M47" s="109">
        <f t="shared" si="1"/>
        <v>11</v>
      </c>
      <c r="N47" s="109"/>
      <c r="O47" s="109"/>
      <c r="P47" s="109"/>
      <c r="Q47" s="109"/>
      <c r="R47" s="109"/>
      <c r="S47" s="109"/>
      <c r="T47" s="109"/>
      <c r="U47" s="109"/>
      <c r="V47" s="109"/>
      <c r="W47" s="109"/>
      <c r="X47" s="109"/>
      <c r="Y47" s="109"/>
      <c r="Z47" s="109"/>
    </row>
    <row r="48" ht="15.75" customHeight="1">
      <c r="A48" s="407">
        <v>45982.0</v>
      </c>
      <c r="B48" s="109"/>
      <c r="C48" s="109"/>
      <c r="D48" s="109"/>
      <c r="E48" s="109"/>
      <c r="F48" s="109"/>
      <c r="G48" s="109"/>
      <c r="H48" s="109"/>
      <c r="I48" s="109"/>
      <c r="J48" s="109"/>
      <c r="K48" s="109"/>
      <c r="L48" s="109"/>
      <c r="M48" s="109">
        <f t="shared" si="1"/>
        <v>11</v>
      </c>
      <c r="N48" s="109"/>
      <c r="O48" s="109"/>
      <c r="P48" s="109"/>
      <c r="Q48" s="109"/>
      <c r="R48" s="109"/>
      <c r="S48" s="109"/>
      <c r="T48" s="109"/>
      <c r="U48" s="109"/>
      <c r="V48" s="109"/>
      <c r="W48" s="109"/>
      <c r="X48" s="109"/>
      <c r="Y48" s="109"/>
      <c r="Z48" s="109"/>
    </row>
    <row r="49" ht="15.75" customHeight="1">
      <c r="A49" s="407">
        <v>45983.0</v>
      </c>
      <c r="B49" s="109"/>
      <c r="C49" s="109"/>
      <c r="D49" s="109"/>
      <c r="E49" s="109"/>
      <c r="F49" s="109"/>
      <c r="G49" s="109"/>
      <c r="H49" s="109"/>
      <c r="I49" s="109"/>
      <c r="J49" s="109"/>
      <c r="K49" s="109"/>
      <c r="L49" s="109"/>
      <c r="M49" s="109">
        <f t="shared" si="1"/>
        <v>11</v>
      </c>
      <c r="N49" s="109"/>
      <c r="O49" s="109"/>
      <c r="P49" s="109"/>
      <c r="Q49" s="109"/>
      <c r="R49" s="109"/>
      <c r="S49" s="109"/>
      <c r="T49" s="109"/>
      <c r="U49" s="109"/>
      <c r="V49" s="109"/>
      <c r="W49" s="109"/>
      <c r="X49" s="109"/>
      <c r="Y49" s="109"/>
      <c r="Z49" s="109"/>
    </row>
    <row r="50" ht="15.75" customHeight="1">
      <c r="A50" s="407">
        <v>45984.0</v>
      </c>
      <c r="B50" s="109"/>
      <c r="C50" s="109"/>
      <c r="D50" s="109"/>
      <c r="E50" s="109"/>
      <c r="F50" s="109"/>
      <c r="G50" s="109"/>
      <c r="H50" s="109"/>
      <c r="I50" s="109"/>
      <c r="J50" s="109"/>
      <c r="K50" s="109"/>
      <c r="L50" s="109"/>
      <c r="M50" s="109">
        <f t="shared" si="1"/>
        <v>11</v>
      </c>
      <c r="N50" s="109"/>
      <c r="O50" s="109"/>
      <c r="P50" s="109"/>
      <c r="Q50" s="109"/>
      <c r="R50" s="109"/>
      <c r="S50" s="109"/>
      <c r="T50" s="109"/>
      <c r="U50" s="109"/>
      <c r="V50" s="109"/>
      <c r="W50" s="109"/>
      <c r="X50" s="109"/>
      <c r="Y50" s="109"/>
      <c r="Z50" s="109"/>
    </row>
    <row r="51" ht="15.75" customHeight="1">
      <c r="A51" s="407">
        <v>45985.0</v>
      </c>
      <c r="B51" s="109"/>
      <c r="C51" s="109"/>
      <c r="D51" s="109"/>
      <c r="E51" s="109"/>
      <c r="F51" s="109"/>
      <c r="G51" s="109"/>
      <c r="H51" s="109"/>
      <c r="I51" s="109"/>
      <c r="J51" s="109"/>
      <c r="K51" s="109"/>
      <c r="L51" s="109"/>
      <c r="M51" s="109">
        <f t="shared" si="1"/>
        <v>11</v>
      </c>
      <c r="N51" s="109"/>
      <c r="O51" s="109"/>
      <c r="P51" s="109"/>
      <c r="Q51" s="109"/>
      <c r="R51" s="109"/>
      <c r="S51" s="109"/>
      <c r="T51" s="109"/>
      <c r="U51" s="109"/>
      <c r="V51" s="109"/>
      <c r="W51" s="109"/>
      <c r="X51" s="109"/>
      <c r="Y51" s="109"/>
      <c r="Z51" s="109"/>
    </row>
    <row r="52" ht="15.75" customHeight="1">
      <c r="A52" s="407">
        <v>45986.0</v>
      </c>
      <c r="B52" s="109"/>
      <c r="C52" s="109"/>
      <c r="D52" s="109"/>
      <c r="E52" s="109"/>
      <c r="F52" s="109"/>
      <c r="G52" s="109"/>
      <c r="H52" s="109"/>
      <c r="I52" s="109"/>
      <c r="J52" s="109"/>
      <c r="K52" s="109"/>
      <c r="L52" s="109"/>
      <c r="M52" s="109">
        <f t="shared" si="1"/>
        <v>11</v>
      </c>
      <c r="N52" s="109"/>
      <c r="O52" s="109"/>
      <c r="P52" s="109"/>
      <c r="Q52" s="109"/>
      <c r="R52" s="109"/>
      <c r="S52" s="109"/>
      <c r="T52" s="109"/>
      <c r="U52" s="109"/>
      <c r="V52" s="109"/>
      <c r="W52" s="109"/>
      <c r="X52" s="109"/>
      <c r="Y52" s="109"/>
      <c r="Z52" s="109"/>
    </row>
    <row r="53" ht="15.75" customHeight="1">
      <c r="A53" s="407">
        <v>45987.0</v>
      </c>
      <c r="B53" s="109"/>
      <c r="C53" s="109"/>
      <c r="D53" s="109"/>
      <c r="E53" s="109"/>
      <c r="F53" s="109"/>
      <c r="G53" s="109"/>
      <c r="H53" s="109"/>
      <c r="I53" s="109"/>
      <c r="J53" s="109"/>
      <c r="K53" s="109"/>
      <c r="L53" s="109"/>
      <c r="M53" s="109">
        <f t="shared" si="1"/>
        <v>11</v>
      </c>
      <c r="N53" s="109"/>
      <c r="O53" s="109"/>
      <c r="P53" s="109"/>
      <c r="Q53" s="109"/>
      <c r="R53" s="109"/>
      <c r="S53" s="109"/>
      <c r="T53" s="109"/>
      <c r="U53" s="109"/>
      <c r="V53" s="109"/>
      <c r="W53" s="109"/>
      <c r="X53" s="109"/>
      <c r="Y53" s="109"/>
      <c r="Z53" s="109"/>
    </row>
    <row r="54" ht="15.75" customHeight="1">
      <c r="A54" s="407">
        <v>45988.0</v>
      </c>
      <c r="B54" s="109"/>
      <c r="C54" s="109"/>
      <c r="D54" s="109"/>
      <c r="E54" s="109"/>
      <c r="F54" s="109"/>
      <c r="G54" s="109"/>
      <c r="H54" s="109"/>
      <c r="I54" s="109"/>
      <c r="J54" s="109"/>
      <c r="K54" s="109"/>
      <c r="L54" s="109"/>
      <c r="M54" s="109">
        <f t="shared" si="1"/>
        <v>11</v>
      </c>
      <c r="N54" s="109"/>
      <c r="O54" s="109"/>
      <c r="P54" s="109"/>
      <c r="Q54" s="109"/>
      <c r="R54" s="109"/>
      <c r="S54" s="109"/>
      <c r="T54" s="109"/>
      <c r="U54" s="109"/>
      <c r="V54" s="109"/>
      <c r="W54" s="109"/>
      <c r="X54" s="109"/>
      <c r="Y54" s="109"/>
      <c r="Z54" s="109"/>
    </row>
    <row r="55" ht="15.75" customHeight="1">
      <c r="A55" s="407">
        <v>45989.0</v>
      </c>
      <c r="B55" s="109"/>
      <c r="C55" s="109"/>
      <c r="D55" s="109"/>
      <c r="E55" s="109"/>
      <c r="F55" s="109"/>
      <c r="G55" s="109"/>
      <c r="H55" s="109"/>
      <c r="I55" s="109"/>
      <c r="J55" s="109"/>
      <c r="K55" s="109"/>
      <c r="L55" s="109"/>
      <c r="M55" s="109">
        <f t="shared" si="1"/>
        <v>11</v>
      </c>
      <c r="N55" s="109"/>
      <c r="O55" s="109"/>
      <c r="P55" s="109"/>
      <c r="Q55" s="109"/>
      <c r="R55" s="109"/>
      <c r="S55" s="109"/>
      <c r="T55" s="109"/>
      <c r="U55" s="109"/>
      <c r="V55" s="109"/>
      <c r="W55" s="109"/>
      <c r="X55" s="109"/>
      <c r="Y55" s="109"/>
      <c r="Z55" s="109"/>
    </row>
    <row r="56" ht="15.75" customHeight="1">
      <c r="A56" s="407">
        <v>45990.0</v>
      </c>
      <c r="B56" s="109"/>
      <c r="C56" s="109"/>
      <c r="D56" s="109"/>
      <c r="E56" s="109"/>
      <c r="F56" s="109"/>
      <c r="G56" s="109"/>
      <c r="H56" s="109"/>
      <c r="I56" s="109"/>
      <c r="J56" s="109"/>
      <c r="K56" s="109"/>
      <c r="L56" s="109"/>
      <c r="M56" s="109">
        <f t="shared" si="1"/>
        <v>11</v>
      </c>
      <c r="N56" s="109"/>
      <c r="O56" s="109"/>
      <c r="P56" s="109"/>
      <c r="Q56" s="109"/>
      <c r="R56" s="109"/>
      <c r="S56" s="109"/>
      <c r="T56" s="109"/>
      <c r="U56" s="109"/>
      <c r="V56" s="109"/>
      <c r="W56" s="109"/>
      <c r="X56" s="109"/>
      <c r="Y56" s="109"/>
      <c r="Z56" s="109"/>
    </row>
    <row r="57" ht="15.75" customHeight="1">
      <c r="A57" s="407">
        <v>45991.0</v>
      </c>
      <c r="B57" s="109"/>
      <c r="C57" s="109"/>
      <c r="D57" s="109"/>
      <c r="E57" s="109"/>
      <c r="F57" s="109"/>
      <c r="G57" s="109"/>
      <c r="H57" s="109"/>
      <c r="I57" s="109"/>
      <c r="J57" s="109"/>
      <c r="K57" s="109"/>
      <c r="L57" s="109"/>
      <c r="M57" s="109">
        <f t="shared" si="1"/>
        <v>11</v>
      </c>
      <c r="N57" s="109"/>
      <c r="O57" s="109"/>
      <c r="P57" s="109"/>
      <c r="Q57" s="109"/>
      <c r="R57" s="109"/>
      <c r="S57" s="109"/>
      <c r="T57" s="109"/>
      <c r="U57" s="109"/>
      <c r="V57" s="109"/>
      <c r="W57" s="109"/>
      <c r="X57" s="109"/>
      <c r="Y57" s="109"/>
      <c r="Z57" s="109"/>
    </row>
    <row r="58" ht="15.75" customHeight="1">
      <c r="A58" s="407">
        <v>45992.0</v>
      </c>
      <c r="B58" s="109"/>
      <c r="C58" s="109"/>
      <c r="D58" s="109"/>
      <c r="E58" s="109"/>
      <c r="F58" s="109"/>
      <c r="G58" s="109"/>
      <c r="H58" s="109"/>
      <c r="I58" s="109"/>
      <c r="J58" s="109"/>
      <c r="K58" s="109"/>
      <c r="L58" s="109"/>
      <c r="M58" s="109">
        <f t="shared" si="1"/>
        <v>12</v>
      </c>
      <c r="N58" s="109"/>
      <c r="O58" s="109"/>
      <c r="P58" s="109"/>
      <c r="Q58" s="109"/>
      <c r="R58" s="109"/>
      <c r="S58" s="109"/>
      <c r="T58" s="109"/>
      <c r="U58" s="109"/>
      <c r="V58" s="109"/>
      <c r="W58" s="109"/>
      <c r="X58" s="109"/>
      <c r="Y58" s="109"/>
      <c r="Z58" s="109"/>
    </row>
    <row r="59" ht="15.75" customHeight="1">
      <c r="A59" s="407">
        <v>45993.0</v>
      </c>
      <c r="B59" s="109"/>
      <c r="C59" s="109"/>
      <c r="D59" s="109"/>
      <c r="E59" s="109"/>
      <c r="F59" s="109"/>
      <c r="G59" s="109"/>
      <c r="H59" s="109"/>
      <c r="I59" s="109"/>
      <c r="J59" s="109"/>
      <c r="K59" s="109"/>
      <c r="L59" s="109"/>
      <c r="M59" s="109">
        <f t="shared" si="1"/>
        <v>12</v>
      </c>
      <c r="N59" s="109"/>
      <c r="O59" s="109"/>
      <c r="P59" s="109"/>
      <c r="Q59" s="109"/>
      <c r="R59" s="109"/>
      <c r="S59" s="109"/>
      <c r="T59" s="109"/>
      <c r="U59" s="109"/>
      <c r="V59" s="109"/>
      <c r="W59" s="109"/>
      <c r="X59" s="109"/>
      <c r="Y59" s="109"/>
      <c r="Z59" s="109"/>
    </row>
    <row r="60" ht="15.75" customHeight="1">
      <c r="A60" s="407">
        <v>45994.0</v>
      </c>
      <c r="B60" s="109"/>
      <c r="C60" s="109"/>
      <c r="D60" s="109"/>
      <c r="E60" s="109"/>
      <c r="F60" s="109"/>
      <c r="G60" s="109"/>
      <c r="H60" s="109"/>
      <c r="I60" s="109"/>
      <c r="J60" s="109"/>
      <c r="K60" s="109"/>
      <c r="L60" s="109"/>
      <c r="M60" s="109">
        <f t="shared" si="1"/>
        <v>12</v>
      </c>
      <c r="N60" s="109"/>
      <c r="O60" s="109"/>
      <c r="P60" s="109"/>
      <c r="Q60" s="109"/>
      <c r="R60" s="109"/>
      <c r="S60" s="109"/>
      <c r="T60" s="109"/>
      <c r="U60" s="109"/>
      <c r="V60" s="109"/>
      <c r="W60" s="109"/>
      <c r="X60" s="109"/>
      <c r="Y60" s="109"/>
      <c r="Z60" s="109"/>
    </row>
    <row r="61" ht="15.75" customHeight="1">
      <c r="A61" s="407">
        <v>45995.0</v>
      </c>
      <c r="B61" s="109"/>
      <c r="C61" s="109"/>
      <c r="D61" s="109"/>
      <c r="E61" s="109"/>
      <c r="F61" s="109"/>
      <c r="G61" s="109"/>
      <c r="H61" s="109"/>
      <c r="I61" s="109"/>
      <c r="J61" s="109"/>
      <c r="K61" s="109"/>
      <c r="L61" s="109"/>
      <c r="M61" s="109">
        <f t="shared" si="1"/>
        <v>12</v>
      </c>
      <c r="N61" s="109"/>
      <c r="O61" s="109"/>
      <c r="P61" s="109"/>
      <c r="Q61" s="109"/>
      <c r="R61" s="109"/>
      <c r="S61" s="109"/>
      <c r="T61" s="109"/>
      <c r="U61" s="109"/>
      <c r="V61" s="109"/>
      <c r="W61" s="109"/>
      <c r="X61" s="109"/>
      <c r="Y61" s="109"/>
      <c r="Z61" s="109"/>
    </row>
    <row r="62" ht="15.75" customHeight="1">
      <c r="A62" s="407">
        <v>45996.0</v>
      </c>
      <c r="B62" s="109"/>
      <c r="C62" s="109"/>
      <c r="D62" s="109"/>
      <c r="E62" s="109"/>
      <c r="F62" s="109"/>
      <c r="G62" s="109"/>
      <c r="H62" s="109"/>
      <c r="I62" s="109"/>
      <c r="J62" s="109"/>
      <c r="K62" s="109"/>
      <c r="L62" s="109"/>
      <c r="M62" s="109">
        <f t="shared" si="1"/>
        <v>12</v>
      </c>
      <c r="N62" s="109"/>
      <c r="O62" s="109"/>
      <c r="P62" s="109"/>
      <c r="Q62" s="109"/>
      <c r="R62" s="109"/>
      <c r="S62" s="109"/>
      <c r="T62" s="109"/>
      <c r="U62" s="109"/>
      <c r="V62" s="109"/>
      <c r="W62" s="109"/>
      <c r="X62" s="109"/>
      <c r="Y62" s="109"/>
      <c r="Z62" s="109"/>
    </row>
    <row r="63" ht="15.75" customHeight="1">
      <c r="A63" s="407">
        <v>45997.0</v>
      </c>
      <c r="B63" s="109"/>
      <c r="C63" s="109"/>
      <c r="D63" s="109"/>
      <c r="E63" s="109"/>
      <c r="F63" s="109"/>
      <c r="G63" s="109"/>
      <c r="H63" s="109"/>
      <c r="I63" s="109"/>
      <c r="J63" s="109"/>
      <c r="K63" s="109"/>
      <c r="L63" s="109"/>
      <c r="M63" s="109">
        <f t="shared" si="1"/>
        <v>12</v>
      </c>
      <c r="N63" s="109"/>
      <c r="O63" s="109"/>
      <c r="P63" s="109"/>
      <c r="Q63" s="109"/>
      <c r="R63" s="109"/>
      <c r="S63" s="109"/>
      <c r="T63" s="109"/>
      <c r="U63" s="109"/>
      <c r="V63" s="109"/>
      <c r="W63" s="109"/>
      <c r="X63" s="109"/>
      <c r="Y63" s="109"/>
      <c r="Z63" s="109"/>
    </row>
    <row r="64" ht="15.75" customHeight="1">
      <c r="A64" s="407">
        <v>45998.0</v>
      </c>
      <c r="B64" s="109"/>
      <c r="C64" s="109"/>
      <c r="D64" s="109"/>
      <c r="E64" s="109"/>
      <c r="F64" s="109"/>
      <c r="G64" s="109"/>
      <c r="H64" s="109"/>
      <c r="I64" s="109"/>
      <c r="J64" s="109"/>
      <c r="K64" s="109"/>
      <c r="L64" s="109"/>
      <c r="M64" s="109">
        <f t="shared" si="1"/>
        <v>12</v>
      </c>
      <c r="N64" s="109"/>
      <c r="O64" s="109"/>
      <c r="P64" s="109"/>
      <c r="Q64" s="109"/>
      <c r="R64" s="109"/>
      <c r="S64" s="109"/>
      <c r="T64" s="109"/>
      <c r="U64" s="109"/>
      <c r="V64" s="109"/>
      <c r="W64" s="109"/>
      <c r="X64" s="109"/>
      <c r="Y64" s="109"/>
      <c r="Z64" s="109"/>
    </row>
    <row r="65" ht="15.75" customHeight="1">
      <c r="A65" s="407">
        <v>45999.0</v>
      </c>
      <c r="B65" s="109"/>
      <c r="C65" s="109"/>
      <c r="D65" s="109"/>
      <c r="E65" s="109"/>
      <c r="F65" s="109"/>
      <c r="G65" s="109"/>
      <c r="H65" s="109"/>
      <c r="I65" s="109"/>
      <c r="J65" s="109"/>
      <c r="K65" s="109"/>
      <c r="L65" s="109"/>
      <c r="M65" s="109">
        <f t="shared" si="1"/>
        <v>12</v>
      </c>
      <c r="N65" s="109"/>
      <c r="O65" s="109"/>
      <c r="P65" s="109"/>
      <c r="Q65" s="109"/>
      <c r="R65" s="109"/>
      <c r="S65" s="109"/>
      <c r="T65" s="109"/>
      <c r="U65" s="109"/>
      <c r="V65" s="109"/>
      <c r="W65" s="109"/>
      <c r="X65" s="109"/>
      <c r="Y65" s="109"/>
      <c r="Z65" s="109"/>
    </row>
    <row r="66" ht="15.75" customHeight="1">
      <c r="A66" s="407">
        <v>46000.0</v>
      </c>
      <c r="B66" s="109"/>
      <c r="C66" s="109"/>
      <c r="D66" s="109"/>
      <c r="E66" s="109"/>
      <c r="F66" s="109"/>
      <c r="G66" s="109"/>
      <c r="H66" s="109"/>
      <c r="I66" s="109"/>
      <c r="J66" s="109"/>
      <c r="K66" s="109"/>
      <c r="L66" s="109"/>
      <c r="M66" s="109">
        <f t="shared" si="1"/>
        <v>12</v>
      </c>
      <c r="N66" s="109"/>
      <c r="O66" s="109"/>
      <c r="P66" s="109"/>
      <c r="Q66" s="109"/>
      <c r="R66" s="109"/>
      <c r="S66" s="109"/>
      <c r="T66" s="109"/>
      <c r="U66" s="109"/>
      <c r="V66" s="109"/>
      <c r="W66" s="109"/>
      <c r="X66" s="109"/>
      <c r="Y66" s="109"/>
      <c r="Z66" s="109"/>
    </row>
    <row r="67" ht="15.75" customHeight="1">
      <c r="A67" s="407">
        <v>46001.0</v>
      </c>
      <c r="B67" s="109">
        <v>3.0</v>
      </c>
      <c r="C67" s="109">
        <f>650000+1354889+1023388</f>
        <v>3028277</v>
      </c>
      <c r="D67" s="109"/>
      <c r="E67" s="109"/>
      <c r="F67" s="109"/>
      <c r="G67" s="109"/>
      <c r="H67" s="109"/>
      <c r="I67" s="109"/>
      <c r="J67" s="109"/>
      <c r="K67" s="109"/>
      <c r="L67" s="109"/>
      <c r="M67" s="109">
        <f t="shared" si="1"/>
        <v>12</v>
      </c>
      <c r="N67" s="109"/>
      <c r="O67" s="109"/>
      <c r="P67" s="109"/>
      <c r="Q67" s="109"/>
      <c r="R67" s="109"/>
      <c r="S67" s="109"/>
      <c r="T67" s="109"/>
      <c r="U67" s="109"/>
      <c r="V67" s="109"/>
      <c r="W67" s="109"/>
      <c r="X67" s="109"/>
      <c r="Y67" s="109"/>
      <c r="Z67" s="109"/>
    </row>
    <row r="68" ht="15.75" customHeight="1">
      <c r="A68" s="407">
        <v>46002.0</v>
      </c>
      <c r="B68" s="109"/>
      <c r="C68" s="109"/>
      <c r="D68" s="109"/>
      <c r="E68" s="109"/>
      <c r="F68" s="109"/>
      <c r="G68" s="109"/>
      <c r="H68" s="109"/>
      <c r="I68" s="109"/>
      <c r="J68" s="109"/>
      <c r="K68" s="109"/>
      <c r="L68" s="109"/>
      <c r="M68" s="109">
        <f t="shared" si="1"/>
        <v>12</v>
      </c>
      <c r="N68" s="109"/>
      <c r="O68" s="109"/>
      <c r="P68" s="109"/>
      <c r="Q68" s="109"/>
      <c r="R68" s="109"/>
      <c r="S68" s="109"/>
      <c r="T68" s="109"/>
      <c r="U68" s="109"/>
      <c r="V68" s="109"/>
      <c r="W68" s="109"/>
      <c r="X68" s="109"/>
      <c r="Y68" s="109"/>
      <c r="Z68" s="109"/>
    </row>
    <row r="69" ht="15.75" customHeight="1">
      <c r="A69" s="407">
        <v>46003.0</v>
      </c>
      <c r="B69" s="109"/>
      <c r="C69" s="109"/>
      <c r="D69" s="109"/>
      <c r="E69" s="109"/>
      <c r="F69" s="109"/>
      <c r="G69" s="109"/>
      <c r="H69" s="109"/>
      <c r="I69" s="109"/>
      <c r="J69" s="109"/>
      <c r="K69" s="109"/>
      <c r="L69" s="109"/>
      <c r="M69" s="109">
        <f t="shared" si="1"/>
        <v>12</v>
      </c>
      <c r="N69" s="109"/>
      <c r="O69" s="109"/>
      <c r="P69" s="109"/>
      <c r="Q69" s="109"/>
      <c r="R69" s="109"/>
      <c r="S69" s="109"/>
      <c r="T69" s="109"/>
      <c r="U69" s="109"/>
      <c r="V69" s="109"/>
      <c r="W69" s="109"/>
      <c r="X69" s="109"/>
      <c r="Y69" s="109"/>
      <c r="Z69" s="109"/>
    </row>
    <row r="70" ht="15.75" customHeight="1">
      <c r="A70" s="407">
        <v>46004.0</v>
      </c>
      <c r="B70" s="109">
        <v>1.0</v>
      </c>
      <c r="C70" s="109">
        <v>857500.0</v>
      </c>
      <c r="D70" s="109"/>
      <c r="E70" s="109"/>
      <c r="F70" s="109"/>
      <c r="G70" s="109"/>
      <c r="H70" s="109"/>
      <c r="I70" s="109"/>
      <c r="J70" s="109"/>
      <c r="K70" s="109"/>
      <c r="L70" s="109"/>
      <c r="M70" s="109">
        <f t="shared" si="1"/>
        <v>12</v>
      </c>
      <c r="N70" s="109"/>
      <c r="O70" s="109"/>
      <c r="P70" s="109"/>
      <c r="Q70" s="109"/>
      <c r="R70" s="109"/>
      <c r="S70" s="109"/>
      <c r="T70" s="109"/>
      <c r="U70" s="109"/>
      <c r="V70" s="109"/>
      <c r="W70" s="109"/>
      <c r="X70" s="109"/>
      <c r="Y70" s="109"/>
      <c r="Z70" s="109"/>
    </row>
    <row r="71" ht="15.75" customHeight="1">
      <c r="A71" s="407">
        <v>46005.0</v>
      </c>
      <c r="B71" s="109"/>
      <c r="C71" s="109"/>
      <c r="D71" s="109"/>
      <c r="E71" s="109"/>
      <c r="F71" s="109"/>
      <c r="G71" s="109"/>
      <c r="H71" s="109"/>
      <c r="I71" s="109"/>
      <c r="J71" s="109"/>
      <c r="K71" s="109"/>
      <c r="L71" s="109"/>
      <c r="M71" s="109">
        <f t="shared" si="1"/>
        <v>12</v>
      </c>
      <c r="N71" s="109"/>
      <c r="O71" s="109"/>
      <c r="P71" s="109"/>
      <c r="Q71" s="109"/>
      <c r="R71" s="109"/>
      <c r="S71" s="109"/>
      <c r="T71" s="109"/>
      <c r="U71" s="109"/>
      <c r="V71" s="109"/>
      <c r="W71" s="109"/>
      <c r="X71" s="109"/>
      <c r="Y71" s="109"/>
      <c r="Z71" s="109"/>
    </row>
    <row r="72" ht="15.75" customHeight="1">
      <c r="A72" s="407">
        <v>46006.0</v>
      </c>
      <c r="B72" s="109"/>
      <c r="C72" s="109"/>
      <c r="D72" s="109"/>
      <c r="E72" s="109"/>
      <c r="F72" s="109"/>
      <c r="G72" s="109"/>
      <c r="H72" s="109"/>
      <c r="I72" s="109"/>
      <c r="J72" s="109"/>
      <c r="K72" s="109"/>
      <c r="L72" s="109"/>
      <c r="M72" s="109">
        <f t="shared" si="1"/>
        <v>12</v>
      </c>
      <c r="N72" s="109"/>
      <c r="O72" s="109"/>
      <c r="P72" s="109"/>
      <c r="Q72" s="109"/>
      <c r="R72" s="109"/>
      <c r="S72" s="109"/>
      <c r="T72" s="109"/>
      <c r="U72" s="109"/>
      <c r="V72" s="109"/>
      <c r="W72" s="109"/>
      <c r="X72" s="109"/>
      <c r="Y72" s="109"/>
      <c r="Z72" s="109"/>
    </row>
    <row r="73" ht="15.75" customHeight="1">
      <c r="A73" s="407">
        <v>46007.0</v>
      </c>
      <c r="B73" s="109"/>
      <c r="C73" s="109"/>
      <c r="D73" s="109"/>
      <c r="E73" s="109"/>
      <c r="F73" s="109"/>
      <c r="G73" s="109"/>
      <c r="H73" s="109"/>
      <c r="I73" s="109"/>
      <c r="J73" s="109"/>
      <c r="K73" s="109"/>
      <c r="L73" s="109"/>
      <c r="M73" s="109">
        <f t="shared" si="1"/>
        <v>12</v>
      </c>
      <c r="N73" s="109"/>
      <c r="O73" s="109"/>
      <c r="P73" s="109"/>
      <c r="Q73" s="109"/>
      <c r="R73" s="109"/>
      <c r="S73" s="109"/>
      <c r="T73" s="109"/>
      <c r="U73" s="109"/>
      <c r="V73" s="109"/>
      <c r="W73" s="109"/>
      <c r="X73" s="109"/>
      <c r="Y73" s="109"/>
      <c r="Z73" s="109"/>
    </row>
    <row r="74" ht="15.75" customHeight="1">
      <c r="A74" s="407">
        <v>46008.0</v>
      </c>
      <c r="B74" s="109"/>
      <c r="C74" s="109"/>
      <c r="D74" s="109"/>
      <c r="E74" s="109"/>
      <c r="F74" s="109"/>
      <c r="G74" s="109"/>
      <c r="H74" s="109"/>
      <c r="I74" s="109"/>
      <c r="J74" s="109"/>
      <c r="K74" s="109"/>
      <c r="L74" s="109"/>
      <c r="M74" s="109">
        <f t="shared" si="1"/>
        <v>12</v>
      </c>
      <c r="N74" s="109"/>
      <c r="O74" s="109"/>
      <c r="P74" s="109"/>
      <c r="Q74" s="109"/>
      <c r="R74" s="109"/>
      <c r="S74" s="109"/>
      <c r="T74" s="109"/>
      <c r="U74" s="109"/>
      <c r="V74" s="109"/>
      <c r="W74" s="109"/>
      <c r="X74" s="109"/>
      <c r="Y74" s="109"/>
      <c r="Z74" s="109"/>
    </row>
    <row r="75" ht="15.75" customHeight="1">
      <c r="A75" s="407">
        <v>46009.0</v>
      </c>
      <c r="B75" s="109"/>
      <c r="C75" s="109"/>
      <c r="D75" s="109"/>
      <c r="E75" s="109"/>
      <c r="F75" s="109"/>
      <c r="G75" s="109"/>
      <c r="H75" s="109"/>
      <c r="I75" s="109"/>
      <c r="J75" s="109"/>
      <c r="K75" s="109"/>
      <c r="L75" s="109"/>
      <c r="M75" s="109">
        <f t="shared" si="1"/>
        <v>12</v>
      </c>
      <c r="N75" s="109"/>
      <c r="O75" s="109"/>
      <c r="P75" s="109"/>
      <c r="Q75" s="109"/>
      <c r="R75" s="109"/>
      <c r="S75" s="109"/>
      <c r="T75" s="109"/>
      <c r="U75" s="109"/>
      <c r="V75" s="109"/>
      <c r="W75" s="109"/>
      <c r="X75" s="109"/>
      <c r="Y75" s="109"/>
      <c r="Z75" s="109"/>
    </row>
    <row r="76" ht="15.75" customHeight="1">
      <c r="A76" s="407">
        <v>46010.0</v>
      </c>
      <c r="B76" s="109">
        <v>1.0</v>
      </c>
      <c r="C76" s="109">
        <v>3000000.0</v>
      </c>
      <c r="D76" s="109"/>
      <c r="E76" s="109"/>
      <c r="F76" s="109"/>
      <c r="G76" s="109"/>
      <c r="H76" s="109"/>
      <c r="I76" s="109"/>
      <c r="J76" s="109"/>
      <c r="K76" s="109"/>
      <c r="L76" s="109" t="s">
        <v>1113</v>
      </c>
      <c r="M76" s="109">
        <f t="shared" si="1"/>
        <v>12</v>
      </c>
      <c r="N76" s="109"/>
      <c r="O76" s="109"/>
      <c r="P76" s="109"/>
      <c r="Q76" s="109"/>
      <c r="R76" s="109"/>
      <c r="S76" s="109"/>
      <c r="T76" s="109"/>
      <c r="U76" s="109"/>
      <c r="V76" s="109"/>
      <c r="W76" s="109"/>
      <c r="X76" s="109"/>
      <c r="Y76" s="109"/>
      <c r="Z76" s="109"/>
    </row>
    <row r="77" ht="15.75" customHeight="1">
      <c r="A77" s="407">
        <v>46011.0</v>
      </c>
      <c r="B77" s="109"/>
      <c r="C77" s="109"/>
      <c r="D77" s="109"/>
      <c r="E77" s="109"/>
      <c r="F77" s="109"/>
      <c r="G77" s="109"/>
      <c r="H77" s="109"/>
      <c r="I77" s="109"/>
      <c r="J77" s="109"/>
      <c r="K77" s="109"/>
      <c r="L77" s="109"/>
      <c r="M77" s="109">
        <f t="shared" si="1"/>
        <v>12</v>
      </c>
      <c r="N77" s="109"/>
      <c r="O77" s="109"/>
      <c r="P77" s="109"/>
      <c r="Q77" s="109"/>
      <c r="R77" s="109"/>
      <c r="S77" s="109"/>
      <c r="T77" s="109"/>
      <c r="U77" s="109"/>
      <c r="V77" s="109"/>
      <c r="W77" s="109"/>
      <c r="X77" s="109"/>
      <c r="Y77" s="109"/>
      <c r="Z77" s="109"/>
    </row>
    <row r="78" ht="15.75" customHeight="1">
      <c r="A78" s="407">
        <v>46012.0</v>
      </c>
      <c r="B78" s="109"/>
      <c r="C78" s="109"/>
      <c r="D78" s="109"/>
      <c r="E78" s="109"/>
      <c r="F78" s="109"/>
      <c r="G78" s="109"/>
      <c r="H78" s="109"/>
      <c r="I78" s="109"/>
      <c r="J78" s="109"/>
      <c r="K78" s="109"/>
      <c r="L78" s="109"/>
      <c r="M78" s="109">
        <f t="shared" si="1"/>
        <v>12</v>
      </c>
      <c r="N78" s="109"/>
      <c r="O78" s="109"/>
      <c r="P78" s="109"/>
      <c r="Q78" s="109"/>
      <c r="R78" s="109"/>
      <c r="S78" s="109"/>
      <c r="T78" s="109"/>
      <c r="U78" s="109"/>
      <c r="V78" s="109"/>
      <c r="W78" s="109"/>
      <c r="X78" s="109"/>
      <c r="Y78" s="109"/>
      <c r="Z78" s="109"/>
    </row>
    <row r="79" ht="15.75" customHeight="1">
      <c r="A79" s="407">
        <v>46013.0</v>
      </c>
      <c r="B79" s="109"/>
      <c r="C79" s="109"/>
      <c r="D79" s="109"/>
      <c r="E79" s="109"/>
      <c r="F79" s="109"/>
      <c r="G79" s="109"/>
      <c r="H79" s="109"/>
      <c r="I79" s="109"/>
      <c r="J79" s="109"/>
      <c r="K79" s="109"/>
      <c r="L79" s="109"/>
      <c r="M79" s="109">
        <f t="shared" si="1"/>
        <v>12</v>
      </c>
      <c r="N79" s="109"/>
      <c r="O79" s="109"/>
      <c r="P79" s="109"/>
      <c r="Q79" s="109"/>
      <c r="R79" s="109"/>
      <c r="S79" s="109"/>
      <c r="T79" s="109"/>
      <c r="U79" s="109"/>
      <c r="V79" s="109"/>
      <c r="W79" s="109"/>
      <c r="X79" s="109"/>
      <c r="Y79" s="109"/>
      <c r="Z79" s="109"/>
    </row>
    <row r="80" ht="15.75" customHeight="1">
      <c r="A80" s="407">
        <v>46014.0</v>
      </c>
      <c r="B80" s="109"/>
      <c r="C80" s="109"/>
      <c r="D80" s="109"/>
      <c r="E80" s="109"/>
      <c r="F80" s="109"/>
      <c r="G80" s="109"/>
      <c r="H80" s="109"/>
      <c r="I80" s="109"/>
      <c r="J80" s="109"/>
      <c r="K80" s="109"/>
      <c r="L80" s="109"/>
      <c r="M80" s="109">
        <f t="shared" si="1"/>
        <v>12</v>
      </c>
      <c r="N80" s="109"/>
      <c r="O80" s="109"/>
      <c r="P80" s="109"/>
      <c r="Q80" s="109"/>
      <c r="R80" s="109"/>
      <c r="S80" s="109"/>
      <c r="T80" s="109"/>
      <c r="U80" s="109"/>
      <c r="V80" s="109"/>
      <c r="W80" s="109"/>
      <c r="X80" s="109"/>
      <c r="Y80" s="109"/>
      <c r="Z80" s="109"/>
    </row>
    <row r="81" ht="15.75" customHeight="1">
      <c r="A81" s="407">
        <v>46015.0</v>
      </c>
      <c r="B81" s="109"/>
      <c r="C81" s="109"/>
      <c r="D81" s="109"/>
      <c r="E81" s="109"/>
      <c r="F81" s="109"/>
      <c r="G81" s="109"/>
      <c r="H81" s="109"/>
      <c r="I81" s="109"/>
      <c r="J81" s="109"/>
      <c r="K81" s="109"/>
      <c r="L81" s="109"/>
      <c r="M81" s="109">
        <f t="shared" si="1"/>
        <v>12</v>
      </c>
      <c r="N81" s="109"/>
      <c r="O81" s="109"/>
      <c r="P81" s="109"/>
      <c r="Q81" s="109"/>
      <c r="R81" s="109"/>
      <c r="S81" s="109"/>
      <c r="T81" s="109"/>
      <c r="U81" s="109"/>
      <c r="V81" s="109"/>
      <c r="W81" s="109"/>
      <c r="X81" s="109"/>
      <c r="Y81" s="109"/>
      <c r="Z81" s="109"/>
    </row>
    <row r="82" ht="15.75" customHeight="1">
      <c r="A82" s="407">
        <v>46050.0</v>
      </c>
      <c r="B82" s="109">
        <v>1.0</v>
      </c>
      <c r="C82" s="109">
        <v>3000000.0</v>
      </c>
      <c r="D82" s="109"/>
      <c r="E82" s="109"/>
      <c r="F82" s="109"/>
      <c r="G82" s="109"/>
      <c r="H82" s="109"/>
      <c r="I82" s="109"/>
      <c r="J82" s="109"/>
      <c r="K82" s="109"/>
      <c r="L82" s="109" t="s">
        <v>1113</v>
      </c>
      <c r="M82" s="109">
        <f t="shared" si="1"/>
        <v>1</v>
      </c>
      <c r="N82" s="109"/>
      <c r="O82" s="109"/>
      <c r="P82" s="109"/>
      <c r="Q82" s="109"/>
      <c r="R82" s="109"/>
      <c r="S82" s="109"/>
      <c r="T82" s="109"/>
      <c r="U82" s="109"/>
      <c r="V82" s="109"/>
      <c r="W82" s="109"/>
      <c r="X82" s="109"/>
      <c r="Y82" s="109"/>
      <c r="Z82" s="109"/>
    </row>
    <row r="83" ht="15.75" customHeight="1">
      <c r="A83" s="407">
        <v>46051.0</v>
      </c>
      <c r="B83" s="109">
        <v>1.0</v>
      </c>
      <c r="C83" s="109">
        <v>945000.0</v>
      </c>
      <c r="D83" s="109"/>
      <c r="E83" s="109"/>
      <c r="F83" s="109"/>
      <c r="G83" s="109"/>
      <c r="H83" s="109"/>
      <c r="I83" s="109"/>
      <c r="J83" s="109"/>
      <c r="K83" s="109"/>
      <c r="L83" s="109" t="s">
        <v>1114</v>
      </c>
      <c r="M83" s="109">
        <v>1.0</v>
      </c>
      <c r="N83" s="109"/>
      <c r="O83" s="109"/>
      <c r="P83" s="109"/>
      <c r="Q83" s="109"/>
      <c r="R83" s="109"/>
      <c r="S83" s="109"/>
      <c r="T83" s="109"/>
      <c r="U83" s="109"/>
      <c r="V83" s="109"/>
      <c r="W83" s="109"/>
      <c r="X83" s="109"/>
      <c r="Y83" s="109"/>
      <c r="Z83" s="109"/>
    </row>
    <row r="84" ht="15.75" customHeight="1">
      <c r="A84" s="407">
        <v>46052.0</v>
      </c>
      <c r="B84" s="109"/>
      <c r="C84" s="109"/>
      <c r="D84" s="109"/>
      <c r="E84" s="109"/>
      <c r="F84" s="109"/>
      <c r="G84" s="109"/>
      <c r="H84" s="109"/>
      <c r="I84" s="109"/>
      <c r="J84" s="109"/>
      <c r="K84" s="109"/>
      <c r="L84" s="109"/>
      <c r="M84" s="109">
        <v>1.0</v>
      </c>
      <c r="N84" s="109"/>
      <c r="O84" s="109"/>
      <c r="P84" s="109"/>
      <c r="Q84" s="109"/>
      <c r="R84" s="109"/>
      <c r="S84" s="109"/>
      <c r="T84" s="109"/>
      <c r="U84" s="109"/>
      <c r="V84" s="109"/>
      <c r="W84" s="109"/>
      <c r="X84" s="109"/>
      <c r="Y84" s="109"/>
      <c r="Z84" s="109"/>
    </row>
    <row r="85" ht="15.75" customHeight="1">
      <c r="A85" s="407">
        <v>46053.0</v>
      </c>
      <c r="B85" s="109"/>
      <c r="C85" s="109"/>
      <c r="D85" s="109"/>
      <c r="E85" s="109"/>
      <c r="F85" s="109"/>
      <c r="G85" s="109"/>
      <c r="H85" s="109"/>
      <c r="I85" s="109"/>
      <c r="J85" s="109"/>
      <c r="K85" s="109"/>
      <c r="L85" s="109"/>
      <c r="M85" s="109">
        <v>1.0</v>
      </c>
      <c r="N85" s="109"/>
      <c r="O85" s="109"/>
      <c r="P85" s="109"/>
      <c r="Q85" s="109"/>
      <c r="R85" s="109"/>
      <c r="S85" s="109"/>
      <c r="T85" s="109"/>
      <c r="U85" s="109"/>
      <c r="V85" s="109"/>
      <c r="W85" s="109"/>
      <c r="X85" s="109"/>
      <c r="Y85" s="109"/>
      <c r="Z85" s="109"/>
    </row>
    <row r="86" ht="15.75" customHeight="1">
      <c r="A86" s="407">
        <v>46054.0</v>
      </c>
      <c r="B86" s="109"/>
      <c r="C86" s="109"/>
      <c r="D86" s="109"/>
      <c r="E86" s="109"/>
      <c r="F86" s="109"/>
      <c r="G86" s="109"/>
      <c r="H86" s="109"/>
      <c r="I86" s="109"/>
      <c r="J86" s="109"/>
      <c r="K86" s="109"/>
      <c r="L86" s="109"/>
      <c r="M86" s="254">
        <v>2.0</v>
      </c>
      <c r="N86" s="109"/>
      <c r="O86" s="109"/>
      <c r="P86" s="109"/>
      <c r="Q86" s="109"/>
      <c r="R86" s="109"/>
      <c r="S86" s="109"/>
      <c r="T86" s="109"/>
      <c r="U86" s="109"/>
      <c r="V86" s="109"/>
      <c r="W86" s="109"/>
      <c r="X86" s="109"/>
      <c r="Y86" s="109"/>
      <c r="Z86" s="109"/>
    </row>
    <row r="87" ht="15.75" customHeight="1">
      <c r="A87" s="407">
        <v>46055.0</v>
      </c>
      <c r="B87" s="109"/>
      <c r="C87" s="109"/>
      <c r="D87" s="109"/>
      <c r="E87" s="109"/>
      <c r="F87" s="109"/>
      <c r="G87" s="109"/>
      <c r="H87" s="109"/>
      <c r="I87" s="109"/>
      <c r="J87" s="109"/>
      <c r="K87" s="109"/>
      <c r="L87" s="109"/>
      <c r="M87" s="254">
        <v>2.0</v>
      </c>
      <c r="N87" s="109"/>
      <c r="O87" s="109"/>
      <c r="P87" s="109"/>
      <c r="Q87" s="109"/>
      <c r="R87" s="109"/>
      <c r="S87" s="109"/>
      <c r="T87" s="109"/>
      <c r="U87" s="109"/>
      <c r="V87" s="109"/>
      <c r="W87" s="109"/>
      <c r="X87" s="109"/>
      <c r="Y87" s="109"/>
      <c r="Z87" s="109"/>
    </row>
    <row r="88" ht="15.75" customHeight="1">
      <c r="A88" s="407">
        <v>46056.0</v>
      </c>
      <c r="B88" s="109"/>
      <c r="C88" s="109"/>
      <c r="D88" s="109"/>
      <c r="E88" s="109"/>
      <c r="F88" s="109"/>
      <c r="G88" s="109"/>
      <c r="H88" s="109"/>
      <c r="I88" s="109"/>
      <c r="J88" s="109"/>
      <c r="K88" s="109"/>
      <c r="L88" s="109"/>
      <c r="M88" s="254">
        <v>2.0</v>
      </c>
      <c r="N88" s="109"/>
      <c r="O88" s="109"/>
      <c r="P88" s="109"/>
      <c r="Q88" s="109"/>
      <c r="R88" s="109"/>
      <c r="S88" s="109"/>
      <c r="T88" s="109"/>
      <c r="U88" s="109"/>
      <c r="V88" s="109"/>
      <c r="W88" s="109"/>
      <c r="X88" s="109"/>
      <c r="Y88" s="109"/>
      <c r="Z88" s="109"/>
    </row>
    <row r="89" ht="15.75" customHeight="1">
      <c r="A89" s="407">
        <v>46057.0</v>
      </c>
      <c r="B89" s="109"/>
      <c r="C89" s="109"/>
      <c r="D89" s="109"/>
      <c r="E89" s="109"/>
      <c r="F89" s="109"/>
      <c r="G89" s="109"/>
      <c r="H89" s="109"/>
      <c r="I89" s="109"/>
      <c r="J89" s="109"/>
      <c r="K89" s="109"/>
      <c r="L89" s="109"/>
      <c r="M89" s="254">
        <v>2.0</v>
      </c>
      <c r="N89" s="109"/>
      <c r="O89" s="109"/>
      <c r="P89" s="109"/>
      <c r="Q89" s="109"/>
      <c r="R89" s="109"/>
      <c r="S89" s="109"/>
      <c r="T89" s="109"/>
      <c r="U89" s="109"/>
      <c r="V89" s="109"/>
      <c r="W89" s="109"/>
      <c r="X89" s="109"/>
      <c r="Y89" s="109"/>
      <c r="Z89" s="109"/>
    </row>
    <row r="90" ht="15.75" customHeight="1">
      <c r="A90" s="407">
        <v>46058.0</v>
      </c>
      <c r="B90" s="109"/>
      <c r="C90" s="109"/>
      <c r="D90" s="109"/>
      <c r="E90" s="109"/>
      <c r="F90" s="109"/>
      <c r="G90" s="109"/>
      <c r="H90" s="109"/>
      <c r="I90" s="109"/>
      <c r="J90" s="109"/>
      <c r="K90" s="109"/>
      <c r="L90" s="109"/>
      <c r="M90" s="254">
        <v>2.0</v>
      </c>
      <c r="N90" s="109"/>
      <c r="O90" s="109"/>
      <c r="P90" s="109"/>
      <c r="Q90" s="109"/>
      <c r="R90" s="109"/>
      <c r="S90" s="109"/>
      <c r="T90" s="109"/>
      <c r="U90" s="109"/>
      <c r="V90" s="109"/>
      <c r="W90" s="109"/>
      <c r="X90" s="109"/>
      <c r="Y90" s="109"/>
      <c r="Z90" s="109"/>
    </row>
    <row r="91" ht="15.75" customHeight="1">
      <c r="A91" s="407">
        <v>46059.0</v>
      </c>
      <c r="B91" s="109"/>
      <c r="C91" s="109"/>
      <c r="D91" s="109"/>
      <c r="E91" s="109"/>
      <c r="F91" s="109"/>
      <c r="G91" s="109"/>
      <c r="H91" s="109"/>
      <c r="I91" s="109"/>
      <c r="J91" s="109"/>
      <c r="K91" s="109"/>
      <c r="L91" s="109"/>
      <c r="M91" s="254">
        <v>2.0</v>
      </c>
      <c r="N91" s="109"/>
      <c r="O91" s="109"/>
      <c r="P91" s="109"/>
      <c r="Q91" s="109"/>
      <c r="R91" s="109"/>
      <c r="S91" s="109"/>
      <c r="T91" s="109"/>
      <c r="U91" s="109"/>
      <c r="V91" s="109"/>
      <c r="W91" s="109"/>
      <c r="X91" s="109"/>
      <c r="Y91" s="109"/>
      <c r="Z91" s="109"/>
    </row>
    <row r="92" ht="15.75" customHeight="1">
      <c r="A92" s="407">
        <v>46060.0</v>
      </c>
      <c r="B92" s="109"/>
      <c r="C92" s="109"/>
      <c r="D92" s="109"/>
      <c r="E92" s="109"/>
      <c r="F92" s="109"/>
      <c r="G92" s="109"/>
      <c r="H92" s="109"/>
      <c r="I92" s="109"/>
      <c r="J92" s="109"/>
      <c r="K92" s="109"/>
      <c r="L92" s="109"/>
      <c r="M92" s="254">
        <v>2.0</v>
      </c>
      <c r="N92" s="109"/>
      <c r="O92" s="109"/>
      <c r="P92" s="109"/>
      <c r="Q92" s="109"/>
      <c r="R92" s="109"/>
      <c r="S92" s="109"/>
      <c r="T92" s="109"/>
      <c r="U92" s="109"/>
      <c r="V92" s="109"/>
      <c r="W92" s="109"/>
      <c r="X92" s="109"/>
      <c r="Y92" s="109"/>
      <c r="Z92" s="109"/>
    </row>
    <row r="93" ht="15.75" customHeight="1">
      <c r="A93" s="407">
        <v>46061.0</v>
      </c>
      <c r="B93" s="109"/>
      <c r="C93" s="109"/>
      <c r="D93" s="109"/>
      <c r="E93" s="109"/>
      <c r="F93" s="109"/>
      <c r="G93" s="109"/>
      <c r="H93" s="109"/>
      <c r="I93" s="109"/>
      <c r="J93" s="109"/>
      <c r="K93" s="109"/>
      <c r="L93" s="109"/>
      <c r="M93" s="254">
        <v>2.0</v>
      </c>
      <c r="N93" s="109"/>
      <c r="O93" s="109"/>
      <c r="P93" s="109"/>
      <c r="Q93" s="109"/>
      <c r="R93" s="109"/>
      <c r="S93" s="109"/>
      <c r="T93" s="109"/>
      <c r="U93" s="109"/>
      <c r="V93" s="109"/>
      <c r="W93" s="109"/>
      <c r="X93" s="109"/>
      <c r="Y93" s="109"/>
      <c r="Z93" s="109"/>
    </row>
    <row r="94" ht="15.75" customHeight="1">
      <c r="A94" s="407">
        <v>46062.0</v>
      </c>
      <c r="B94" s="109"/>
      <c r="C94" s="109"/>
      <c r="D94" s="109"/>
      <c r="E94" s="109"/>
      <c r="F94" s="109"/>
      <c r="G94" s="109"/>
      <c r="H94" s="109"/>
      <c r="I94" s="109"/>
      <c r="J94" s="109"/>
      <c r="K94" s="109"/>
      <c r="L94" s="109"/>
      <c r="M94" s="254">
        <v>2.0</v>
      </c>
      <c r="N94" s="109"/>
      <c r="O94" s="109"/>
      <c r="P94" s="109"/>
      <c r="Q94" s="109"/>
      <c r="R94" s="109"/>
      <c r="S94" s="109"/>
      <c r="T94" s="109"/>
      <c r="U94" s="109"/>
      <c r="V94" s="109"/>
      <c r="W94" s="109"/>
      <c r="X94" s="109"/>
      <c r="Y94" s="109"/>
      <c r="Z94" s="109"/>
    </row>
    <row r="95" ht="15.75" customHeight="1">
      <c r="A95" s="407">
        <v>46063.0</v>
      </c>
      <c r="B95" s="109"/>
      <c r="C95" s="109"/>
      <c r="D95" s="109"/>
      <c r="E95" s="109"/>
      <c r="F95" s="109"/>
      <c r="G95" s="109"/>
      <c r="H95" s="109"/>
      <c r="I95" s="109"/>
      <c r="J95" s="109"/>
      <c r="K95" s="109"/>
      <c r="L95" s="109"/>
      <c r="M95" s="254">
        <v>2.0</v>
      </c>
      <c r="N95" s="109"/>
      <c r="O95" s="109"/>
      <c r="P95" s="109"/>
      <c r="Q95" s="109"/>
      <c r="R95" s="109"/>
      <c r="S95" s="109"/>
      <c r="T95" s="109"/>
      <c r="U95" s="109"/>
      <c r="V95" s="109"/>
      <c r="W95" s="109"/>
      <c r="X95" s="109"/>
      <c r="Y95" s="109"/>
      <c r="Z95" s="109"/>
    </row>
    <row r="96" ht="15.75" customHeight="1">
      <c r="A96" s="407">
        <v>46064.0</v>
      </c>
      <c r="B96" s="109"/>
      <c r="C96" s="109"/>
      <c r="D96" s="109"/>
      <c r="E96" s="109"/>
      <c r="F96" s="109"/>
      <c r="G96" s="109"/>
      <c r="H96" s="109"/>
      <c r="I96" s="109"/>
      <c r="J96" s="109"/>
      <c r="K96" s="109"/>
      <c r="L96" s="109"/>
      <c r="M96" s="254">
        <v>2.0</v>
      </c>
      <c r="N96" s="109"/>
      <c r="O96" s="109"/>
      <c r="P96" s="109"/>
      <c r="Q96" s="109"/>
      <c r="R96" s="109"/>
      <c r="S96" s="109"/>
      <c r="T96" s="109"/>
      <c r="U96" s="109"/>
      <c r="V96" s="109"/>
      <c r="W96" s="109"/>
      <c r="X96" s="109"/>
      <c r="Y96" s="109"/>
      <c r="Z96" s="109"/>
    </row>
    <row r="97" ht="15.75" customHeight="1">
      <c r="A97" s="407">
        <v>46065.0</v>
      </c>
      <c r="B97" s="109"/>
      <c r="C97" s="109"/>
      <c r="D97" s="109"/>
      <c r="E97" s="109"/>
      <c r="F97" s="109"/>
      <c r="G97" s="109"/>
      <c r="H97" s="109"/>
      <c r="I97" s="109"/>
      <c r="J97" s="109"/>
      <c r="K97" s="109"/>
      <c r="L97" s="109"/>
      <c r="M97" s="254">
        <v>2.0</v>
      </c>
      <c r="N97" s="109"/>
      <c r="O97" s="109"/>
      <c r="P97" s="109"/>
      <c r="Q97" s="109"/>
      <c r="R97" s="109"/>
      <c r="S97" s="109"/>
      <c r="T97" s="109"/>
      <c r="U97" s="109"/>
      <c r="V97" s="109"/>
      <c r="W97" s="109"/>
      <c r="X97" s="109"/>
      <c r="Y97" s="109"/>
      <c r="Z97" s="109"/>
    </row>
    <row r="98" ht="15.75" customHeight="1">
      <c r="A98" s="407">
        <v>46066.0</v>
      </c>
      <c r="B98" s="254">
        <v>1.0</v>
      </c>
      <c r="C98" s="254">
        <v>1278000.0</v>
      </c>
      <c r="D98" s="109"/>
      <c r="E98" s="109"/>
      <c r="F98" s="109"/>
      <c r="G98" s="109"/>
      <c r="H98" s="109"/>
      <c r="I98" s="109"/>
      <c r="J98" s="109"/>
      <c r="K98" s="109"/>
      <c r="L98" s="254" t="s">
        <v>1115</v>
      </c>
      <c r="M98" s="254">
        <v>2.0</v>
      </c>
      <c r="N98" s="109"/>
      <c r="O98" s="109"/>
      <c r="P98" s="109"/>
      <c r="Q98" s="109"/>
      <c r="R98" s="109"/>
      <c r="S98" s="109"/>
      <c r="T98" s="109"/>
      <c r="U98" s="109"/>
      <c r="V98" s="109"/>
      <c r="W98" s="109"/>
      <c r="X98" s="109"/>
      <c r="Y98" s="109"/>
      <c r="Z98" s="109"/>
    </row>
    <row r="99" ht="15.75" customHeight="1">
      <c r="A99" s="407">
        <v>46067.0</v>
      </c>
      <c r="B99" s="109"/>
      <c r="C99" s="109"/>
      <c r="D99" s="109"/>
      <c r="E99" s="109"/>
      <c r="F99" s="109"/>
      <c r="G99" s="109"/>
      <c r="H99" s="109"/>
      <c r="I99" s="109"/>
      <c r="J99" s="109"/>
      <c r="K99" s="109"/>
      <c r="L99" s="109"/>
      <c r="M99" s="254">
        <v>2.0</v>
      </c>
      <c r="N99" s="109"/>
      <c r="O99" s="109"/>
      <c r="P99" s="109"/>
      <c r="Q99" s="109"/>
      <c r="R99" s="109"/>
      <c r="S99" s="109"/>
      <c r="T99" s="109"/>
      <c r="U99" s="109"/>
      <c r="V99" s="109"/>
      <c r="W99" s="109"/>
      <c r="X99" s="109"/>
      <c r="Y99" s="109"/>
      <c r="Z99" s="109"/>
    </row>
    <row r="100" ht="15.75" customHeight="1">
      <c r="A100" s="407">
        <v>46068.0</v>
      </c>
      <c r="B100" s="109"/>
      <c r="C100" s="109"/>
      <c r="D100" s="109"/>
      <c r="E100" s="109"/>
      <c r="F100" s="109"/>
      <c r="G100" s="109"/>
      <c r="H100" s="109"/>
      <c r="I100" s="109"/>
      <c r="J100" s="109"/>
      <c r="K100" s="109"/>
      <c r="L100" s="109"/>
      <c r="M100" s="254">
        <v>2.0</v>
      </c>
      <c r="N100" s="109"/>
      <c r="O100" s="109"/>
      <c r="P100" s="109"/>
      <c r="Q100" s="109"/>
      <c r="R100" s="109"/>
      <c r="S100" s="109"/>
      <c r="T100" s="109"/>
      <c r="U100" s="109"/>
      <c r="V100" s="109"/>
      <c r="W100" s="109"/>
      <c r="X100" s="109"/>
      <c r="Y100" s="109"/>
      <c r="Z100" s="109"/>
    </row>
    <row r="101" ht="15.75" customHeight="1">
      <c r="A101" s="407">
        <v>46069.0</v>
      </c>
      <c r="B101" s="109"/>
      <c r="C101" s="109"/>
      <c r="D101" s="109"/>
      <c r="E101" s="109"/>
      <c r="F101" s="109"/>
      <c r="G101" s="109"/>
      <c r="H101" s="109"/>
      <c r="I101" s="109"/>
      <c r="J101" s="109"/>
      <c r="K101" s="109"/>
      <c r="L101" s="109"/>
      <c r="M101" s="254">
        <v>2.0</v>
      </c>
      <c r="N101" s="109"/>
      <c r="O101" s="109"/>
      <c r="P101" s="109"/>
      <c r="Q101" s="109"/>
      <c r="R101" s="109"/>
      <c r="S101" s="109"/>
      <c r="T101" s="109"/>
      <c r="U101" s="109"/>
      <c r="V101" s="109"/>
      <c r="W101" s="109"/>
      <c r="X101" s="109"/>
      <c r="Y101" s="109"/>
      <c r="Z101" s="109"/>
    </row>
    <row r="102" ht="15.75" customHeight="1">
      <c r="A102" s="407">
        <v>46070.0</v>
      </c>
      <c r="B102" s="109"/>
      <c r="C102" s="109"/>
      <c r="D102" s="109"/>
      <c r="E102" s="109"/>
      <c r="F102" s="109"/>
      <c r="G102" s="109"/>
      <c r="H102" s="109"/>
      <c r="I102" s="109"/>
      <c r="J102" s="109"/>
      <c r="K102" s="109"/>
      <c r="L102" s="109"/>
      <c r="M102" s="254">
        <v>2.0</v>
      </c>
      <c r="N102" s="109"/>
      <c r="O102" s="109"/>
      <c r="P102" s="109"/>
      <c r="Q102" s="109"/>
      <c r="R102" s="109"/>
      <c r="S102" s="109"/>
      <c r="T102" s="109"/>
      <c r="U102" s="109"/>
      <c r="V102" s="109"/>
      <c r="W102" s="109"/>
      <c r="X102" s="109"/>
      <c r="Y102" s="109"/>
      <c r="Z102" s="109"/>
    </row>
    <row r="103" ht="15.75" customHeight="1">
      <c r="A103" s="407">
        <v>46071.0</v>
      </c>
      <c r="B103" s="109"/>
      <c r="C103" s="109"/>
      <c r="D103" s="109"/>
      <c r="E103" s="109"/>
      <c r="F103" s="109"/>
      <c r="G103" s="109"/>
      <c r="H103" s="109"/>
      <c r="I103" s="109"/>
      <c r="J103" s="109"/>
      <c r="K103" s="109"/>
      <c r="L103" s="109"/>
      <c r="M103" s="254">
        <v>2.0</v>
      </c>
      <c r="N103" s="109"/>
      <c r="O103" s="109"/>
      <c r="P103" s="109"/>
      <c r="Q103" s="109"/>
      <c r="R103" s="109"/>
      <c r="S103" s="109"/>
      <c r="T103" s="109"/>
      <c r="U103" s="109"/>
      <c r="V103" s="109"/>
      <c r="W103" s="109"/>
      <c r="X103" s="109"/>
      <c r="Y103" s="109"/>
      <c r="Z103" s="109"/>
    </row>
    <row r="104" ht="15.75" customHeight="1">
      <c r="A104" s="407">
        <v>46072.0</v>
      </c>
      <c r="B104" s="109"/>
      <c r="C104" s="109"/>
      <c r="D104" s="109"/>
      <c r="E104" s="109"/>
      <c r="F104" s="109"/>
      <c r="G104" s="109"/>
      <c r="H104" s="109"/>
      <c r="I104" s="109"/>
      <c r="J104" s="109"/>
      <c r="K104" s="109"/>
      <c r="L104" s="109"/>
      <c r="M104" s="254">
        <v>2.0</v>
      </c>
      <c r="N104" s="109"/>
      <c r="O104" s="109"/>
      <c r="P104" s="109"/>
      <c r="Q104" s="109"/>
      <c r="R104" s="109"/>
      <c r="S104" s="109"/>
      <c r="T104" s="109"/>
      <c r="U104" s="109"/>
      <c r="V104" s="109"/>
      <c r="W104" s="109"/>
      <c r="X104" s="109"/>
      <c r="Y104" s="109"/>
      <c r="Z104" s="109"/>
    </row>
    <row r="105" ht="15.75" customHeight="1">
      <c r="A105" s="407">
        <v>46073.0</v>
      </c>
      <c r="B105" s="109"/>
      <c r="C105" s="109"/>
      <c r="D105" s="109"/>
      <c r="E105" s="109"/>
      <c r="F105" s="109"/>
      <c r="G105" s="109"/>
      <c r="H105" s="109"/>
      <c r="I105" s="109"/>
      <c r="J105" s="109"/>
      <c r="K105" s="109"/>
      <c r="L105" s="109"/>
      <c r="M105" s="254">
        <v>2.0</v>
      </c>
      <c r="N105" s="109"/>
      <c r="O105" s="109"/>
      <c r="P105" s="109"/>
      <c r="Q105" s="109"/>
      <c r="R105" s="109"/>
      <c r="S105" s="109"/>
      <c r="T105" s="109"/>
      <c r="U105" s="109"/>
      <c r="V105" s="109"/>
      <c r="W105" s="109"/>
      <c r="X105" s="109"/>
      <c r="Y105" s="109"/>
      <c r="Z105" s="109"/>
    </row>
    <row r="106" ht="15.75" customHeight="1">
      <c r="A106" s="407">
        <v>46074.0</v>
      </c>
      <c r="B106" s="109"/>
      <c r="C106" s="109"/>
      <c r="D106" s="109"/>
      <c r="E106" s="109"/>
      <c r="F106" s="109"/>
      <c r="G106" s="109"/>
      <c r="H106" s="109"/>
      <c r="I106" s="109"/>
      <c r="J106" s="109"/>
      <c r="K106" s="109"/>
      <c r="L106" s="109"/>
      <c r="M106" s="254">
        <v>2.0</v>
      </c>
      <c r="N106" s="109"/>
      <c r="O106" s="109"/>
      <c r="P106" s="109"/>
      <c r="Q106" s="109"/>
      <c r="R106" s="109"/>
      <c r="S106" s="109"/>
      <c r="T106" s="109"/>
      <c r="U106" s="109"/>
      <c r="V106" s="109"/>
      <c r="W106" s="109"/>
      <c r="X106" s="109"/>
      <c r="Y106" s="109"/>
      <c r="Z106" s="109"/>
    </row>
    <row r="107" ht="15.75" customHeight="1">
      <c r="A107" s="407">
        <v>46075.0</v>
      </c>
      <c r="B107" s="109"/>
      <c r="C107" s="109"/>
      <c r="D107" s="109"/>
      <c r="E107" s="109"/>
      <c r="F107" s="109"/>
      <c r="G107" s="109"/>
      <c r="H107" s="109"/>
      <c r="I107" s="109"/>
      <c r="J107" s="109"/>
      <c r="K107" s="109"/>
      <c r="L107" s="109"/>
      <c r="M107" s="254">
        <v>2.0</v>
      </c>
      <c r="N107" s="109"/>
      <c r="O107" s="109"/>
      <c r="P107" s="109"/>
      <c r="Q107" s="109"/>
      <c r="R107" s="109"/>
      <c r="S107" s="109"/>
      <c r="T107" s="109"/>
      <c r="U107" s="109"/>
      <c r="V107" s="109"/>
      <c r="W107" s="109"/>
      <c r="X107" s="109"/>
      <c r="Y107" s="109"/>
      <c r="Z107" s="109"/>
    </row>
    <row r="108" ht="15.75" customHeight="1">
      <c r="A108" s="407">
        <v>46076.0</v>
      </c>
      <c r="B108" s="254">
        <v>1.0</v>
      </c>
      <c r="C108" s="254">
        <v>829000.0</v>
      </c>
      <c r="D108" s="109"/>
      <c r="E108" s="109"/>
      <c r="F108" s="109"/>
      <c r="G108" s="109"/>
      <c r="H108" s="109"/>
      <c r="I108" s="109"/>
      <c r="J108" s="109"/>
      <c r="K108" s="109"/>
      <c r="L108" s="254" t="s">
        <v>1116</v>
      </c>
      <c r="M108" s="254">
        <v>2.0</v>
      </c>
      <c r="N108" s="109"/>
      <c r="O108" s="109"/>
      <c r="P108" s="109"/>
      <c r="Q108" s="109"/>
      <c r="R108" s="109"/>
      <c r="S108" s="109"/>
      <c r="T108" s="109"/>
      <c r="U108" s="109"/>
      <c r="V108" s="109"/>
      <c r="W108" s="109"/>
      <c r="X108" s="109"/>
      <c r="Y108" s="109"/>
      <c r="Z108" s="109"/>
    </row>
    <row r="109" ht="15.75" customHeight="1">
      <c r="A109" s="407">
        <v>46077.0</v>
      </c>
      <c r="B109" s="109"/>
      <c r="C109" s="109"/>
      <c r="D109" s="109"/>
      <c r="E109" s="109"/>
      <c r="F109" s="109"/>
      <c r="G109" s="109"/>
      <c r="H109" s="109"/>
      <c r="I109" s="109"/>
      <c r="J109" s="109"/>
      <c r="K109" s="109"/>
      <c r="L109" s="109"/>
      <c r="M109" s="254">
        <v>2.0</v>
      </c>
      <c r="N109" s="109"/>
      <c r="O109" s="109"/>
      <c r="P109" s="109"/>
      <c r="Q109" s="109"/>
      <c r="R109" s="109"/>
      <c r="S109" s="109"/>
      <c r="T109" s="109"/>
      <c r="U109" s="109"/>
      <c r="V109" s="109"/>
      <c r="W109" s="109"/>
      <c r="X109" s="109"/>
      <c r="Y109" s="109"/>
      <c r="Z109" s="109"/>
    </row>
    <row r="110" ht="15.75" customHeight="1">
      <c r="A110" s="407">
        <v>46078.0</v>
      </c>
      <c r="B110" s="109"/>
      <c r="C110" s="109"/>
      <c r="D110" s="109"/>
      <c r="E110" s="109"/>
      <c r="F110" s="109"/>
      <c r="G110" s="109"/>
      <c r="H110" s="109"/>
      <c r="I110" s="109"/>
      <c r="J110" s="109"/>
      <c r="K110" s="109"/>
      <c r="L110" s="109"/>
      <c r="M110" s="254">
        <v>2.0</v>
      </c>
      <c r="N110" s="109"/>
      <c r="O110" s="109"/>
      <c r="P110" s="109"/>
      <c r="Q110" s="109"/>
      <c r="R110" s="109"/>
      <c r="S110" s="109"/>
      <c r="T110" s="109"/>
      <c r="U110" s="109"/>
      <c r="V110" s="109"/>
      <c r="W110" s="109"/>
      <c r="X110" s="109"/>
      <c r="Y110" s="109"/>
      <c r="Z110" s="109"/>
    </row>
    <row r="111" ht="15.75" customHeight="1">
      <c r="A111" s="407">
        <v>46079.0</v>
      </c>
      <c r="B111" s="109"/>
      <c r="C111" s="109"/>
      <c r="D111" s="109"/>
      <c r="E111" s="109"/>
      <c r="F111" s="109"/>
      <c r="G111" s="109"/>
      <c r="H111" s="109"/>
      <c r="I111" s="109"/>
      <c r="J111" s="109"/>
      <c r="K111" s="109"/>
      <c r="L111" s="109"/>
      <c r="M111" s="254">
        <v>2.0</v>
      </c>
      <c r="N111" s="109"/>
      <c r="O111" s="109"/>
      <c r="P111" s="109"/>
      <c r="Q111" s="109"/>
      <c r="R111" s="109"/>
      <c r="S111" s="109"/>
      <c r="T111" s="109"/>
      <c r="U111" s="109"/>
      <c r="V111" s="109"/>
      <c r="W111" s="109"/>
      <c r="X111" s="109"/>
      <c r="Y111" s="109"/>
      <c r="Z111" s="109"/>
    </row>
    <row r="112" ht="15.75" customHeight="1">
      <c r="A112" s="407">
        <v>46080.0</v>
      </c>
      <c r="B112" s="109"/>
      <c r="C112" s="109"/>
      <c r="D112" s="109"/>
      <c r="E112" s="109"/>
      <c r="F112" s="109"/>
      <c r="G112" s="109"/>
      <c r="H112" s="109"/>
      <c r="I112" s="109"/>
      <c r="J112" s="109"/>
      <c r="K112" s="109"/>
      <c r="L112" s="109"/>
      <c r="M112" s="254">
        <v>2.0</v>
      </c>
      <c r="N112" s="109"/>
      <c r="O112" s="109"/>
      <c r="P112" s="109"/>
      <c r="Q112" s="109"/>
      <c r="R112" s="109"/>
      <c r="S112" s="109"/>
      <c r="T112" s="109"/>
      <c r="U112" s="109"/>
      <c r="V112" s="109"/>
      <c r="W112" s="109"/>
      <c r="X112" s="109"/>
      <c r="Y112" s="109"/>
      <c r="Z112" s="109"/>
    </row>
    <row r="113" ht="15.75" customHeight="1">
      <c r="A113" s="407">
        <v>46081.0</v>
      </c>
      <c r="B113" s="109"/>
      <c r="C113" s="109"/>
      <c r="D113" s="109"/>
      <c r="E113" s="109"/>
      <c r="F113" s="109"/>
      <c r="G113" s="109"/>
      <c r="H113" s="109"/>
      <c r="I113" s="109"/>
      <c r="J113" s="109"/>
      <c r="K113" s="109"/>
      <c r="L113" s="109"/>
      <c r="M113" s="254">
        <v>2.0</v>
      </c>
      <c r="N113" s="109"/>
      <c r="O113" s="109"/>
      <c r="P113" s="109"/>
      <c r="Q113" s="109"/>
      <c r="R113" s="109"/>
      <c r="S113" s="109"/>
      <c r="T113" s="109"/>
      <c r="U113" s="109"/>
      <c r="V113" s="109"/>
      <c r="W113" s="109"/>
      <c r="X113" s="109"/>
      <c r="Y113" s="109"/>
      <c r="Z113" s="109"/>
    </row>
    <row r="114" ht="15.75" customHeight="1">
      <c r="A114" s="407">
        <v>46082.0</v>
      </c>
      <c r="B114" s="109"/>
      <c r="C114" s="109"/>
      <c r="D114" s="109"/>
      <c r="E114" s="109"/>
      <c r="F114" s="109"/>
      <c r="G114" s="109"/>
      <c r="H114" s="109"/>
      <c r="I114" s="109"/>
      <c r="J114" s="109"/>
      <c r="K114" s="109"/>
      <c r="L114" s="109"/>
      <c r="M114" s="254">
        <v>2.0</v>
      </c>
      <c r="N114" s="109"/>
      <c r="O114" s="109"/>
      <c r="P114" s="109"/>
      <c r="Q114" s="109"/>
      <c r="R114" s="109"/>
      <c r="S114" s="109"/>
      <c r="T114" s="109"/>
      <c r="U114" s="109"/>
      <c r="V114" s="109"/>
      <c r="W114" s="109"/>
      <c r="X114" s="109"/>
      <c r="Y114" s="109"/>
      <c r="Z114" s="109"/>
    </row>
    <row r="115" ht="15.75" customHeight="1">
      <c r="A115" s="407">
        <v>46083.0</v>
      </c>
      <c r="B115" s="109"/>
      <c r="C115" s="109"/>
      <c r="D115" s="109"/>
      <c r="E115" s="109"/>
      <c r="F115" s="109"/>
      <c r="G115" s="109"/>
      <c r="H115" s="109"/>
      <c r="I115" s="109"/>
      <c r="J115" s="109"/>
      <c r="K115" s="109"/>
      <c r="L115" s="109"/>
      <c r="M115" s="254">
        <v>2.0</v>
      </c>
      <c r="N115" s="109"/>
      <c r="O115" s="109"/>
      <c r="P115" s="109"/>
      <c r="Q115" s="109"/>
      <c r="R115" s="109"/>
      <c r="S115" s="109"/>
      <c r="T115" s="109"/>
      <c r="U115" s="109"/>
      <c r="V115" s="109"/>
      <c r="W115" s="109"/>
      <c r="X115" s="109"/>
      <c r="Y115" s="109"/>
      <c r="Z115" s="109"/>
    </row>
    <row r="116" ht="15.75" customHeight="1">
      <c r="A116" s="109"/>
      <c r="B116" s="109"/>
      <c r="C116" s="109"/>
      <c r="D116" s="109"/>
      <c r="E116" s="109"/>
      <c r="F116" s="109"/>
      <c r="G116" s="109"/>
      <c r="H116" s="109"/>
      <c r="I116" s="109"/>
      <c r="J116" s="109"/>
      <c r="K116" s="109"/>
      <c r="L116" s="109"/>
      <c r="M116" s="254">
        <v>2.0</v>
      </c>
      <c r="N116" s="109"/>
      <c r="O116" s="109"/>
      <c r="P116" s="109"/>
      <c r="Q116" s="109"/>
      <c r="R116" s="109"/>
      <c r="S116" s="109"/>
      <c r="T116" s="109"/>
      <c r="U116" s="109"/>
      <c r="V116" s="109"/>
      <c r="W116" s="109"/>
      <c r="X116" s="109"/>
      <c r="Y116" s="109"/>
      <c r="Z116" s="109"/>
    </row>
    <row r="117" ht="15.7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ht="15.7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ht="15.7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ht="15.7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ht="15.7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ht="15.7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ht="15.7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ht="15.7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ht="15.7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ht="15.7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ht="15.7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ht="15.7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ht="15.7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ht="15.7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ht="15.7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ht="15.7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ht="15.7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ht="15.7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ht="15.7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ht="15.7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ht="15.7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ht="15.7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ht="15.7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ht="15.7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ht="15.7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ht="15.7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ht="15.7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ht="15.7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ht="15.7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ht="15.7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ht="15.7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ht="15.7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ht="15.7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ht="15.7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ht="15.7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ht="15.7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ht="15.7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ht="15.7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ht="15.7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ht="15.7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ht="15.7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ht="15.7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ht="15.7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ht="15.7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ht="15.7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ht="15.7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ht="15.7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ht="15.7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ht="15.7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ht="15.7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5.7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ht="15.7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ht="15.7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ht="15.7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ht="15.7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ht="15.7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ht="15.7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ht="15.7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ht="15.7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ht="15.7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ht="15.7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ht="15.7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ht="15.7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ht="15.7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ht="15.7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ht="15.7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ht="15.7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ht="15.7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ht="15.7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ht="15.7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ht="15.7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ht="15.7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ht="15.7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ht="15.7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ht="15.7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ht="15.7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ht="15.7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ht="15.7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ht="15.7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ht="15.7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ht="15.7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ht="15.7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ht="15.7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ht="15.7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ht="15.7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ht="15.7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ht="15.7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ht="15.7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ht="15.7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ht="15.7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ht="15.7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ht="15.7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ht="15.7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ht="15.7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ht="15.7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ht="15.7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ht="15.7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ht="15.7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ht="15.7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ht="15.7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ht="15.7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ht="15.7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ht="15.7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ht="15.75" customHeight="1">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ht="15.75" customHeight="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ht="15.75" customHeight="1">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ht="15.75" customHeight="1">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ht="15.75" customHeight="1">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ht="15.75" customHeight="1">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ht="15.75" customHeight="1">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ht="15.75" customHeight="1">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2" max="2" width="18.88"/>
    <col customWidth="1" min="4" max="4" width="26.75"/>
    <col customWidth="1" min="5" max="5" width="14.75"/>
    <col customWidth="1" min="11" max="11" width="23.88"/>
  </cols>
  <sheetData>
    <row r="1" ht="15.75" customHeight="1">
      <c r="A1" s="496" t="s">
        <v>1117</v>
      </c>
      <c r="B1" s="496" t="s">
        <v>1118</v>
      </c>
      <c r="C1" s="496" t="s">
        <v>1119</v>
      </c>
      <c r="D1" s="496" t="s">
        <v>1120</v>
      </c>
      <c r="E1" s="496" t="s">
        <v>1121</v>
      </c>
      <c r="F1" s="496" t="s">
        <v>1122</v>
      </c>
      <c r="G1" s="496" t="s">
        <v>1123</v>
      </c>
      <c r="H1" s="496" t="s">
        <v>1124</v>
      </c>
      <c r="I1" s="496" t="s">
        <v>1125</v>
      </c>
      <c r="J1" s="496" t="s">
        <v>851</v>
      </c>
      <c r="K1" s="496" t="s">
        <v>1126</v>
      </c>
      <c r="L1" s="497"/>
      <c r="M1" s="109"/>
      <c r="N1" s="109"/>
      <c r="O1" s="109"/>
      <c r="P1" s="109"/>
      <c r="Q1" s="109"/>
      <c r="R1" s="109"/>
      <c r="S1" s="109"/>
      <c r="T1" s="109"/>
      <c r="U1" s="109"/>
      <c r="V1" s="109"/>
      <c r="W1" s="109"/>
      <c r="X1" s="109"/>
      <c r="Y1" s="109"/>
      <c r="Z1" s="109"/>
    </row>
    <row r="2" ht="15.75" customHeight="1">
      <c r="A2" s="496"/>
      <c r="B2" s="498">
        <f t="shared" ref="B2:J2" si="1">sum(B6:B35)</f>
        <v>6097942</v>
      </c>
      <c r="C2" s="498">
        <f t="shared" si="1"/>
        <v>0</v>
      </c>
      <c r="D2" s="498">
        <f t="shared" si="1"/>
        <v>6244046</v>
      </c>
      <c r="E2" s="498">
        <f t="shared" si="1"/>
        <v>7</v>
      </c>
      <c r="F2" s="498">
        <f t="shared" si="1"/>
        <v>5</v>
      </c>
      <c r="G2" s="498">
        <f t="shared" si="1"/>
        <v>301</v>
      </c>
      <c r="H2" s="498">
        <f t="shared" si="1"/>
        <v>222</v>
      </c>
      <c r="I2" s="498">
        <f t="shared" si="1"/>
        <v>6</v>
      </c>
      <c r="J2" s="498">
        <f t="shared" si="1"/>
        <v>7</v>
      </c>
      <c r="K2" s="498"/>
      <c r="L2" s="497"/>
      <c r="M2" s="109"/>
      <c r="N2" s="109"/>
      <c r="O2" s="109"/>
      <c r="P2" s="109"/>
      <c r="Q2" s="109"/>
      <c r="R2" s="109"/>
      <c r="S2" s="109"/>
      <c r="T2" s="109"/>
      <c r="U2" s="109"/>
      <c r="V2" s="109"/>
      <c r="W2" s="109"/>
      <c r="X2" s="109"/>
      <c r="Y2" s="109"/>
      <c r="Z2" s="109"/>
    </row>
    <row r="3" ht="15.75" customHeight="1">
      <c r="A3" s="496"/>
      <c r="B3" s="496"/>
      <c r="C3" s="496"/>
      <c r="D3" s="496"/>
      <c r="E3" s="496"/>
      <c r="F3" s="496"/>
      <c r="G3" s="496"/>
      <c r="H3" s="496"/>
      <c r="I3" s="496"/>
      <c r="J3" s="496"/>
      <c r="K3" s="496"/>
      <c r="L3" s="497"/>
      <c r="M3" s="109"/>
      <c r="N3" s="109"/>
      <c r="O3" s="109"/>
      <c r="P3" s="109"/>
      <c r="Q3" s="109"/>
      <c r="R3" s="109"/>
      <c r="S3" s="109"/>
      <c r="T3" s="109"/>
      <c r="U3" s="109"/>
      <c r="V3" s="109"/>
      <c r="W3" s="109"/>
      <c r="X3" s="109"/>
      <c r="Y3" s="109"/>
      <c r="Z3" s="109"/>
    </row>
    <row r="4" ht="15.75" customHeight="1">
      <c r="A4" s="168" t="s">
        <v>1127</v>
      </c>
      <c r="C4" s="168"/>
      <c r="D4" s="168"/>
      <c r="E4" s="168"/>
      <c r="F4" s="168"/>
      <c r="G4" s="168"/>
      <c r="H4" s="168"/>
      <c r="I4" s="168"/>
      <c r="J4" s="168"/>
      <c r="K4" s="168"/>
      <c r="L4" s="109"/>
      <c r="M4" s="109"/>
      <c r="N4" s="109"/>
      <c r="O4" s="109"/>
      <c r="P4" s="109"/>
      <c r="Q4" s="109"/>
      <c r="R4" s="109"/>
      <c r="S4" s="109"/>
      <c r="T4" s="109"/>
      <c r="U4" s="109"/>
      <c r="V4" s="109"/>
      <c r="W4" s="109"/>
      <c r="X4" s="109"/>
      <c r="Y4" s="109"/>
      <c r="Z4" s="109"/>
    </row>
    <row r="5" ht="15.75" customHeight="1">
      <c r="A5" s="499" t="s">
        <v>33</v>
      </c>
      <c r="B5" s="499" t="s">
        <v>1118</v>
      </c>
      <c r="C5" s="499" t="s">
        <v>1119</v>
      </c>
      <c r="D5" s="499" t="s">
        <v>1120</v>
      </c>
      <c r="E5" s="499" t="s">
        <v>1121</v>
      </c>
      <c r="F5" s="499" t="s">
        <v>1128</v>
      </c>
      <c r="G5" s="499" t="s">
        <v>1123</v>
      </c>
      <c r="H5" s="499" t="s">
        <v>1129</v>
      </c>
      <c r="I5" s="499" t="s">
        <v>1125</v>
      </c>
      <c r="J5" s="499" t="s">
        <v>851</v>
      </c>
      <c r="K5" s="499" t="s">
        <v>78</v>
      </c>
      <c r="L5" s="500"/>
      <c r="M5" s="501"/>
      <c r="N5" s="501"/>
      <c r="O5" s="501"/>
      <c r="P5" s="501"/>
      <c r="Q5" s="501"/>
      <c r="R5" s="501"/>
      <c r="S5" s="501"/>
      <c r="T5" s="501"/>
      <c r="U5" s="501"/>
      <c r="V5" s="501"/>
      <c r="W5" s="501"/>
      <c r="X5" s="501"/>
      <c r="Y5" s="501"/>
      <c r="Z5" s="501"/>
    </row>
    <row r="6" ht="15.75" customHeight="1">
      <c r="A6" s="407">
        <v>45962.0</v>
      </c>
      <c r="B6" s="502">
        <v>2154600.0</v>
      </c>
      <c r="C6" s="502">
        <v>0.0</v>
      </c>
      <c r="D6" s="502">
        <v>2154600.0</v>
      </c>
      <c r="E6" s="502">
        <v>1.0</v>
      </c>
      <c r="F6" s="502">
        <v>1.0</v>
      </c>
      <c r="G6" s="502">
        <v>5.0</v>
      </c>
      <c r="H6" s="502">
        <v>1.0</v>
      </c>
      <c r="I6" s="502">
        <v>1.0</v>
      </c>
      <c r="J6" s="502">
        <v>1.0</v>
      </c>
      <c r="K6" s="502" t="s">
        <v>874</v>
      </c>
      <c r="L6" s="109">
        <f t="shared" ref="L6:L40" si="2">MONTH(A6)</f>
        <v>11</v>
      </c>
      <c r="M6" s="109"/>
      <c r="N6" s="109"/>
      <c r="O6" s="109"/>
      <c r="P6" s="109"/>
      <c r="Q6" s="109"/>
      <c r="R6" s="109"/>
      <c r="S6" s="109"/>
      <c r="T6" s="109"/>
      <c r="U6" s="109"/>
      <c r="V6" s="109"/>
      <c r="W6" s="109"/>
      <c r="X6" s="109"/>
      <c r="Y6" s="109"/>
      <c r="Z6" s="109"/>
    </row>
    <row r="7" ht="15.75" customHeight="1">
      <c r="A7" s="407">
        <v>45963.0</v>
      </c>
      <c r="B7" s="502">
        <v>0.0</v>
      </c>
      <c r="C7" s="502">
        <v>0.0</v>
      </c>
      <c r="D7" s="502"/>
      <c r="E7" s="502">
        <v>0.0</v>
      </c>
      <c r="F7" s="502">
        <v>0.0</v>
      </c>
      <c r="G7" s="502">
        <v>2.0</v>
      </c>
      <c r="H7" s="502">
        <v>2.0</v>
      </c>
      <c r="I7" s="502">
        <v>0.0</v>
      </c>
      <c r="J7" s="502">
        <v>0.0</v>
      </c>
      <c r="K7" s="502" t="s">
        <v>143</v>
      </c>
      <c r="L7" s="109">
        <f t="shared" si="2"/>
        <v>11</v>
      </c>
      <c r="M7" s="109"/>
      <c r="N7" s="109"/>
      <c r="O7" s="109"/>
      <c r="P7" s="109"/>
      <c r="Q7" s="109"/>
      <c r="R7" s="109"/>
      <c r="S7" s="109"/>
      <c r="T7" s="109"/>
      <c r="U7" s="109"/>
      <c r="V7" s="109"/>
      <c r="W7" s="109"/>
      <c r="X7" s="109"/>
      <c r="Y7" s="109"/>
      <c r="Z7" s="109"/>
    </row>
    <row r="8" ht="15.75" customHeight="1">
      <c r="A8" s="407">
        <v>45964.0</v>
      </c>
      <c r="B8" s="502">
        <v>0.0</v>
      </c>
      <c r="C8" s="502">
        <v>0.0</v>
      </c>
      <c r="D8" s="502"/>
      <c r="E8" s="502">
        <v>0.0</v>
      </c>
      <c r="F8" s="502">
        <v>0.0</v>
      </c>
      <c r="G8" s="502">
        <v>6.0</v>
      </c>
      <c r="H8" s="502">
        <v>4.0</v>
      </c>
      <c r="I8" s="502">
        <v>0.0</v>
      </c>
      <c r="J8" s="502">
        <v>0.0</v>
      </c>
      <c r="K8" s="502" t="s">
        <v>143</v>
      </c>
      <c r="L8" s="109">
        <f t="shared" si="2"/>
        <v>11</v>
      </c>
      <c r="M8" s="109"/>
      <c r="N8" s="109"/>
      <c r="O8" s="109"/>
      <c r="P8" s="109"/>
      <c r="Q8" s="109"/>
      <c r="R8" s="109"/>
      <c r="S8" s="109"/>
      <c r="T8" s="109"/>
      <c r="U8" s="109"/>
      <c r="V8" s="109"/>
      <c r="W8" s="109"/>
      <c r="X8" s="109"/>
      <c r="Y8" s="109"/>
      <c r="Z8" s="109"/>
    </row>
    <row r="9" ht="15.75" customHeight="1">
      <c r="A9" s="407">
        <v>45965.0</v>
      </c>
      <c r="B9" s="502">
        <v>0.0</v>
      </c>
      <c r="C9" s="502">
        <v>0.0</v>
      </c>
      <c r="D9" s="502"/>
      <c r="E9" s="502">
        <v>0.0</v>
      </c>
      <c r="F9" s="502">
        <v>0.0</v>
      </c>
      <c r="G9" s="502">
        <v>6.0</v>
      </c>
      <c r="H9" s="502">
        <v>4.0</v>
      </c>
      <c r="I9" s="502">
        <v>0.0</v>
      </c>
      <c r="J9" s="502">
        <v>0.0</v>
      </c>
      <c r="K9" s="502" t="s">
        <v>143</v>
      </c>
      <c r="L9" s="109">
        <f t="shared" si="2"/>
        <v>11</v>
      </c>
      <c r="M9" s="109"/>
      <c r="N9" s="109"/>
      <c r="O9" s="109"/>
      <c r="P9" s="109"/>
      <c r="Q9" s="109"/>
      <c r="R9" s="109"/>
      <c r="S9" s="109"/>
      <c r="T9" s="109"/>
      <c r="U9" s="109"/>
      <c r="V9" s="109"/>
      <c r="W9" s="109"/>
      <c r="X9" s="109"/>
      <c r="Y9" s="109"/>
      <c r="Z9" s="109"/>
    </row>
    <row r="10" ht="15.75" customHeight="1">
      <c r="A10" s="407">
        <v>45966.0</v>
      </c>
      <c r="B10" s="502">
        <v>0.0</v>
      </c>
      <c r="C10" s="502">
        <v>0.0</v>
      </c>
      <c r="D10" s="502"/>
      <c r="E10" s="502">
        <v>0.0</v>
      </c>
      <c r="F10" s="502">
        <v>0.0</v>
      </c>
      <c r="G10" s="502">
        <v>25.0</v>
      </c>
      <c r="H10" s="502">
        <v>13.0</v>
      </c>
      <c r="I10" s="502">
        <v>0.0</v>
      </c>
      <c r="J10" s="502">
        <v>0.0</v>
      </c>
      <c r="K10" s="502" t="s">
        <v>143</v>
      </c>
      <c r="L10" s="109">
        <f t="shared" si="2"/>
        <v>11</v>
      </c>
      <c r="M10" s="109"/>
      <c r="N10" s="109"/>
      <c r="O10" s="109"/>
      <c r="P10" s="109"/>
      <c r="Q10" s="109"/>
      <c r="R10" s="109"/>
      <c r="S10" s="109"/>
      <c r="T10" s="109"/>
      <c r="U10" s="109"/>
      <c r="V10" s="109"/>
      <c r="W10" s="109"/>
      <c r="X10" s="109"/>
      <c r="Y10" s="109"/>
      <c r="Z10" s="109"/>
    </row>
    <row r="11" ht="15.75" customHeight="1">
      <c r="A11" s="407">
        <v>45967.0</v>
      </c>
      <c r="B11" s="502">
        <v>0.0</v>
      </c>
      <c r="C11" s="502">
        <v>0.0</v>
      </c>
      <c r="D11" s="502"/>
      <c r="E11" s="502">
        <v>0.0</v>
      </c>
      <c r="F11" s="502">
        <v>0.0</v>
      </c>
      <c r="G11" s="502">
        <v>7.0</v>
      </c>
      <c r="H11" s="502">
        <v>7.0</v>
      </c>
      <c r="I11" s="502">
        <v>0.0</v>
      </c>
      <c r="J11" s="502">
        <v>0.0</v>
      </c>
      <c r="K11" s="502" t="s">
        <v>143</v>
      </c>
      <c r="L11" s="109">
        <f t="shared" si="2"/>
        <v>11</v>
      </c>
      <c r="M11" s="109"/>
      <c r="N11" s="109"/>
      <c r="O11" s="109"/>
      <c r="P11" s="109"/>
      <c r="Q11" s="109"/>
      <c r="R11" s="109"/>
      <c r="S11" s="109"/>
      <c r="T11" s="109"/>
      <c r="U11" s="109"/>
      <c r="V11" s="109"/>
      <c r="W11" s="109"/>
      <c r="X11" s="109"/>
      <c r="Y11" s="109"/>
      <c r="Z11" s="109"/>
    </row>
    <row r="12" ht="15.75" customHeight="1">
      <c r="A12" s="407">
        <v>45968.0</v>
      </c>
      <c r="B12" s="502">
        <v>0.0</v>
      </c>
      <c r="C12" s="502">
        <v>0.0</v>
      </c>
      <c r="D12" s="502"/>
      <c r="E12" s="502">
        <v>0.0</v>
      </c>
      <c r="F12" s="502">
        <v>0.0</v>
      </c>
      <c r="G12" s="502">
        <v>18.0</v>
      </c>
      <c r="H12" s="502">
        <v>11.0</v>
      </c>
      <c r="I12" s="502">
        <v>0.0</v>
      </c>
      <c r="J12" s="502">
        <v>0.0</v>
      </c>
      <c r="K12" s="502" t="s">
        <v>143</v>
      </c>
      <c r="L12" s="109">
        <f t="shared" si="2"/>
        <v>11</v>
      </c>
      <c r="M12" s="109"/>
      <c r="N12" s="109"/>
      <c r="O12" s="109"/>
      <c r="P12" s="109"/>
      <c r="Q12" s="109"/>
      <c r="R12" s="109"/>
      <c r="S12" s="109"/>
      <c r="T12" s="109"/>
      <c r="U12" s="109"/>
      <c r="V12" s="109"/>
      <c r="W12" s="109"/>
      <c r="X12" s="109"/>
      <c r="Y12" s="109"/>
      <c r="Z12" s="109"/>
    </row>
    <row r="13" ht="15.75" customHeight="1">
      <c r="A13" s="407">
        <v>45969.0</v>
      </c>
      <c r="B13" s="502">
        <v>0.0</v>
      </c>
      <c r="C13" s="502">
        <v>0.0</v>
      </c>
      <c r="D13" s="502"/>
      <c r="E13" s="502">
        <v>0.0</v>
      </c>
      <c r="F13" s="502">
        <v>0.0</v>
      </c>
      <c r="G13" s="502">
        <v>22.0</v>
      </c>
      <c r="H13" s="502">
        <v>20.0</v>
      </c>
      <c r="I13" s="502">
        <v>0.0</v>
      </c>
      <c r="J13" s="502">
        <v>0.0</v>
      </c>
      <c r="K13" s="502" t="s">
        <v>143</v>
      </c>
      <c r="L13" s="109">
        <f t="shared" si="2"/>
        <v>11</v>
      </c>
      <c r="M13" s="109"/>
      <c r="N13" s="109"/>
      <c r="O13" s="109"/>
      <c r="P13" s="109"/>
      <c r="Q13" s="109"/>
      <c r="R13" s="109"/>
      <c r="S13" s="109"/>
      <c r="T13" s="109"/>
      <c r="U13" s="109"/>
      <c r="V13" s="109"/>
      <c r="W13" s="109"/>
      <c r="X13" s="109"/>
      <c r="Y13" s="109"/>
      <c r="Z13" s="109"/>
    </row>
    <row r="14" ht="15.75" customHeight="1">
      <c r="A14" s="407">
        <v>45970.0</v>
      </c>
      <c r="B14" s="502">
        <v>0.0</v>
      </c>
      <c r="C14" s="502">
        <v>0.0</v>
      </c>
      <c r="D14" s="502"/>
      <c r="E14" s="502">
        <v>0.0</v>
      </c>
      <c r="F14" s="502">
        <v>0.0</v>
      </c>
      <c r="G14" s="502">
        <v>26.0</v>
      </c>
      <c r="H14" s="502">
        <v>18.0</v>
      </c>
      <c r="I14" s="502">
        <v>0.0</v>
      </c>
      <c r="J14" s="502">
        <v>0.0</v>
      </c>
      <c r="K14" s="502" t="s">
        <v>143</v>
      </c>
      <c r="L14" s="109">
        <f t="shared" si="2"/>
        <v>11</v>
      </c>
      <c r="M14" s="109"/>
      <c r="N14" s="109"/>
      <c r="O14" s="109"/>
      <c r="P14" s="109"/>
      <c r="Q14" s="109"/>
      <c r="R14" s="109"/>
      <c r="S14" s="109"/>
      <c r="T14" s="109"/>
      <c r="U14" s="109"/>
      <c r="V14" s="109"/>
      <c r="W14" s="109"/>
      <c r="X14" s="109"/>
      <c r="Y14" s="109"/>
      <c r="Z14" s="109"/>
    </row>
    <row r="15" ht="15.75" customHeight="1">
      <c r="A15" s="407">
        <v>45971.0</v>
      </c>
      <c r="B15" s="502">
        <v>329730.0</v>
      </c>
      <c r="C15" s="502">
        <v>0.0</v>
      </c>
      <c r="D15" s="502">
        <v>369146.0</v>
      </c>
      <c r="E15" s="502">
        <v>1.0</v>
      </c>
      <c r="F15" s="502">
        <v>1.0</v>
      </c>
      <c r="G15" s="502">
        <v>14.0</v>
      </c>
      <c r="H15" s="502">
        <v>10.0</v>
      </c>
      <c r="I15" s="502">
        <v>1.0</v>
      </c>
      <c r="J15" s="502">
        <v>1.0</v>
      </c>
      <c r="K15" s="502" t="s">
        <v>178</v>
      </c>
      <c r="L15" s="109">
        <f t="shared" si="2"/>
        <v>11</v>
      </c>
      <c r="M15" s="109"/>
      <c r="N15" s="109"/>
      <c r="O15" s="109"/>
      <c r="P15" s="109"/>
      <c r="Q15" s="109"/>
      <c r="R15" s="109"/>
      <c r="S15" s="109"/>
      <c r="T15" s="109"/>
      <c r="U15" s="109"/>
      <c r="V15" s="109"/>
      <c r="W15" s="109"/>
      <c r="X15" s="109"/>
      <c r="Y15" s="109"/>
      <c r="Z15" s="109"/>
    </row>
    <row r="16" ht="15.75" customHeight="1">
      <c r="A16" s="407">
        <v>45972.0</v>
      </c>
      <c r="B16" s="216">
        <v>540600.0</v>
      </c>
      <c r="C16" s="216">
        <v>0.0</v>
      </c>
      <c r="D16" s="216">
        <v>600600.0</v>
      </c>
      <c r="E16" s="216">
        <v>1.0</v>
      </c>
      <c r="F16" s="216">
        <v>1.0</v>
      </c>
      <c r="G16" s="216">
        <v>18.0</v>
      </c>
      <c r="H16" s="216">
        <v>17.0</v>
      </c>
      <c r="I16" s="216">
        <v>1.0</v>
      </c>
      <c r="J16" s="216">
        <v>1.0</v>
      </c>
      <c r="K16" s="216" t="s">
        <v>1130</v>
      </c>
      <c r="L16" s="109">
        <f t="shared" si="2"/>
        <v>11</v>
      </c>
      <c r="M16" s="109"/>
      <c r="N16" s="109"/>
      <c r="O16" s="109"/>
      <c r="P16" s="109"/>
      <c r="Q16" s="109"/>
      <c r="R16" s="109"/>
      <c r="S16" s="109"/>
      <c r="T16" s="109"/>
      <c r="U16" s="109"/>
      <c r="V16" s="109"/>
      <c r="W16" s="109"/>
      <c r="X16" s="109"/>
      <c r="Y16" s="109"/>
      <c r="Z16" s="109"/>
    </row>
    <row r="17" ht="15.75" customHeight="1">
      <c r="A17" s="407">
        <v>45973.0</v>
      </c>
      <c r="B17" s="216">
        <v>354700.0</v>
      </c>
      <c r="C17" s="216">
        <v>0.0</v>
      </c>
      <c r="D17" s="216">
        <v>384700.0</v>
      </c>
      <c r="E17" s="216">
        <v>1.0</v>
      </c>
      <c r="F17" s="216">
        <v>1.0</v>
      </c>
      <c r="G17" s="216">
        <v>18.0</v>
      </c>
      <c r="H17" s="216">
        <v>16.0</v>
      </c>
      <c r="I17" s="216">
        <v>1.0</v>
      </c>
      <c r="J17" s="216">
        <v>1.0</v>
      </c>
      <c r="K17" s="216" t="s">
        <v>899</v>
      </c>
      <c r="L17" s="109">
        <f t="shared" si="2"/>
        <v>11</v>
      </c>
      <c r="M17" s="109"/>
      <c r="N17" s="109"/>
      <c r="O17" s="109"/>
      <c r="P17" s="109"/>
      <c r="Q17" s="109"/>
      <c r="R17" s="109"/>
      <c r="S17" s="109"/>
      <c r="T17" s="109"/>
      <c r="U17" s="109"/>
      <c r="V17" s="109"/>
      <c r="W17" s="109"/>
      <c r="X17" s="109"/>
      <c r="Y17" s="109"/>
      <c r="Z17" s="109"/>
    </row>
    <row r="18" ht="15.75" customHeight="1">
      <c r="A18" s="407">
        <v>45974.0</v>
      </c>
      <c r="B18" s="216">
        <v>0.0</v>
      </c>
      <c r="C18" s="216">
        <v>0.0</v>
      </c>
      <c r="D18" s="216"/>
      <c r="E18" s="216">
        <v>0.0</v>
      </c>
      <c r="F18" s="216">
        <v>0.0</v>
      </c>
      <c r="G18" s="216">
        <v>22.0</v>
      </c>
      <c r="H18" s="216">
        <v>16.0</v>
      </c>
      <c r="I18" s="216">
        <v>0.0</v>
      </c>
      <c r="J18" s="216">
        <v>0.0</v>
      </c>
      <c r="K18" s="216" t="s">
        <v>143</v>
      </c>
      <c r="L18" s="109">
        <f t="shared" si="2"/>
        <v>11</v>
      </c>
      <c r="M18" s="109"/>
      <c r="N18" s="109"/>
      <c r="O18" s="109"/>
      <c r="P18" s="109"/>
      <c r="Q18" s="109"/>
      <c r="R18" s="109"/>
      <c r="S18" s="109"/>
      <c r="T18" s="109"/>
      <c r="U18" s="109"/>
      <c r="V18" s="109"/>
      <c r="W18" s="109"/>
      <c r="X18" s="109"/>
      <c r="Y18" s="109"/>
      <c r="Z18" s="109"/>
    </row>
    <row r="19" ht="15.75" customHeight="1">
      <c r="A19" s="407">
        <v>45975.0</v>
      </c>
      <c r="B19" s="216">
        <v>0.0</v>
      </c>
      <c r="C19" s="216">
        <v>0.0</v>
      </c>
      <c r="D19" s="216"/>
      <c r="E19" s="216">
        <v>0.0</v>
      </c>
      <c r="F19" s="216">
        <v>0.0</v>
      </c>
      <c r="G19" s="216">
        <v>11.0</v>
      </c>
      <c r="H19" s="216">
        <v>10.0</v>
      </c>
      <c r="I19" s="216">
        <v>0.0</v>
      </c>
      <c r="J19" s="216">
        <v>0.0</v>
      </c>
      <c r="K19" s="216" t="s">
        <v>143</v>
      </c>
      <c r="L19" s="109">
        <f t="shared" si="2"/>
        <v>11</v>
      </c>
      <c r="M19" s="109"/>
      <c r="N19" s="109"/>
      <c r="O19" s="109"/>
      <c r="P19" s="109"/>
      <c r="Q19" s="109"/>
      <c r="R19" s="109"/>
      <c r="S19" s="109"/>
      <c r="T19" s="109"/>
      <c r="U19" s="109"/>
      <c r="V19" s="109"/>
      <c r="W19" s="109"/>
      <c r="X19" s="109"/>
      <c r="Y19" s="109"/>
      <c r="Z19" s="109"/>
    </row>
    <row r="20" ht="15.75" customHeight="1">
      <c r="A20" s="407">
        <v>45976.0</v>
      </c>
      <c r="B20" s="216">
        <v>0.0</v>
      </c>
      <c r="C20" s="216">
        <v>0.0</v>
      </c>
      <c r="D20" s="216"/>
      <c r="E20" s="216">
        <v>0.0</v>
      </c>
      <c r="F20" s="216">
        <v>0.0</v>
      </c>
      <c r="G20" s="216">
        <v>31.0</v>
      </c>
      <c r="H20" s="216">
        <v>29.0</v>
      </c>
      <c r="I20" s="216">
        <v>0.0</v>
      </c>
      <c r="J20" s="216">
        <v>0.0</v>
      </c>
      <c r="K20" s="216" t="s">
        <v>143</v>
      </c>
      <c r="L20" s="109">
        <f t="shared" si="2"/>
        <v>11</v>
      </c>
      <c r="M20" s="109"/>
      <c r="N20" s="109"/>
      <c r="O20" s="109"/>
      <c r="P20" s="109"/>
      <c r="Q20" s="109"/>
      <c r="R20" s="109"/>
      <c r="S20" s="109"/>
      <c r="T20" s="109"/>
      <c r="U20" s="109"/>
      <c r="V20" s="109"/>
      <c r="W20" s="109"/>
      <c r="X20" s="109"/>
      <c r="Y20" s="109"/>
      <c r="Z20" s="109"/>
    </row>
    <row r="21" ht="15.75" customHeight="1">
      <c r="A21" s="407">
        <v>45977.0</v>
      </c>
      <c r="B21" s="216">
        <v>0.0</v>
      </c>
      <c r="C21" s="216">
        <v>0.0</v>
      </c>
      <c r="D21" s="216"/>
      <c r="E21" s="216">
        <v>0.0</v>
      </c>
      <c r="F21" s="216">
        <v>0.0</v>
      </c>
      <c r="G21" s="216">
        <v>32.0</v>
      </c>
      <c r="H21" s="216">
        <v>30.0</v>
      </c>
      <c r="I21" s="216">
        <v>0.0</v>
      </c>
      <c r="J21" s="216">
        <v>0.0</v>
      </c>
      <c r="K21" s="216" t="s">
        <v>143</v>
      </c>
      <c r="L21" s="109">
        <f t="shared" si="2"/>
        <v>11</v>
      </c>
      <c r="M21" s="109"/>
      <c r="N21" s="109"/>
      <c r="O21" s="109"/>
      <c r="P21" s="109"/>
      <c r="Q21" s="109"/>
      <c r="R21" s="109"/>
      <c r="S21" s="109"/>
      <c r="T21" s="109"/>
      <c r="U21" s="109"/>
      <c r="V21" s="109"/>
      <c r="W21" s="109"/>
      <c r="X21" s="109"/>
      <c r="Y21" s="109"/>
      <c r="Z21" s="109"/>
    </row>
    <row r="22" ht="15.75" customHeight="1">
      <c r="A22" s="407">
        <v>45978.0</v>
      </c>
      <c r="B22" s="216">
        <v>0.0</v>
      </c>
      <c r="C22" s="216">
        <v>0.0</v>
      </c>
      <c r="D22" s="216"/>
      <c r="E22" s="216">
        <v>0.0</v>
      </c>
      <c r="F22" s="216">
        <v>0.0</v>
      </c>
      <c r="G22" s="216">
        <v>7.0</v>
      </c>
      <c r="H22" s="216">
        <v>4.0</v>
      </c>
      <c r="I22" s="216">
        <v>0.0</v>
      </c>
      <c r="J22" s="216">
        <v>0.0</v>
      </c>
      <c r="K22" s="216" t="s">
        <v>143</v>
      </c>
      <c r="L22" s="109">
        <f t="shared" si="2"/>
        <v>11</v>
      </c>
      <c r="M22" s="109"/>
      <c r="N22" s="109"/>
      <c r="O22" s="109"/>
      <c r="P22" s="109"/>
      <c r="Q22" s="109"/>
      <c r="R22" s="109"/>
      <c r="S22" s="109"/>
      <c r="T22" s="109"/>
      <c r="U22" s="109"/>
      <c r="V22" s="109"/>
      <c r="W22" s="109"/>
      <c r="X22" s="109"/>
      <c r="Y22" s="109"/>
      <c r="Z22" s="109"/>
    </row>
    <row r="23" ht="15.75" customHeight="1">
      <c r="A23" s="407">
        <v>45979.0</v>
      </c>
      <c r="B23" s="216">
        <v>1261932.0</v>
      </c>
      <c r="C23" s="216">
        <v>0.0</v>
      </c>
      <c r="D23" s="216">
        <v>2735000.0</v>
      </c>
      <c r="E23" s="216">
        <v>3.0</v>
      </c>
      <c r="F23" s="216">
        <v>1.0</v>
      </c>
      <c r="G23" s="216">
        <v>30.0</v>
      </c>
      <c r="H23" s="216">
        <v>9.0</v>
      </c>
      <c r="I23" s="216">
        <v>2.0</v>
      </c>
      <c r="J23" s="216">
        <v>2.0</v>
      </c>
      <c r="K23" s="216" t="s">
        <v>921</v>
      </c>
      <c r="L23" s="109">
        <f t="shared" si="2"/>
        <v>11</v>
      </c>
      <c r="M23" s="109"/>
      <c r="N23" s="109"/>
      <c r="O23" s="109"/>
      <c r="P23" s="109"/>
      <c r="Q23" s="109"/>
      <c r="R23" s="109"/>
      <c r="S23" s="109"/>
      <c r="T23" s="109"/>
      <c r="U23" s="109"/>
      <c r="V23" s="109"/>
      <c r="W23" s="109"/>
      <c r="X23" s="109"/>
      <c r="Y23" s="109"/>
      <c r="Z23" s="109"/>
    </row>
    <row r="24" ht="15.75" customHeight="1">
      <c r="A24" s="407">
        <v>45980.0</v>
      </c>
      <c r="B24" s="216">
        <v>0.0</v>
      </c>
      <c r="C24" s="216">
        <v>0.0</v>
      </c>
      <c r="D24" s="216"/>
      <c r="E24" s="216">
        <v>0.0</v>
      </c>
      <c r="F24" s="216">
        <v>0.0</v>
      </c>
      <c r="G24" s="216">
        <v>1.0</v>
      </c>
      <c r="H24" s="216">
        <v>1.0</v>
      </c>
      <c r="I24" s="216">
        <v>0.0</v>
      </c>
      <c r="J24" s="216">
        <v>0.0</v>
      </c>
      <c r="K24" s="216" t="s">
        <v>143</v>
      </c>
      <c r="L24" s="109">
        <f t="shared" si="2"/>
        <v>11</v>
      </c>
      <c r="M24" s="109"/>
      <c r="N24" s="109"/>
      <c r="O24" s="109"/>
      <c r="P24" s="109"/>
      <c r="Q24" s="109"/>
      <c r="R24" s="109"/>
      <c r="S24" s="109"/>
      <c r="T24" s="109"/>
      <c r="U24" s="109"/>
      <c r="V24" s="109"/>
      <c r="W24" s="109"/>
      <c r="X24" s="109"/>
      <c r="Y24" s="109"/>
      <c r="Z24" s="109"/>
    </row>
    <row r="25" ht="15.75" customHeight="1">
      <c r="A25" s="503">
        <v>46066.0</v>
      </c>
      <c r="B25" s="504">
        <v>1456380.0</v>
      </c>
      <c r="C25" s="216"/>
      <c r="D25" s="504"/>
      <c r="E25" s="216"/>
      <c r="F25" s="216"/>
      <c r="G25" s="216"/>
      <c r="H25" s="216"/>
      <c r="I25" s="216"/>
      <c r="J25" s="504">
        <v>1.0</v>
      </c>
      <c r="K25" s="216"/>
      <c r="L25" s="109">
        <f t="shared" si="2"/>
        <v>2</v>
      </c>
      <c r="M25" s="109"/>
      <c r="N25" s="109"/>
      <c r="O25" s="109"/>
      <c r="P25" s="109"/>
      <c r="Q25" s="109"/>
      <c r="R25" s="109"/>
      <c r="S25" s="109"/>
      <c r="T25" s="109"/>
      <c r="U25" s="109"/>
      <c r="V25" s="109"/>
      <c r="W25" s="109"/>
      <c r="X25" s="109"/>
      <c r="Y25" s="109"/>
      <c r="Z25" s="109"/>
    </row>
    <row r="26" ht="15.75" customHeight="1">
      <c r="A26" s="503">
        <v>46067.0</v>
      </c>
      <c r="B26" s="216"/>
      <c r="C26" s="216"/>
      <c r="D26" s="216"/>
      <c r="E26" s="216"/>
      <c r="F26" s="216"/>
      <c r="G26" s="216"/>
      <c r="H26" s="216"/>
      <c r="I26" s="216"/>
      <c r="J26" s="216"/>
      <c r="K26" s="216"/>
      <c r="L26" s="109">
        <f t="shared" si="2"/>
        <v>2</v>
      </c>
      <c r="M26" s="109"/>
      <c r="N26" s="109"/>
      <c r="O26" s="109"/>
      <c r="P26" s="109"/>
      <c r="Q26" s="109"/>
      <c r="R26" s="109"/>
      <c r="S26" s="109"/>
      <c r="T26" s="109"/>
      <c r="U26" s="109"/>
      <c r="V26" s="109"/>
      <c r="W26" s="109"/>
      <c r="X26" s="109"/>
      <c r="Y26" s="109"/>
      <c r="Z26" s="109"/>
    </row>
    <row r="27" ht="15.75" customHeight="1">
      <c r="A27" s="503">
        <v>46068.0</v>
      </c>
      <c r="B27" s="216"/>
      <c r="C27" s="216"/>
      <c r="D27" s="216"/>
      <c r="E27" s="216"/>
      <c r="F27" s="216"/>
      <c r="G27" s="216"/>
      <c r="H27" s="216"/>
      <c r="I27" s="216"/>
      <c r="J27" s="216"/>
      <c r="K27" s="216"/>
      <c r="L27" s="109">
        <f t="shared" si="2"/>
        <v>2</v>
      </c>
      <c r="M27" s="109"/>
      <c r="N27" s="109"/>
      <c r="O27" s="109"/>
      <c r="P27" s="109"/>
      <c r="Q27" s="109"/>
      <c r="R27" s="109"/>
      <c r="S27" s="109"/>
      <c r="T27" s="109"/>
      <c r="U27" s="109"/>
      <c r="V27" s="109"/>
      <c r="W27" s="109"/>
      <c r="X27" s="109"/>
      <c r="Y27" s="109"/>
      <c r="Z27" s="109"/>
    </row>
    <row r="28" ht="15.75" customHeight="1">
      <c r="A28" s="503">
        <v>46069.0</v>
      </c>
      <c r="B28" s="216"/>
      <c r="C28" s="216"/>
      <c r="D28" s="216"/>
      <c r="E28" s="216"/>
      <c r="F28" s="216"/>
      <c r="G28" s="216"/>
      <c r="H28" s="216"/>
      <c r="I28" s="216"/>
      <c r="J28" s="216"/>
      <c r="K28" s="216"/>
      <c r="L28" s="109">
        <f t="shared" si="2"/>
        <v>2</v>
      </c>
      <c r="M28" s="109"/>
      <c r="N28" s="109"/>
      <c r="O28" s="109"/>
      <c r="P28" s="109"/>
      <c r="Q28" s="109"/>
      <c r="R28" s="109"/>
      <c r="S28" s="109"/>
      <c r="T28" s="109"/>
      <c r="U28" s="109"/>
      <c r="V28" s="109"/>
      <c r="W28" s="109"/>
      <c r="X28" s="109"/>
      <c r="Y28" s="109"/>
      <c r="Z28" s="109"/>
    </row>
    <row r="29" ht="15.75" customHeight="1">
      <c r="A29" s="503">
        <v>46070.0</v>
      </c>
      <c r="B29" s="216"/>
      <c r="C29" s="216"/>
      <c r="D29" s="216"/>
      <c r="E29" s="216"/>
      <c r="F29" s="216"/>
      <c r="G29" s="216"/>
      <c r="H29" s="216"/>
      <c r="I29" s="216"/>
      <c r="J29" s="216"/>
      <c r="K29" s="216"/>
      <c r="L29" s="109">
        <f t="shared" si="2"/>
        <v>2</v>
      </c>
      <c r="M29" s="109"/>
      <c r="N29" s="109"/>
      <c r="O29" s="109"/>
      <c r="P29" s="109"/>
      <c r="Q29" s="109"/>
      <c r="R29" s="109"/>
      <c r="S29" s="109"/>
      <c r="T29" s="109"/>
      <c r="U29" s="109"/>
      <c r="V29" s="109"/>
      <c r="W29" s="109"/>
      <c r="X29" s="109"/>
      <c r="Y29" s="109"/>
      <c r="Z29" s="109"/>
    </row>
    <row r="30" ht="15.75" customHeight="1">
      <c r="A30" s="503">
        <v>46071.0</v>
      </c>
      <c r="B30" s="216"/>
      <c r="C30" s="216"/>
      <c r="D30" s="216"/>
      <c r="E30" s="216"/>
      <c r="F30" s="216"/>
      <c r="G30" s="216"/>
      <c r="H30" s="216"/>
      <c r="I30" s="216"/>
      <c r="J30" s="216"/>
      <c r="K30" s="216"/>
      <c r="L30" s="109">
        <f t="shared" si="2"/>
        <v>2</v>
      </c>
      <c r="M30" s="109"/>
      <c r="N30" s="109"/>
      <c r="O30" s="109"/>
      <c r="P30" s="109"/>
      <c r="Q30" s="109"/>
      <c r="R30" s="109"/>
      <c r="S30" s="109"/>
      <c r="T30" s="109"/>
      <c r="U30" s="109"/>
      <c r="V30" s="109"/>
      <c r="W30" s="109"/>
      <c r="X30" s="109"/>
      <c r="Y30" s="109"/>
      <c r="Z30" s="109"/>
    </row>
    <row r="31" ht="15.75" customHeight="1">
      <c r="A31" s="503">
        <v>46072.0</v>
      </c>
      <c r="B31" s="216"/>
      <c r="C31" s="216"/>
      <c r="D31" s="216"/>
      <c r="E31" s="216"/>
      <c r="F31" s="216"/>
      <c r="G31" s="216"/>
      <c r="H31" s="216"/>
      <c r="I31" s="216"/>
      <c r="J31" s="216"/>
      <c r="K31" s="216"/>
      <c r="L31" s="109">
        <f t="shared" si="2"/>
        <v>2</v>
      </c>
      <c r="M31" s="109"/>
      <c r="N31" s="109"/>
      <c r="O31" s="109"/>
      <c r="P31" s="109"/>
      <c r="Q31" s="109"/>
      <c r="R31" s="109"/>
      <c r="S31" s="109"/>
      <c r="T31" s="109"/>
      <c r="U31" s="109"/>
      <c r="V31" s="109"/>
      <c r="W31" s="109"/>
      <c r="X31" s="109"/>
      <c r="Y31" s="109"/>
      <c r="Z31" s="109"/>
    </row>
    <row r="32" ht="15.75" customHeight="1">
      <c r="A32" s="503">
        <v>46073.0</v>
      </c>
      <c r="B32" s="216"/>
      <c r="C32" s="216"/>
      <c r="D32" s="216"/>
      <c r="E32" s="216"/>
      <c r="F32" s="216"/>
      <c r="G32" s="216"/>
      <c r="H32" s="216"/>
      <c r="I32" s="216"/>
      <c r="J32" s="216"/>
      <c r="K32" s="216"/>
      <c r="L32" s="109">
        <f t="shared" si="2"/>
        <v>2</v>
      </c>
      <c r="M32" s="109"/>
      <c r="N32" s="109"/>
      <c r="O32" s="109"/>
      <c r="P32" s="109"/>
      <c r="Q32" s="109"/>
      <c r="R32" s="109"/>
      <c r="S32" s="109"/>
      <c r="T32" s="109"/>
      <c r="U32" s="109"/>
      <c r="V32" s="109"/>
      <c r="W32" s="109"/>
      <c r="X32" s="109"/>
      <c r="Y32" s="109"/>
      <c r="Z32" s="109"/>
    </row>
    <row r="33" ht="15.75" customHeight="1">
      <c r="A33" s="503">
        <v>46074.0</v>
      </c>
      <c r="B33" s="216"/>
      <c r="C33" s="216"/>
      <c r="D33" s="216"/>
      <c r="E33" s="216"/>
      <c r="F33" s="216"/>
      <c r="G33" s="216"/>
      <c r="H33" s="216"/>
      <c r="I33" s="216"/>
      <c r="J33" s="216"/>
      <c r="K33" s="216"/>
      <c r="L33" s="109">
        <f t="shared" si="2"/>
        <v>2</v>
      </c>
      <c r="M33" s="109"/>
      <c r="N33" s="109"/>
      <c r="O33" s="109"/>
      <c r="P33" s="109"/>
      <c r="Q33" s="109"/>
      <c r="R33" s="109"/>
      <c r="S33" s="109"/>
      <c r="T33" s="109"/>
      <c r="U33" s="109"/>
      <c r="V33" s="109"/>
      <c r="W33" s="109"/>
      <c r="X33" s="109"/>
      <c r="Y33" s="109"/>
      <c r="Z33" s="109"/>
    </row>
    <row r="34" ht="15.75" customHeight="1">
      <c r="A34" s="503">
        <v>46075.0</v>
      </c>
      <c r="B34" s="216"/>
      <c r="C34" s="216"/>
      <c r="D34" s="216"/>
      <c r="E34" s="216"/>
      <c r="F34" s="216"/>
      <c r="G34" s="216"/>
      <c r="H34" s="216"/>
      <c r="I34" s="216"/>
      <c r="J34" s="216"/>
      <c r="K34" s="216"/>
      <c r="L34" s="109">
        <f t="shared" si="2"/>
        <v>2</v>
      </c>
      <c r="M34" s="109"/>
      <c r="N34" s="109"/>
      <c r="O34" s="109"/>
      <c r="P34" s="109"/>
      <c r="Q34" s="109"/>
      <c r="R34" s="109"/>
      <c r="S34" s="109"/>
      <c r="T34" s="109"/>
      <c r="U34" s="109"/>
      <c r="V34" s="109"/>
      <c r="W34" s="109"/>
      <c r="X34" s="109"/>
      <c r="Y34" s="109"/>
      <c r="Z34" s="109"/>
    </row>
    <row r="35" ht="15.75" customHeight="1">
      <c r="A35" s="503">
        <v>46076.0</v>
      </c>
      <c r="B35" s="216"/>
      <c r="C35" s="216"/>
      <c r="D35" s="216"/>
      <c r="E35" s="216"/>
      <c r="F35" s="216"/>
      <c r="G35" s="216"/>
      <c r="H35" s="216"/>
      <c r="I35" s="216"/>
      <c r="J35" s="216"/>
      <c r="K35" s="216"/>
      <c r="L35" s="109">
        <f t="shared" si="2"/>
        <v>2</v>
      </c>
      <c r="M35" s="109"/>
      <c r="N35" s="109"/>
      <c r="O35" s="109"/>
      <c r="P35" s="109"/>
      <c r="Q35" s="109"/>
      <c r="R35" s="109"/>
      <c r="S35" s="109"/>
      <c r="T35" s="109"/>
      <c r="U35" s="109"/>
      <c r="V35" s="109"/>
      <c r="W35" s="109"/>
      <c r="X35" s="109"/>
      <c r="Y35" s="109"/>
      <c r="Z35" s="109"/>
    </row>
    <row r="36" ht="15.75" customHeight="1">
      <c r="A36" s="503">
        <v>46077.0</v>
      </c>
      <c r="B36" s="109"/>
      <c r="C36" s="109"/>
      <c r="D36" s="109"/>
      <c r="E36" s="109"/>
      <c r="F36" s="109"/>
      <c r="G36" s="109"/>
      <c r="H36" s="109"/>
      <c r="I36" s="109"/>
      <c r="J36" s="109"/>
      <c r="K36" s="109"/>
      <c r="L36" s="109">
        <f t="shared" si="2"/>
        <v>2</v>
      </c>
      <c r="M36" s="109"/>
      <c r="N36" s="109"/>
      <c r="O36" s="109"/>
      <c r="P36" s="109"/>
      <c r="Q36" s="109"/>
      <c r="R36" s="109"/>
      <c r="S36" s="109"/>
      <c r="T36" s="109"/>
      <c r="U36" s="109"/>
      <c r="V36" s="109"/>
      <c r="W36" s="109"/>
      <c r="X36" s="109"/>
      <c r="Y36" s="109"/>
      <c r="Z36" s="109"/>
    </row>
    <row r="37" ht="15.75" customHeight="1">
      <c r="A37" s="503">
        <v>46078.0</v>
      </c>
      <c r="B37" s="254">
        <v>776000.0</v>
      </c>
      <c r="C37" s="109"/>
      <c r="D37" s="109"/>
      <c r="E37" s="109"/>
      <c r="F37" s="109"/>
      <c r="G37" s="109"/>
      <c r="H37" s="109"/>
      <c r="I37" s="109"/>
      <c r="J37" s="254">
        <v>1.0</v>
      </c>
      <c r="K37" s="109"/>
      <c r="L37" s="109">
        <f t="shared" si="2"/>
        <v>2</v>
      </c>
      <c r="M37" s="109"/>
      <c r="N37" s="109"/>
      <c r="O37" s="109"/>
      <c r="P37" s="109"/>
      <c r="Q37" s="109"/>
      <c r="R37" s="109"/>
      <c r="S37" s="109"/>
      <c r="T37" s="109"/>
      <c r="U37" s="109"/>
      <c r="V37" s="109"/>
      <c r="W37" s="109"/>
      <c r="X37" s="109"/>
      <c r="Y37" s="109"/>
      <c r="Z37" s="109"/>
    </row>
    <row r="38" ht="15.75" customHeight="1">
      <c r="A38" s="503">
        <v>46079.0</v>
      </c>
      <c r="B38" s="109"/>
      <c r="C38" s="109"/>
      <c r="D38" s="109"/>
      <c r="E38" s="109"/>
      <c r="F38" s="109"/>
      <c r="G38" s="109"/>
      <c r="H38" s="109"/>
      <c r="I38" s="109"/>
      <c r="J38" s="109"/>
      <c r="K38" s="109"/>
      <c r="L38" s="109">
        <f t="shared" si="2"/>
        <v>2</v>
      </c>
      <c r="M38" s="109"/>
      <c r="N38" s="109"/>
      <c r="O38" s="109"/>
      <c r="P38" s="109"/>
      <c r="Q38" s="109"/>
      <c r="R38" s="109"/>
      <c r="S38" s="109"/>
      <c r="T38" s="109"/>
      <c r="U38" s="109"/>
      <c r="V38" s="109"/>
      <c r="W38" s="109"/>
      <c r="X38" s="109"/>
      <c r="Y38" s="109"/>
      <c r="Z38" s="109"/>
    </row>
    <row r="39" ht="15.75" customHeight="1">
      <c r="A39" s="503">
        <v>46080.0</v>
      </c>
      <c r="B39" s="109"/>
      <c r="C39" s="109"/>
      <c r="D39" s="109"/>
      <c r="E39" s="109"/>
      <c r="F39" s="109"/>
      <c r="G39" s="109"/>
      <c r="H39" s="109"/>
      <c r="I39" s="109"/>
      <c r="J39" s="109"/>
      <c r="K39" s="109"/>
      <c r="L39" s="109">
        <f t="shared" si="2"/>
        <v>2</v>
      </c>
      <c r="M39" s="109"/>
      <c r="N39" s="109"/>
      <c r="O39" s="109"/>
      <c r="P39" s="109"/>
      <c r="Q39" s="109"/>
      <c r="R39" s="109"/>
      <c r="S39" s="109"/>
      <c r="T39" s="109"/>
      <c r="U39" s="109"/>
      <c r="V39" s="109"/>
      <c r="W39" s="109"/>
      <c r="X39" s="109"/>
      <c r="Y39" s="109"/>
      <c r="Z39" s="109"/>
    </row>
    <row r="40" ht="15.75" customHeight="1">
      <c r="A40" s="503">
        <v>46081.0</v>
      </c>
      <c r="B40" s="109"/>
      <c r="C40" s="109"/>
      <c r="D40" s="109"/>
      <c r="E40" s="109"/>
      <c r="F40" s="109"/>
      <c r="G40" s="109"/>
      <c r="H40" s="109"/>
      <c r="I40" s="109"/>
      <c r="J40" s="109"/>
      <c r="K40" s="109"/>
      <c r="L40" s="109">
        <f t="shared" si="2"/>
        <v>2</v>
      </c>
      <c r="M40" s="109"/>
      <c r="N40" s="109"/>
      <c r="O40" s="109"/>
      <c r="P40" s="109"/>
      <c r="Q40" s="109"/>
      <c r="R40" s="109"/>
      <c r="S40" s="109"/>
      <c r="T40" s="109"/>
      <c r="U40" s="109"/>
      <c r="V40" s="109"/>
      <c r="W40" s="109"/>
      <c r="X40" s="109"/>
      <c r="Y40" s="109"/>
      <c r="Z40" s="109"/>
    </row>
    <row r="41"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ht="15.7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ht="15.7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ht="15.7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ht="15.7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ht="15.7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ht="15.7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ht="15.7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ht="15.7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ht="15.7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ht="15.7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ht="15.7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ht="15.7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ht="15.7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ht="15.7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ht="15.7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ht="15.7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ht="15.7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ht="15.7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ht="15.7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ht="15.7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ht="15.7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ht="15.7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ht="15.7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ht="15.7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ht="15.7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ht="15.7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ht="15.7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ht="15.7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ht="15.7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ht="15.7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ht="15.7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ht="15.7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ht="15.7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ht="15.7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ht="15.7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ht="15.7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ht="15.7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ht="15.7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ht="15.7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ht="15.7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ht="15.7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ht="15.7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ht="15.7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ht="15.7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ht="15.7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ht="15.7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ht="15.7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ht="15.7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ht="15.7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ht="15.7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ht="15.7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ht="15.7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ht="15.7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ht="15.7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ht="15.7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ht="15.7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ht="15.7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ht="15.7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ht="15.7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ht="15.7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ht="15.7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ht="15.7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ht="15.7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ht="15.7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ht="15.7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ht="15.7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ht="15.7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ht="15.7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ht="15.7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ht="15.7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ht="15.7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ht="15.7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ht="15.7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ht="15.7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ht="15.7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ht="15.7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ht="15.7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ht="15.7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ht="15.7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ht="15.7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ht="15.7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ht="15.7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ht="15.7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ht="15.7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ht="15.7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ht="15.7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ht="15.7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ht="15.7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ht="15.7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ht="15.7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ht="15.7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ht="15.7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ht="15.7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ht="15.7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ht="15.7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ht="15.7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ht="15.7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ht="15.7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ht="15.7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ht="15.7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ht="15.7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ht="15.7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ht="15.7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ht="15.7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5.7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ht="15.7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ht="15.7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ht="15.7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ht="15.7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ht="15.7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ht="15.7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ht="15.7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ht="15.7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ht="15.7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ht="15.7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ht="15.7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ht="15.7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ht="15.7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ht="15.7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ht="15.7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ht="15.7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ht="15.7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ht="15.7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ht="15.7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ht="15.7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ht="15.7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ht="15.7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ht="15.7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ht="15.7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ht="15.7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ht="15.7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ht="15.7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ht="15.7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ht="15.7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ht="15.7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ht="15.7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ht="15.7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mergeCells count="1">
    <mergeCell ref="A4:B4"/>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5" max="5" width="22.5"/>
    <col customWidth="1" min="6" max="6" width="26.5"/>
  </cols>
  <sheetData>
    <row r="1">
      <c r="A1" s="505" t="s">
        <v>1131</v>
      </c>
      <c r="E1" s="506">
        <f>SUM(E3:E32)</f>
        <v>91982</v>
      </c>
    </row>
    <row r="2">
      <c r="A2" s="507" t="s">
        <v>1132</v>
      </c>
      <c r="B2" s="508" t="s">
        <v>1133</v>
      </c>
      <c r="C2" s="508" t="s">
        <v>1134</v>
      </c>
      <c r="D2" s="508" t="s">
        <v>1135</v>
      </c>
      <c r="E2" s="508" t="s">
        <v>86</v>
      </c>
      <c r="F2" s="508" t="s">
        <v>1136</v>
      </c>
      <c r="G2" s="508" t="s">
        <v>944</v>
      </c>
      <c r="H2" s="508" t="s">
        <v>1137</v>
      </c>
    </row>
    <row r="3">
      <c r="A3" s="509" t="s">
        <v>1138</v>
      </c>
      <c r="B3" s="509" t="s">
        <v>1139</v>
      </c>
      <c r="C3" s="510">
        <v>0.0</v>
      </c>
      <c r="D3" s="510">
        <v>0.0</v>
      </c>
      <c r="E3" s="510">
        <v>6879.0</v>
      </c>
      <c r="F3" s="510">
        <v>0.0</v>
      </c>
      <c r="G3" s="509" t="s">
        <v>867</v>
      </c>
      <c r="H3" s="509" t="s">
        <v>1140</v>
      </c>
    </row>
    <row r="4">
      <c r="A4" s="509" t="s">
        <v>1141</v>
      </c>
      <c r="B4" s="509" t="s">
        <v>1142</v>
      </c>
      <c r="C4" s="510">
        <v>0.0</v>
      </c>
      <c r="D4" s="510">
        <v>0.0</v>
      </c>
      <c r="E4" s="510">
        <v>1309.0</v>
      </c>
      <c r="F4" s="510">
        <v>0.0</v>
      </c>
      <c r="G4" s="509" t="s">
        <v>867</v>
      </c>
      <c r="H4" s="509" t="s">
        <v>1140</v>
      </c>
    </row>
    <row r="5">
      <c r="A5" s="509" t="s">
        <v>1143</v>
      </c>
      <c r="B5" s="509" t="s">
        <v>1144</v>
      </c>
      <c r="C5" s="510">
        <v>0.0</v>
      </c>
      <c r="D5" s="510">
        <v>0.0</v>
      </c>
      <c r="E5" s="510">
        <v>1669.0</v>
      </c>
      <c r="F5" s="510">
        <v>0.0</v>
      </c>
      <c r="G5" s="509" t="s">
        <v>867</v>
      </c>
      <c r="H5" s="509" t="s">
        <v>1140</v>
      </c>
    </row>
    <row r="6">
      <c r="A6" s="509" t="s">
        <v>1145</v>
      </c>
      <c r="B6" s="509" t="s">
        <v>1146</v>
      </c>
      <c r="C6" s="510">
        <v>0.0</v>
      </c>
      <c r="D6" s="510">
        <v>0.0</v>
      </c>
      <c r="E6" s="510">
        <v>1157.0</v>
      </c>
      <c r="F6" s="510">
        <v>0.0</v>
      </c>
      <c r="G6" s="509" t="s">
        <v>867</v>
      </c>
      <c r="H6" s="509" t="s">
        <v>1140</v>
      </c>
    </row>
    <row r="7">
      <c r="A7" s="509" t="s">
        <v>1147</v>
      </c>
      <c r="B7" s="509" t="s">
        <v>1148</v>
      </c>
      <c r="C7" s="510">
        <v>0.0</v>
      </c>
      <c r="D7" s="510">
        <v>0.0</v>
      </c>
      <c r="E7" s="510">
        <v>2894.0</v>
      </c>
      <c r="F7" s="510">
        <v>0.0</v>
      </c>
      <c r="G7" s="509" t="s">
        <v>867</v>
      </c>
      <c r="H7" s="509" t="s">
        <v>1140</v>
      </c>
    </row>
    <row r="8">
      <c r="A8" s="509" t="s">
        <v>1149</v>
      </c>
      <c r="B8" s="509" t="s">
        <v>1150</v>
      </c>
      <c r="C8" s="510">
        <v>0.0</v>
      </c>
      <c r="D8" s="510">
        <v>0.0</v>
      </c>
      <c r="E8" s="510">
        <v>4111.0</v>
      </c>
      <c r="F8" s="510">
        <v>0.0</v>
      </c>
      <c r="G8" s="509" t="s">
        <v>867</v>
      </c>
      <c r="H8" s="509" t="s">
        <v>1140</v>
      </c>
    </row>
    <row r="9">
      <c r="A9" s="509" t="s">
        <v>1151</v>
      </c>
      <c r="B9" s="509" t="s">
        <v>1152</v>
      </c>
      <c r="C9" s="510">
        <v>0.0</v>
      </c>
      <c r="D9" s="510">
        <v>0.0</v>
      </c>
      <c r="E9" s="510">
        <v>3474.0</v>
      </c>
      <c r="F9" s="510">
        <v>0.0</v>
      </c>
      <c r="G9" s="509" t="s">
        <v>867</v>
      </c>
      <c r="H9" s="509" t="s">
        <v>1140</v>
      </c>
    </row>
    <row r="10">
      <c r="A10" s="509" t="s">
        <v>1153</v>
      </c>
      <c r="B10" s="509" t="s">
        <v>1154</v>
      </c>
      <c r="C10" s="510">
        <v>0.0</v>
      </c>
      <c r="D10" s="510">
        <v>0.0</v>
      </c>
      <c r="E10" s="510">
        <v>5689.0</v>
      </c>
      <c r="F10" s="510">
        <v>0.0</v>
      </c>
      <c r="G10" s="509" t="s">
        <v>867</v>
      </c>
      <c r="H10" s="509" t="s">
        <v>1140</v>
      </c>
    </row>
    <row r="11">
      <c r="A11" s="509" t="s">
        <v>1155</v>
      </c>
      <c r="B11" s="509" t="s">
        <v>1156</v>
      </c>
      <c r="C11" s="510">
        <v>0.0</v>
      </c>
      <c r="D11" s="510">
        <v>0.0</v>
      </c>
      <c r="E11" s="510">
        <v>650.0</v>
      </c>
      <c r="F11" s="510">
        <v>0.0</v>
      </c>
      <c r="G11" s="509" t="s">
        <v>867</v>
      </c>
      <c r="H11" s="509" t="s">
        <v>1140</v>
      </c>
    </row>
    <row r="12">
      <c r="A12" s="509" t="s">
        <v>1157</v>
      </c>
      <c r="B12" s="509" t="s">
        <v>1158</v>
      </c>
      <c r="C12" s="510">
        <v>0.0</v>
      </c>
      <c r="D12" s="510">
        <v>0.0</v>
      </c>
      <c r="E12" s="510">
        <v>1083.0</v>
      </c>
      <c r="F12" s="510">
        <v>0.0</v>
      </c>
      <c r="G12" s="509" t="s">
        <v>867</v>
      </c>
      <c r="H12" s="509" t="s">
        <v>1140</v>
      </c>
    </row>
    <row r="13">
      <c r="A13" s="509" t="s">
        <v>1159</v>
      </c>
      <c r="B13" s="509" t="s">
        <v>1160</v>
      </c>
      <c r="C13" s="510">
        <v>0.0</v>
      </c>
      <c r="D13" s="510">
        <v>0.0</v>
      </c>
      <c r="E13" s="510">
        <v>2054.0</v>
      </c>
      <c r="F13" s="510">
        <v>0.0</v>
      </c>
      <c r="G13" s="509" t="s">
        <v>867</v>
      </c>
      <c r="H13" s="509" t="s">
        <v>1140</v>
      </c>
    </row>
    <row r="14">
      <c r="A14" s="509" t="s">
        <v>1161</v>
      </c>
      <c r="B14" s="509" t="s">
        <v>842</v>
      </c>
      <c r="C14" s="510">
        <v>0.0</v>
      </c>
      <c r="D14" s="510">
        <v>0.0</v>
      </c>
      <c r="E14" s="510">
        <v>2817.0</v>
      </c>
      <c r="F14" s="510">
        <v>0.0</v>
      </c>
      <c r="G14" s="509" t="s">
        <v>867</v>
      </c>
      <c r="H14" s="509" t="s">
        <v>1140</v>
      </c>
    </row>
    <row r="15">
      <c r="A15" s="509" t="s">
        <v>1162</v>
      </c>
      <c r="B15" s="509" t="s">
        <v>1163</v>
      </c>
      <c r="C15" s="510">
        <v>0.0</v>
      </c>
      <c r="D15" s="510">
        <v>0.0</v>
      </c>
      <c r="E15" s="510">
        <v>254.0</v>
      </c>
      <c r="F15" s="510">
        <v>0.0</v>
      </c>
      <c r="G15" s="509" t="s">
        <v>867</v>
      </c>
      <c r="H15" s="509" t="s">
        <v>1140</v>
      </c>
    </row>
    <row r="16">
      <c r="A16" s="509" t="s">
        <v>1164</v>
      </c>
      <c r="B16" s="509" t="s">
        <v>1165</v>
      </c>
      <c r="C16" s="510">
        <v>0.0</v>
      </c>
      <c r="D16" s="510">
        <v>0.0</v>
      </c>
      <c r="E16" s="510">
        <v>1191.0</v>
      </c>
      <c r="F16" s="510">
        <v>0.0</v>
      </c>
      <c r="G16" s="509" t="s">
        <v>867</v>
      </c>
      <c r="H16" s="509" t="s">
        <v>1140</v>
      </c>
    </row>
    <row r="17">
      <c r="A17" s="509" t="s">
        <v>1166</v>
      </c>
      <c r="B17" s="509" t="s">
        <v>844</v>
      </c>
      <c r="C17" s="510">
        <v>0.0</v>
      </c>
      <c r="D17" s="510">
        <v>0.0</v>
      </c>
      <c r="E17" s="510">
        <v>1357.0</v>
      </c>
      <c r="F17" s="510">
        <v>0.0</v>
      </c>
      <c r="G17" s="509" t="s">
        <v>867</v>
      </c>
      <c r="H17" s="509" t="s">
        <v>1140</v>
      </c>
    </row>
    <row r="18">
      <c r="A18" s="509" t="s">
        <v>1167</v>
      </c>
      <c r="B18" s="509" t="s">
        <v>1168</v>
      </c>
      <c r="C18" s="510">
        <v>0.0</v>
      </c>
      <c r="D18" s="510">
        <v>0.0</v>
      </c>
      <c r="E18" s="510">
        <v>4304.0</v>
      </c>
      <c r="F18" s="510">
        <v>0.0</v>
      </c>
      <c r="G18" s="509" t="s">
        <v>867</v>
      </c>
      <c r="H18" s="509" t="s">
        <v>1140</v>
      </c>
    </row>
    <row r="19">
      <c r="A19" s="509" t="s">
        <v>1169</v>
      </c>
      <c r="B19" s="509" t="s">
        <v>587</v>
      </c>
      <c r="C19" s="510">
        <v>0.0</v>
      </c>
      <c r="D19" s="510">
        <v>0.0</v>
      </c>
      <c r="E19" s="510">
        <v>6590.0</v>
      </c>
      <c r="F19" s="510">
        <v>0.0</v>
      </c>
      <c r="G19" s="509" t="s">
        <v>867</v>
      </c>
      <c r="H19" s="509" t="s">
        <v>1140</v>
      </c>
    </row>
    <row r="20">
      <c r="A20" s="509" t="s">
        <v>1170</v>
      </c>
      <c r="B20" s="509" t="s">
        <v>841</v>
      </c>
      <c r="C20" s="510">
        <v>0.0</v>
      </c>
      <c r="D20" s="510">
        <v>0.0</v>
      </c>
      <c r="E20" s="510">
        <v>1969.0</v>
      </c>
      <c r="F20" s="510">
        <v>0.0</v>
      </c>
      <c r="G20" s="509" t="s">
        <v>867</v>
      </c>
      <c r="H20" s="509" t="s">
        <v>1140</v>
      </c>
    </row>
    <row r="21">
      <c r="A21" s="509" t="s">
        <v>1171</v>
      </c>
      <c r="B21" s="509" t="s">
        <v>838</v>
      </c>
      <c r="C21" s="510">
        <v>0.0</v>
      </c>
      <c r="D21" s="510">
        <v>0.0</v>
      </c>
      <c r="E21" s="510">
        <v>381.0</v>
      </c>
      <c r="F21" s="510">
        <v>0.0</v>
      </c>
      <c r="G21" s="509" t="s">
        <v>867</v>
      </c>
      <c r="H21" s="509" t="s">
        <v>1140</v>
      </c>
    </row>
    <row r="22">
      <c r="A22" s="509" t="s">
        <v>1172</v>
      </c>
      <c r="B22" s="509" t="s">
        <v>832</v>
      </c>
      <c r="C22" s="510">
        <v>0.0</v>
      </c>
      <c r="D22" s="510">
        <v>0.0</v>
      </c>
      <c r="E22" s="510">
        <v>3382.0</v>
      </c>
      <c r="F22" s="510">
        <v>0.0</v>
      </c>
      <c r="G22" s="509" t="s">
        <v>867</v>
      </c>
      <c r="H22" s="509" t="s">
        <v>1140</v>
      </c>
    </row>
    <row r="23">
      <c r="A23" s="509" t="s">
        <v>1173</v>
      </c>
      <c r="B23" s="509" t="s">
        <v>840</v>
      </c>
      <c r="C23" s="510">
        <v>0.0</v>
      </c>
      <c r="D23" s="510">
        <v>0.0</v>
      </c>
      <c r="E23" s="510">
        <v>1069.0</v>
      </c>
      <c r="F23" s="510">
        <v>0.0</v>
      </c>
      <c r="G23" s="509" t="s">
        <v>867</v>
      </c>
      <c r="H23" s="509" t="s">
        <v>1140</v>
      </c>
    </row>
    <row r="24">
      <c r="A24" s="509" t="s">
        <v>1174</v>
      </c>
      <c r="B24" s="509" t="s">
        <v>837</v>
      </c>
      <c r="C24" s="510">
        <v>0.0</v>
      </c>
      <c r="D24" s="510">
        <v>0.0</v>
      </c>
      <c r="E24" s="510">
        <v>1558.0</v>
      </c>
      <c r="F24" s="510">
        <v>0.0</v>
      </c>
      <c r="G24" s="509" t="s">
        <v>867</v>
      </c>
      <c r="H24" s="509" t="s">
        <v>1140</v>
      </c>
    </row>
    <row r="25">
      <c r="A25" s="509" t="s">
        <v>1175</v>
      </c>
      <c r="B25" s="509" t="s">
        <v>835</v>
      </c>
      <c r="C25" s="510">
        <v>0.0</v>
      </c>
      <c r="D25" s="510">
        <v>0.0</v>
      </c>
      <c r="E25" s="510">
        <v>2598.0</v>
      </c>
      <c r="F25" s="510">
        <v>0.0</v>
      </c>
      <c r="G25" s="509" t="s">
        <v>867</v>
      </c>
      <c r="H25" s="509" t="s">
        <v>1140</v>
      </c>
    </row>
    <row r="26">
      <c r="A26" s="509" t="s">
        <v>1176</v>
      </c>
      <c r="B26" s="509" t="s">
        <v>787</v>
      </c>
      <c r="C26" s="510">
        <v>0.0</v>
      </c>
      <c r="D26" s="510">
        <v>0.0</v>
      </c>
      <c r="E26" s="510">
        <v>13699.0</v>
      </c>
      <c r="F26" s="510">
        <v>0.0</v>
      </c>
      <c r="G26" s="509" t="s">
        <v>867</v>
      </c>
      <c r="H26" s="509" t="s">
        <v>1140</v>
      </c>
    </row>
    <row r="27">
      <c r="A27" s="509" t="s">
        <v>1177</v>
      </c>
      <c r="B27" s="509" t="s">
        <v>1178</v>
      </c>
      <c r="C27" s="510">
        <v>0.0</v>
      </c>
      <c r="D27" s="510">
        <v>0.0</v>
      </c>
      <c r="E27" s="510">
        <v>10596.0</v>
      </c>
      <c r="F27" s="510">
        <v>0.0</v>
      </c>
      <c r="G27" s="509" t="s">
        <v>867</v>
      </c>
      <c r="H27" s="509" t="s">
        <v>1140</v>
      </c>
    </row>
    <row r="28">
      <c r="A28" s="509" t="s">
        <v>1179</v>
      </c>
      <c r="B28" s="509" t="s">
        <v>1180</v>
      </c>
      <c r="C28" s="510">
        <v>0.0</v>
      </c>
      <c r="D28" s="510">
        <v>0.0</v>
      </c>
      <c r="E28" s="510">
        <v>2422.0</v>
      </c>
      <c r="F28" s="510">
        <v>0.0</v>
      </c>
      <c r="G28" s="509" t="s">
        <v>867</v>
      </c>
      <c r="H28" s="509" t="s">
        <v>1140</v>
      </c>
    </row>
    <row r="29">
      <c r="A29" s="509" t="s">
        <v>1181</v>
      </c>
      <c r="B29" s="509" t="s">
        <v>1182</v>
      </c>
      <c r="C29" s="510">
        <v>0.0</v>
      </c>
      <c r="D29" s="510">
        <v>0.0</v>
      </c>
      <c r="E29" s="510">
        <v>4060.0</v>
      </c>
      <c r="F29" s="510">
        <v>0.0</v>
      </c>
      <c r="G29" s="509" t="s">
        <v>867</v>
      </c>
      <c r="H29" s="509" t="s">
        <v>1140</v>
      </c>
    </row>
    <row r="30">
      <c r="A30" s="509" t="s">
        <v>1183</v>
      </c>
      <c r="B30" s="509" t="s">
        <v>1184</v>
      </c>
      <c r="C30" s="510">
        <v>0.0</v>
      </c>
      <c r="D30" s="510">
        <v>0.0</v>
      </c>
      <c r="E30" s="510">
        <v>1762.0</v>
      </c>
      <c r="F30" s="510">
        <v>0.0</v>
      </c>
      <c r="G30" s="509" t="s">
        <v>867</v>
      </c>
      <c r="H30" s="509" t="s">
        <v>1140</v>
      </c>
    </row>
    <row r="31">
      <c r="A31" s="509" t="s">
        <v>1185</v>
      </c>
      <c r="B31" s="509" t="s">
        <v>1186</v>
      </c>
      <c r="C31" s="510">
        <v>0.0</v>
      </c>
      <c r="D31" s="510">
        <v>0.0</v>
      </c>
      <c r="E31" s="510">
        <v>342.0</v>
      </c>
      <c r="F31" s="510">
        <v>0.0</v>
      </c>
      <c r="G31" s="509" t="s">
        <v>867</v>
      </c>
      <c r="H31" s="509" t="s">
        <v>1140</v>
      </c>
    </row>
    <row r="32">
      <c r="A32" s="509" t="s">
        <v>1187</v>
      </c>
      <c r="B32" s="509" t="s">
        <v>1188</v>
      </c>
      <c r="C32" s="510">
        <v>0.0</v>
      </c>
      <c r="D32" s="510">
        <v>0.0</v>
      </c>
      <c r="E32" s="510">
        <v>662.0</v>
      </c>
      <c r="F32" s="510">
        <v>0.0</v>
      </c>
      <c r="G32" s="509" t="s">
        <v>867</v>
      </c>
      <c r="H32" s="509" t="s">
        <v>1140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ht="15.75" customHeight="1"/>
    <row r="2" ht="15.75" customHeight="1"/>
    <row r="3" ht="15.75" customHeight="1">
      <c r="B3" s="241"/>
      <c r="C3" s="250"/>
      <c r="D3" s="511">
        <f t="shared" ref="D3:E3" si="1">SUM(D6:D14)</f>
        <v>0</v>
      </c>
      <c r="E3" s="511">
        <f t="shared" si="1"/>
        <v>0</v>
      </c>
      <c r="F3" s="512">
        <f>IFERROR(D3/E3,0)</f>
        <v>0</v>
      </c>
      <c r="G3" s="511">
        <f t="shared" ref="G3:H3" si="2">SUM(G6:G14)</f>
        <v>0</v>
      </c>
      <c r="H3" s="511">
        <f t="shared" si="2"/>
        <v>0</v>
      </c>
      <c r="I3" s="513">
        <f>IFERROR(E3/H3,0)</f>
        <v>0</v>
      </c>
      <c r="J3" s="511">
        <f t="shared" ref="J3:L3" si="3">SUM(J6:J14)</f>
        <v>0</v>
      </c>
      <c r="K3" s="511">
        <f t="shared" si="3"/>
        <v>0</v>
      </c>
      <c r="L3" s="511">
        <f t="shared" si="3"/>
        <v>0</v>
      </c>
    </row>
    <row r="4" ht="15.75" customHeight="1">
      <c r="B4" s="514" t="s">
        <v>1189</v>
      </c>
      <c r="C4" s="515"/>
      <c r="D4" s="515"/>
      <c r="E4" s="515"/>
      <c r="F4" s="515"/>
      <c r="G4" s="515"/>
      <c r="H4" s="515"/>
      <c r="I4" s="515"/>
      <c r="J4" s="515"/>
      <c r="K4" s="515"/>
      <c r="L4" s="516"/>
    </row>
    <row r="5" ht="15.75" customHeight="1">
      <c r="B5" s="517" t="s">
        <v>937</v>
      </c>
      <c r="C5" s="518" t="s">
        <v>1190</v>
      </c>
      <c r="D5" s="518" t="s">
        <v>1191</v>
      </c>
      <c r="E5" s="519" t="s">
        <v>1192</v>
      </c>
      <c r="F5" s="519" t="s">
        <v>1193</v>
      </c>
      <c r="G5" s="520" t="s">
        <v>1194</v>
      </c>
      <c r="H5" s="520" t="s">
        <v>1195</v>
      </c>
      <c r="I5" s="519" t="s">
        <v>1196</v>
      </c>
      <c r="J5" s="519" t="s">
        <v>1197</v>
      </c>
      <c r="K5" s="519" t="s">
        <v>1198</v>
      </c>
      <c r="L5" s="519" t="s">
        <v>1199</v>
      </c>
    </row>
    <row r="6" ht="15.75" customHeight="1">
      <c r="B6" s="521" t="s">
        <v>1200</v>
      </c>
      <c r="C6" s="522" t="s">
        <v>1189</v>
      </c>
      <c r="D6" s="523">
        <f t="shared" ref="D6:D14" si="4">SUMIFS($D$25:$D$299,$A$25:$A$299,$B6)</f>
        <v>0</v>
      </c>
      <c r="E6" s="523">
        <f t="shared" ref="E6:E14" si="5">SUMIFS(E$25:E$299,$A$25:$A$299,$B6)</f>
        <v>0</v>
      </c>
      <c r="F6" s="242">
        <f t="shared" ref="F6:F14" si="6">IFERROR(D6/E6,0)</f>
        <v>0</v>
      </c>
      <c r="G6" s="523">
        <f t="shared" ref="G6:G14" si="7">SUMIFS($G$25:$G$299,$A$25:$A$299,B6)</f>
        <v>0</v>
      </c>
      <c r="H6" s="523">
        <f t="shared" ref="H6:H14" si="8">SUMIFS($H$25:$H$299,$A$25:$A$299,B6)</f>
        <v>0</v>
      </c>
      <c r="I6" s="524">
        <f t="shared" ref="I6:I14" si="9">IFERROR(E6/H6,0)</f>
        <v>0</v>
      </c>
      <c r="J6" s="523">
        <f t="shared" ref="J6:J14" si="10">SUMIFS($J$25:$J$299,$A$25:$A$299,B6)</f>
        <v>0</v>
      </c>
      <c r="K6" s="523">
        <f t="shared" ref="K6:K14" si="11">SUMIFS($K$25:$K$299,$A$25:$A$299,B6)</f>
        <v>0</v>
      </c>
      <c r="L6" s="523">
        <f t="shared" ref="L6:L14" si="12">SUMIFS($L$25:$L$299,$A$25:$A$299,B6)</f>
        <v>0</v>
      </c>
    </row>
    <row r="7" ht="15.75" customHeight="1">
      <c r="B7" s="521" t="s">
        <v>1201</v>
      </c>
      <c r="C7" s="522" t="s">
        <v>1189</v>
      </c>
      <c r="D7" s="523">
        <f t="shared" si="4"/>
        <v>0</v>
      </c>
      <c r="E7" s="523">
        <f t="shared" si="5"/>
        <v>0</v>
      </c>
      <c r="F7" s="242">
        <f t="shared" si="6"/>
        <v>0</v>
      </c>
      <c r="G7" s="523">
        <f t="shared" si="7"/>
        <v>0</v>
      </c>
      <c r="H7" s="523">
        <f t="shared" si="8"/>
        <v>0</v>
      </c>
      <c r="I7" s="524">
        <f t="shared" si="9"/>
        <v>0</v>
      </c>
      <c r="J7" s="523">
        <f t="shared" si="10"/>
        <v>0</v>
      </c>
      <c r="K7" s="523">
        <f t="shared" si="11"/>
        <v>0</v>
      </c>
      <c r="L7" s="523">
        <f t="shared" si="12"/>
        <v>0</v>
      </c>
    </row>
    <row r="8" ht="15.75" customHeight="1">
      <c r="B8" s="521" t="s">
        <v>1202</v>
      </c>
      <c r="C8" s="522" t="s">
        <v>1189</v>
      </c>
      <c r="D8" s="523">
        <f t="shared" si="4"/>
        <v>0</v>
      </c>
      <c r="E8" s="523">
        <f t="shared" si="5"/>
        <v>0</v>
      </c>
      <c r="F8" s="242">
        <f t="shared" si="6"/>
        <v>0</v>
      </c>
      <c r="G8" s="523">
        <f t="shared" si="7"/>
        <v>0</v>
      </c>
      <c r="H8" s="523">
        <f t="shared" si="8"/>
        <v>0</v>
      </c>
      <c r="I8" s="524">
        <f t="shared" si="9"/>
        <v>0</v>
      </c>
      <c r="J8" s="523">
        <f t="shared" si="10"/>
        <v>0</v>
      </c>
      <c r="K8" s="523">
        <f t="shared" si="11"/>
        <v>0</v>
      </c>
      <c r="L8" s="523">
        <f t="shared" si="12"/>
        <v>0</v>
      </c>
    </row>
    <row r="9" ht="15.75" customHeight="1">
      <c r="B9" s="521" t="s">
        <v>1203</v>
      </c>
      <c r="C9" s="522" t="s">
        <v>1189</v>
      </c>
      <c r="D9" s="523">
        <f t="shared" si="4"/>
        <v>0</v>
      </c>
      <c r="E9" s="523">
        <f t="shared" si="5"/>
        <v>0</v>
      </c>
      <c r="F9" s="242">
        <f t="shared" si="6"/>
        <v>0</v>
      </c>
      <c r="G9" s="523">
        <f t="shared" si="7"/>
        <v>0</v>
      </c>
      <c r="H9" s="523">
        <f t="shared" si="8"/>
        <v>0</v>
      </c>
      <c r="I9" s="524">
        <f t="shared" si="9"/>
        <v>0</v>
      </c>
      <c r="J9" s="523">
        <f t="shared" si="10"/>
        <v>0</v>
      </c>
      <c r="K9" s="523">
        <f t="shared" si="11"/>
        <v>0</v>
      </c>
      <c r="L9" s="523">
        <f t="shared" si="12"/>
        <v>0</v>
      </c>
    </row>
    <row r="10" ht="15.75" customHeight="1">
      <c r="B10" s="521" t="s">
        <v>1204</v>
      </c>
      <c r="C10" s="522" t="s">
        <v>1189</v>
      </c>
      <c r="D10" s="523">
        <f t="shared" si="4"/>
        <v>0</v>
      </c>
      <c r="E10" s="523">
        <f t="shared" si="5"/>
        <v>0</v>
      </c>
      <c r="F10" s="242">
        <f t="shared" si="6"/>
        <v>0</v>
      </c>
      <c r="G10" s="523">
        <f t="shared" si="7"/>
        <v>0</v>
      </c>
      <c r="H10" s="523">
        <f t="shared" si="8"/>
        <v>0</v>
      </c>
      <c r="I10" s="524">
        <f t="shared" si="9"/>
        <v>0</v>
      </c>
      <c r="J10" s="523">
        <f t="shared" si="10"/>
        <v>0</v>
      </c>
      <c r="K10" s="523">
        <f t="shared" si="11"/>
        <v>0</v>
      </c>
      <c r="L10" s="523">
        <f t="shared" si="12"/>
        <v>0</v>
      </c>
    </row>
    <row r="11" ht="15.75" customHeight="1">
      <c r="B11" s="521" t="s">
        <v>1205</v>
      </c>
      <c r="C11" s="522" t="s">
        <v>1189</v>
      </c>
      <c r="D11" s="523">
        <f t="shared" si="4"/>
        <v>0</v>
      </c>
      <c r="E11" s="523">
        <f t="shared" si="5"/>
        <v>0</v>
      </c>
      <c r="F11" s="242">
        <f t="shared" si="6"/>
        <v>0</v>
      </c>
      <c r="G11" s="523">
        <f t="shared" si="7"/>
        <v>0</v>
      </c>
      <c r="H11" s="523">
        <f t="shared" si="8"/>
        <v>0</v>
      </c>
      <c r="I11" s="524">
        <f t="shared" si="9"/>
        <v>0</v>
      </c>
      <c r="J11" s="523">
        <f t="shared" si="10"/>
        <v>0</v>
      </c>
      <c r="K11" s="523">
        <f t="shared" si="11"/>
        <v>0</v>
      </c>
      <c r="L11" s="523">
        <f t="shared" si="12"/>
        <v>0</v>
      </c>
    </row>
    <row r="12" ht="15.75" customHeight="1">
      <c r="B12" s="521" t="s">
        <v>1206</v>
      </c>
      <c r="C12" s="522" t="s">
        <v>1189</v>
      </c>
      <c r="D12" s="523">
        <f t="shared" si="4"/>
        <v>0</v>
      </c>
      <c r="E12" s="523">
        <f t="shared" si="5"/>
        <v>0</v>
      </c>
      <c r="F12" s="242">
        <f t="shared" si="6"/>
        <v>0</v>
      </c>
      <c r="G12" s="523">
        <f t="shared" si="7"/>
        <v>0</v>
      </c>
      <c r="H12" s="523">
        <f t="shared" si="8"/>
        <v>0</v>
      </c>
      <c r="I12" s="524">
        <f t="shared" si="9"/>
        <v>0</v>
      </c>
      <c r="J12" s="523">
        <f t="shared" si="10"/>
        <v>0</v>
      </c>
      <c r="K12" s="523">
        <f t="shared" si="11"/>
        <v>0</v>
      </c>
      <c r="L12" s="523">
        <f t="shared" si="12"/>
        <v>0</v>
      </c>
    </row>
    <row r="13" ht="15.75" customHeight="1">
      <c r="B13" s="521" t="s">
        <v>1207</v>
      </c>
      <c r="C13" s="522" t="s">
        <v>1189</v>
      </c>
      <c r="D13" s="523">
        <f t="shared" si="4"/>
        <v>0</v>
      </c>
      <c r="E13" s="523">
        <f t="shared" si="5"/>
        <v>0</v>
      </c>
      <c r="F13" s="242">
        <f t="shared" si="6"/>
        <v>0</v>
      </c>
      <c r="G13" s="523">
        <f t="shared" si="7"/>
        <v>0</v>
      </c>
      <c r="H13" s="523">
        <f t="shared" si="8"/>
        <v>0</v>
      </c>
      <c r="I13" s="524">
        <f t="shared" si="9"/>
        <v>0</v>
      </c>
      <c r="J13" s="523">
        <f t="shared" si="10"/>
        <v>0</v>
      </c>
      <c r="K13" s="523">
        <f t="shared" si="11"/>
        <v>0</v>
      </c>
      <c r="L13" s="523">
        <f t="shared" si="12"/>
        <v>0</v>
      </c>
    </row>
    <row r="14" ht="15.75" customHeight="1">
      <c r="B14" s="521" t="s">
        <v>1208</v>
      </c>
      <c r="C14" s="522" t="s">
        <v>1189</v>
      </c>
      <c r="D14" s="523">
        <f t="shared" si="4"/>
        <v>0</v>
      </c>
      <c r="E14" s="523">
        <f t="shared" si="5"/>
        <v>0</v>
      </c>
      <c r="F14" s="242">
        <f t="shared" si="6"/>
        <v>0</v>
      </c>
      <c r="G14" s="523">
        <f t="shared" si="7"/>
        <v>0</v>
      </c>
      <c r="H14" s="523">
        <f t="shared" si="8"/>
        <v>0</v>
      </c>
      <c r="I14" s="524">
        <f t="shared" si="9"/>
        <v>0</v>
      </c>
      <c r="J14" s="523">
        <f t="shared" si="10"/>
        <v>0</v>
      </c>
      <c r="K14" s="523">
        <f t="shared" si="11"/>
        <v>0</v>
      </c>
      <c r="L14" s="523">
        <f t="shared" si="12"/>
        <v>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4:L4"/>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ht="15.75" customHeight="1"/>
    <row r="2" ht="15.75" customHeight="1"/>
    <row r="3" ht="15.75" customHeight="1"/>
    <row r="4" ht="15.75" customHeight="1">
      <c r="A4" s="109"/>
      <c r="B4" s="214" t="s">
        <v>1209</v>
      </c>
      <c r="C4" s="214" t="s">
        <v>1210</v>
      </c>
      <c r="D4" s="214" t="s">
        <v>1211</v>
      </c>
      <c r="E4" s="214" t="s">
        <v>1212</v>
      </c>
      <c r="F4" s="214" t="s">
        <v>1213</v>
      </c>
      <c r="G4" s="214" t="s">
        <v>1214</v>
      </c>
      <c r="H4" s="214" t="s">
        <v>1215</v>
      </c>
      <c r="I4" s="214" t="s">
        <v>1216</v>
      </c>
      <c r="J4" s="214" t="s">
        <v>1217</v>
      </c>
      <c r="K4" s="214" t="s">
        <v>1216</v>
      </c>
      <c r="L4" s="109" t="s">
        <v>1218</v>
      </c>
    </row>
    <row r="5" ht="15.75" customHeight="1">
      <c r="A5" s="202">
        <v>1.0</v>
      </c>
      <c r="B5" s="109" t="s">
        <v>762</v>
      </c>
      <c r="C5" s="109" t="s">
        <v>1219</v>
      </c>
      <c r="D5" s="216"/>
      <c r="E5" s="242">
        <v>495000.0</v>
      </c>
      <c r="F5" s="525">
        <v>0.08</v>
      </c>
      <c r="G5" s="242">
        <f>ROUNDUP(E5*103%,0)</f>
        <v>509850</v>
      </c>
      <c r="H5" s="204">
        <f t="shared" ref="H5:H42" si="1">(G5-E5)/E5</f>
        <v>0.03</v>
      </c>
      <c r="I5" s="218"/>
      <c r="J5" s="109"/>
      <c r="K5" s="525">
        <f>1-(J5/G5)</f>
        <v>1</v>
      </c>
      <c r="L5" s="109"/>
    </row>
    <row r="6" ht="15.75" customHeight="1">
      <c r="A6" s="202">
        <v>2.0</v>
      </c>
      <c r="B6" s="109" t="s">
        <v>763</v>
      </c>
      <c r="C6" s="109" t="s">
        <v>1220</v>
      </c>
      <c r="D6" s="216"/>
      <c r="E6" s="242">
        <v>945000.0</v>
      </c>
      <c r="F6" s="525">
        <v>0.08</v>
      </c>
      <c r="G6" s="242">
        <f t="shared" ref="G6:G7" si="2">ROUNDUP(E6*104%,0)</f>
        <v>982800</v>
      </c>
      <c r="H6" s="204">
        <f t="shared" si="1"/>
        <v>0.04</v>
      </c>
      <c r="I6" s="218"/>
      <c r="J6" s="109"/>
      <c r="K6" s="109"/>
      <c r="L6" s="109"/>
    </row>
    <row r="7" ht="15.75" customHeight="1">
      <c r="A7" s="202">
        <v>3.0</v>
      </c>
      <c r="B7" s="109" t="s">
        <v>767</v>
      </c>
      <c r="C7" s="109" t="s">
        <v>1221</v>
      </c>
      <c r="D7" s="216"/>
      <c r="E7" s="242">
        <v>286000.0</v>
      </c>
      <c r="F7" s="525">
        <v>0.08</v>
      </c>
      <c r="G7" s="242">
        <f t="shared" si="2"/>
        <v>297440</v>
      </c>
      <c r="H7" s="204">
        <f t="shared" si="1"/>
        <v>0.04</v>
      </c>
      <c r="I7" s="218"/>
      <c r="J7" s="109"/>
      <c r="K7" s="109"/>
      <c r="L7" s="109"/>
    </row>
    <row r="8" ht="15.75" customHeight="1">
      <c r="A8" s="202">
        <v>4.0</v>
      </c>
      <c r="B8" s="109" t="s">
        <v>1222</v>
      </c>
      <c r="C8" s="109" t="s">
        <v>1223</v>
      </c>
      <c r="D8" s="216"/>
      <c r="E8" s="242">
        <v>880000.0</v>
      </c>
      <c r="F8" s="525">
        <v>0.08</v>
      </c>
      <c r="G8" s="242">
        <f>ROUNDUP(E8*103%,0)</f>
        <v>906400</v>
      </c>
      <c r="H8" s="204">
        <f t="shared" si="1"/>
        <v>0.03</v>
      </c>
      <c r="I8" s="218"/>
      <c r="J8" s="109"/>
      <c r="K8" s="109"/>
      <c r="L8" s="109"/>
    </row>
    <row r="9" ht="15.75" customHeight="1">
      <c r="A9" s="202">
        <v>5.0</v>
      </c>
      <c r="B9" s="109" t="s">
        <v>1224</v>
      </c>
      <c r="C9" s="109" t="s">
        <v>1225</v>
      </c>
      <c r="D9" s="216"/>
      <c r="E9" s="242">
        <v>333000.0</v>
      </c>
      <c r="F9" s="525">
        <v>0.1</v>
      </c>
      <c r="G9" s="242">
        <f t="shared" ref="G9:G10" si="3">ROUNDUP(E9*104%,0)</f>
        <v>346320</v>
      </c>
      <c r="H9" s="204">
        <f t="shared" si="1"/>
        <v>0.04</v>
      </c>
      <c r="I9" s="218"/>
      <c r="J9" s="109"/>
      <c r="K9" s="109"/>
      <c r="L9" s="109"/>
    </row>
    <row r="10" ht="15.75" customHeight="1">
      <c r="A10" s="202">
        <v>6.0</v>
      </c>
      <c r="B10" s="109" t="s">
        <v>1226</v>
      </c>
      <c r="C10" s="109" t="s">
        <v>1227</v>
      </c>
      <c r="D10" s="216"/>
      <c r="E10" s="242">
        <v>630000.0</v>
      </c>
      <c r="F10" s="525">
        <v>0.1</v>
      </c>
      <c r="G10" s="242">
        <f t="shared" si="3"/>
        <v>655200</v>
      </c>
      <c r="H10" s="204">
        <f t="shared" si="1"/>
        <v>0.04</v>
      </c>
      <c r="I10" s="218"/>
      <c r="J10" s="109"/>
      <c r="K10" s="109"/>
      <c r="L10" s="109"/>
    </row>
    <row r="11" ht="15.75" customHeight="1">
      <c r="A11" s="202">
        <v>7.0</v>
      </c>
      <c r="B11" s="109" t="s">
        <v>797</v>
      </c>
      <c r="C11" s="109" t="s">
        <v>1228</v>
      </c>
      <c r="D11" s="216"/>
      <c r="E11" s="242">
        <v>316000.0</v>
      </c>
      <c r="F11" s="525">
        <v>0.08</v>
      </c>
      <c r="G11" s="242">
        <f t="shared" ref="G11:G42" si="4">ROUNDUP(E11*103%,0)</f>
        <v>325480</v>
      </c>
      <c r="H11" s="204">
        <f t="shared" si="1"/>
        <v>0.03</v>
      </c>
      <c r="I11" s="218"/>
      <c r="J11" s="109"/>
      <c r="K11" s="109"/>
      <c r="L11" s="109"/>
    </row>
    <row r="12" ht="15.75" customHeight="1">
      <c r="A12" s="202">
        <v>8.0</v>
      </c>
      <c r="B12" s="109" t="s">
        <v>1229</v>
      </c>
      <c r="C12" s="109" t="s">
        <v>1230</v>
      </c>
      <c r="D12" s="216"/>
      <c r="E12" s="242">
        <v>586000.0</v>
      </c>
      <c r="F12" s="525">
        <v>0.08</v>
      </c>
      <c r="G12" s="242">
        <f t="shared" si="4"/>
        <v>603580</v>
      </c>
      <c r="H12" s="204">
        <f t="shared" si="1"/>
        <v>0.03</v>
      </c>
      <c r="I12" s="218"/>
      <c r="J12" s="109"/>
      <c r="K12" s="109"/>
      <c r="L12" s="109"/>
    </row>
    <row r="13" ht="15.75" customHeight="1">
      <c r="A13" s="202">
        <v>9.0</v>
      </c>
      <c r="B13" s="109" t="s">
        <v>770</v>
      </c>
      <c r="C13" s="109" t="s">
        <v>1231</v>
      </c>
      <c r="D13" s="216"/>
      <c r="E13" s="242">
        <v>168000.0</v>
      </c>
      <c r="F13" s="525">
        <v>0.08</v>
      </c>
      <c r="G13" s="242">
        <f t="shared" si="4"/>
        <v>173040</v>
      </c>
      <c r="H13" s="204">
        <f t="shared" si="1"/>
        <v>0.03</v>
      </c>
      <c r="I13" s="218"/>
      <c r="J13" s="109"/>
      <c r="K13" s="109"/>
      <c r="L13" s="109"/>
    </row>
    <row r="14" ht="15.75" customHeight="1">
      <c r="A14" s="202">
        <v>10.0</v>
      </c>
      <c r="B14" s="109" t="s">
        <v>772</v>
      </c>
      <c r="C14" s="109" t="s">
        <v>1232</v>
      </c>
      <c r="D14" s="216"/>
      <c r="E14" s="242">
        <v>332000.0</v>
      </c>
      <c r="F14" s="525">
        <v>0.08</v>
      </c>
      <c r="G14" s="242">
        <f t="shared" si="4"/>
        <v>341960</v>
      </c>
      <c r="H14" s="204">
        <f t="shared" si="1"/>
        <v>0.03</v>
      </c>
      <c r="I14" s="218"/>
      <c r="J14" s="109"/>
      <c r="K14" s="109"/>
      <c r="L14" s="109"/>
    </row>
    <row r="15" ht="15.75" customHeight="1">
      <c r="A15" s="202">
        <v>11.0</v>
      </c>
      <c r="B15" s="109" t="s">
        <v>756</v>
      </c>
      <c r="C15" s="109" t="s">
        <v>1233</v>
      </c>
      <c r="D15" s="216"/>
      <c r="E15" s="242">
        <v>441000.0</v>
      </c>
      <c r="F15" s="525">
        <v>0.08</v>
      </c>
      <c r="G15" s="242">
        <f t="shared" si="4"/>
        <v>454230</v>
      </c>
      <c r="H15" s="204">
        <f t="shared" si="1"/>
        <v>0.03</v>
      </c>
      <c r="I15" s="218"/>
      <c r="J15" s="109"/>
      <c r="K15" s="109"/>
      <c r="L15" s="109"/>
    </row>
    <row r="16" ht="15.75" customHeight="1">
      <c r="A16" s="202">
        <v>12.0</v>
      </c>
      <c r="B16" s="109" t="s">
        <v>758</v>
      </c>
      <c r="C16" s="109" t="s">
        <v>1234</v>
      </c>
      <c r="D16" s="216"/>
      <c r="E16" s="242">
        <v>856000.0</v>
      </c>
      <c r="F16" s="525">
        <v>0.08</v>
      </c>
      <c r="G16" s="242">
        <f t="shared" si="4"/>
        <v>881680</v>
      </c>
      <c r="H16" s="204">
        <f t="shared" si="1"/>
        <v>0.03</v>
      </c>
      <c r="I16" s="218"/>
      <c r="J16" s="109"/>
      <c r="K16" s="109"/>
      <c r="L16" s="109"/>
    </row>
    <row r="17" ht="15.75" customHeight="1">
      <c r="A17" s="202">
        <v>13.0</v>
      </c>
      <c r="B17" s="109" t="s">
        <v>814</v>
      </c>
      <c r="C17" s="109" t="s">
        <v>1235</v>
      </c>
      <c r="D17" s="216"/>
      <c r="E17" s="242">
        <v>756000.0</v>
      </c>
      <c r="F17" s="525">
        <v>0.08</v>
      </c>
      <c r="G17" s="242">
        <f t="shared" si="4"/>
        <v>778680</v>
      </c>
      <c r="H17" s="204">
        <f t="shared" si="1"/>
        <v>0.03</v>
      </c>
      <c r="I17" s="218"/>
      <c r="J17" s="109"/>
      <c r="K17" s="109"/>
      <c r="L17" s="109"/>
    </row>
    <row r="18" ht="15.75" customHeight="1">
      <c r="A18" s="202">
        <v>14.0</v>
      </c>
      <c r="B18" s="109" t="s">
        <v>1236</v>
      </c>
      <c r="C18" s="109" t="s">
        <v>1237</v>
      </c>
      <c r="D18" s="216"/>
      <c r="E18" s="242">
        <v>1476000.0</v>
      </c>
      <c r="F18" s="525">
        <v>0.08</v>
      </c>
      <c r="G18" s="242">
        <f t="shared" si="4"/>
        <v>1520280</v>
      </c>
      <c r="H18" s="204">
        <f t="shared" si="1"/>
        <v>0.03</v>
      </c>
      <c r="I18" s="218"/>
      <c r="J18" s="109"/>
      <c r="K18" s="109"/>
      <c r="L18" s="109"/>
    </row>
    <row r="19" ht="15.75" customHeight="1">
      <c r="A19" s="202">
        <v>15.0</v>
      </c>
      <c r="B19" s="109" t="s">
        <v>821</v>
      </c>
      <c r="C19" s="109" t="s">
        <v>1238</v>
      </c>
      <c r="D19" s="216"/>
      <c r="E19" s="242">
        <v>388000.0</v>
      </c>
      <c r="F19" s="525">
        <v>0.08</v>
      </c>
      <c r="G19" s="242">
        <f t="shared" si="4"/>
        <v>399640</v>
      </c>
      <c r="H19" s="204">
        <f t="shared" si="1"/>
        <v>0.03</v>
      </c>
      <c r="I19" s="218"/>
      <c r="J19" s="109"/>
      <c r="K19" s="109"/>
      <c r="L19" s="109"/>
    </row>
    <row r="20" ht="15.75" customHeight="1">
      <c r="A20" s="202">
        <v>16.0</v>
      </c>
      <c r="B20" s="109" t="s">
        <v>781</v>
      </c>
      <c r="C20" s="109" t="s">
        <v>1239</v>
      </c>
      <c r="D20" s="216"/>
      <c r="E20" s="242">
        <v>748000.0</v>
      </c>
      <c r="F20" s="525">
        <v>0.08</v>
      </c>
      <c r="G20" s="242">
        <f t="shared" si="4"/>
        <v>770440</v>
      </c>
      <c r="H20" s="204">
        <f t="shared" si="1"/>
        <v>0.03</v>
      </c>
      <c r="I20" s="218"/>
      <c r="J20" s="109"/>
      <c r="K20" s="109"/>
      <c r="L20" s="109"/>
    </row>
    <row r="21" ht="15.75" customHeight="1">
      <c r="A21" s="202">
        <v>17.0</v>
      </c>
      <c r="B21" s="109" t="s">
        <v>795</v>
      </c>
      <c r="C21" s="109" t="s">
        <v>1240</v>
      </c>
      <c r="D21" s="216"/>
      <c r="E21" s="242">
        <v>336000.0</v>
      </c>
      <c r="F21" s="525">
        <v>0.08</v>
      </c>
      <c r="G21" s="242">
        <f t="shared" si="4"/>
        <v>346080</v>
      </c>
      <c r="H21" s="204">
        <f t="shared" si="1"/>
        <v>0.03</v>
      </c>
      <c r="I21" s="218"/>
      <c r="J21" s="109"/>
      <c r="K21" s="109"/>
      <c r="L21" s="109"/>
    </row>
    <row r="22" ht="15.75" customHeight="1">
      <c r="A22" s="202">
        <v>18.0</v>
      </c>
      <c r="B22" s="109" t="s">
        <v>1241</v>
      </c>
      <c r="C22" s="109" t="s">
        <v>1242</v>
      </c>
      <c r="D22" s="216"/>
      <c r="E22" s="242">
        <v>590000.0</v>
      </c>
      <c r="F22" s="525">
        <v>0.08</v>
      </c>
      <c r="G22" s="242">
        <f t="shared" si="4"/>
        <v>607700</v>
      </c>
      <c r="H22" s="204">
        <f t="shared" si="1"/>
        <v>0.03</v>
      </c>
      <c r="I22" s="218"/>
      <c r="J22" s="109"/>
      <c r="K22" s="109"/>
      <c r="L22" s="109"/>
    </row>
    <row r="23" ht="15.75" customHeight="1">
      <c r="A23" s="202">
        <v>19.0</v>
      </c>
      <c r="B23" s="109" t="s">
        <v>796</v>
      </c>
      <c r="C23" s="109" t="s">
        <v>1243</v>
      </c>
      <c r="D23" s="216"/>
      <c r="E23" s="242">
        <v>333000.0</v>
      </c>
      <c r="F23" s="525">
        <v>0.08</v>
      </c>
      <c r="G23" s="242">
        <f t="shared" si="4"/>
        <v>342990</v>
      </c>
      <c r="H23" s="204">
        <f t="shared" si="1"/>
        <v>0.03</v>
      </c>
      <c r="I23" s="218"/>
      <c r="J23" s="109"/>
      <c r="K23" s="109"/>
      <c r="L23" s="109"/>
    </row>
    <row r="24" ht="15.75" customHeight="1">
      <c r="A24" s="202">
        <v>20.0</v>
      </c>
      <c r="B24" s="109" t="s">
        <v>825</v>
      </c>
      <c r="C24" s="109" t="s">
        <v>1244</v>
      </c>
      <c r="D24" s="216"/>
      <c r="E24" s="242">
        <v>636000.0</v>
      </c>
      <c r="F24" s="525">
        <v>0.08</v>
      </c>
      <c r="G24" s="242">
        <f t="shared" si="4"/>
        <v>655080</v>
      </c>
      <c r="H24" s="204">
        <f t="shared" si="1"/>
        <v>0.03</v>
      </c>
      <c r="I24" s="218"/>
      <c r="J24" s="109"/>
      <c r="K24" s="109"/>
      <c r="L24" s="109"/>
    </row>
    <row r="25" ht="15.75" customHeight="1">
      <c r="A25" s="202">
        <v>21.0</v>
      </c>
      <c r="B25" s="109" t="s">
        <v>775</v>
      </c>
      <c r="C25" s="109" t="s">
        <v>1245</v>
      </c>
      <c r="D25" s="216"/>
      <c r="E25" s="242">
        <v>790000.0</v>
      </c>
      <c r="F25" s="525">
        <v>0.08</v>
      </c>
      <c r="G25" s="242">
        <f t="shared" si="4"/>
        <v>813700</v>
      </c>
      <c r="H25" s="204">
        <f t="shared" si="1"/>
        <v>0.03</v>
      </c>
      <c r="I25" s="218"/>
      <c r="J25" s="109"/>
      <c r="K25" s="109"/>
      <c r="L25" s="109"/>
    </row>
    <row r="26" ht="15.75" customHeight="1">
      <c r="A26" s="202">
        <v>22.0</v>
      </c>
      <c r="B26" s="109" t="s">
        <v>765</v>
      </c>
      <c r="C26" s="109" t="s">
        <v>1246</v>
      </c>
      <c r="D26" s="216"/>
      <c r="E26" s="242">
        <v>1485000.0</v>
      </c>
      <c r="F26" s="525">
        <v>0.08</v>
      </c>
      <c r="G26" s="242">
        <f t="shared" si="4"/>
        <v>1529550</v>
      </c>
      <c r="H26" s="204">
        <f t="shared" si="1"/>
        <v>0.03</v>
      </c>
      <c r="I26" s="218"/>
      <c r="J26" s="109"/>
      <c r="K26" s="109"/>
      <c r="L26" s="109"/>
    </row>
    <row r="27" ht="15.75" customHeight="1">
      <c r="A27" s="202">
        <v>23.0</v>
      </c>
      <c r="B27" s="109" t="s">
        <v>779</v>
      </c>
      <c r="C27" s="109" t="s">
        <v>1247</v>
      </c>
      <c r="D27" s="216"/>
      <c r="E27" s="242">
        <v>1260000.0</v>
      </c>
      <c r="F27" s="525">
        <v>0.08</v>
      </c>
      <c r="G27" s="242">
        <f t="shared" si="4"/>
        <v>1297800</v>
      </c>
      <c r="H27" s="204">
        <f t="shared" si="1"/>
        <v>0.03</v>
      </c>
      <c r="I27" s="218"/>
      <c r="J27" s="109"/>
      <c r="K27" s="109"/>
      <c r="L27" s="109"/>
    </row>
    <row r="28" ht="15.75" customHeight="1">
      <c r="A28" s="202">
        <v>24.0</v>
      </c>
      <c r="B28" s="109" t="s">
        <v>777</v>
      </c>
      <c r="C28" s="109" t="s">
        <v>1248</v>
      </c>
      <c r="D28" s="216"/>
      <c r="E28" s="242">
        <v>850000.0</v>
      </c>
      <c r="F28" s="525">
        <v>0.08</v>
      </c>
      <c r="G28" s="242">
        <f t="shared" si="4"/>
        <v>875500</v>
      </c>
      <c r="H28" s="204">
        <f t="shared" si="1"/>
        <v>0.03</v>
      </c>
      <c r="I28" s="218"/>
      <c r="J28" s="109"/>
      <c r="K28" s="109"/>
      <c r="L28" s="109"/>
    </row>
    <row r="29" ht="15.75" customHeight="1">
      <c r="A29" s="202">
        <v>25.0</v>
      </c>
      <c r="B29" s="109" t="s">
        <v>801</v>
      </c>
      <c r="C29" s="109" t="s">
        <v>1249</v>
      </c>
      <c r="D29" s="216"/>
      <c r="E29" s="242">
        <v>390000.0</v>
      </c>
      <c r="F29" s="525">
        <v>0.08</v>
      </c>
      <c r="G29" s="242">
        <f t="shared" si="4"/>
        <v>401700</v>
      </c>
      <c r="H29" s="204">
        <f t="shared" si="1"/>
        <v>0.03</v>
      </c>
      <c r="I29" s="218"/>
      <c r="J29" s="109"/>
      <c r="K29" s="109"/>
      <c r="L29" s="109"/>
    </row>
    <row r="30" ht="15.75" customHeight="1">
      <c r="A30" s="202">
        <v>26.0</v>
      </c>
      <c r="B30" s="109" t="s">
        <v>810</v>
      </c>
      <c r="C30" s="109" t="s">
        <v>1250</v>
      </c>
      <c r="D30" s="216"/>
      <c r="E30" s="242">
        <v>576000.0</v>
      </c>
      <c r="F30" s="525">
        <v>0.08</v>
      </c>
      <c r="G30" s="242">
        <f t="shared" si="4"/>
        <v>593280</v>
      </c>
      <c r="H30" s="204">
        <f t="shared" si="1"/>
        <v>0.03</v>
      </c>
      <c r="I30" s="218"/>
      <c r="J30" s="109"/>
      <c r="K30" s="109"/>
      <c r="L30" s="109"/>
    </row>
    <row r="31" ht="15.75" customHeight="1">
      <c r="A31" s="202">
        <v>27.0</v>
      </c>
      <c r="B31" s="109" t="s">
        <v>806</v>
      </c>
      <c r="C31" s="109" t="s">
        <v>1251</v>
      </c>
      <c r="D31" s="216"/>
      <c r="E31" s="242">
        <v>432000.0</v>
      </c>
      <c r="F31" s="525">
        <v>0.08</v>
      </c>
      <c r="G31" s="242">
        <f t="shared" si="4"/>
        <v>444960</v>
      </c>
      <c r="H31" s="204">
        <f t="shared" si="1"/>
        <v>0.03</v>
      </c>
      <c r="I31" s="218"/>
      <c r="J31" s="109"/>
      <c r="K31" s="109"/>
      <c r="L31" s="109"/>
    </row>
    <row r="32" ht="15.75" customHeight="1">
      <c r="A32" s="202">
        <v>28.0</v>
      </c>
      <c r="B32" s="109" t="s">
        <v>773</v>
      </c>
      <c r="C32" s="109" t="s">
        <v>1252</v>
      </c>
      <c r="D32" s="216"/>
      <c r="E32" s="242">
        <v>880000.0</v>
      </c>
      <c r="F32" s="525">
        <v>0.08</v>
      </c>
      <c r="G32" s="242">
        <f t="shared" si="4"/>
        <v>906400</v>
      </c>
      <c r="H32" s="204">
        <f t="shared" si="1"/>
        <v>0.03</v>
      </c>
      <c r="I32" s="218"/>
      <c r="J32" s="109"/>
      <c r="K32" s="109"/>
      <c r="L32" s="109"/>
    </row>
    <row r="33" ht="15.75" customHeight="1">
      <c r="A33" s="202">
        <v>29.0</v>
      </c>
      <c r="B33" s="109" t="s">
        <v>799</v>
      </c>
      <c r="C33" s="109" t="s">
        <v>1253</v>
      </c>
      <c r="D33" s="216"/>
      <c r="E33" s="242">
        <v>880000.0</v>
      </c>
      <c r="F33" s="525">
        <v>0.08</v>
      </c>
      <c r="G33" s="242">
        <f t="shared" si="4"/>
        <v>906400</v>
      </c>
      <c r="H33" s="204">
        <f t="shared" si="1"/>
        <v>0.03</v>
      </c>
      <c r="I33" s="218"/>
      <c r="J33" s="109"/>
      <c r="K33" s="109"/>
      <c r="L33" s="109"/>
    </row>
    <row r="34" ht="15.75" customHeight="1">
      <c r="A34" s="202">
        <v>30.0</v>
      </c>
      <c r="B34" s="109" t="s">
        <v>834</v>
      </c>
      <c r="C34" s="109" t="s">
        <v>1254</v>
      </c>
      <c r="D34" s="216"/>
      <c r="E34" s="242">
        <v>380000.0</v>
      </c>
      <c r="F34" s="525">
        <v>0.08</v>
      </c>
      <c r="G34" s="242">
        <f t="shared" si="4"/>
        <v>391400</v>
      </c>
      <c r="H34" s="204">
        <f t="shared" si="1"/>
        <v>0.03</v>
      </c>
      <c r="I34" s="218"/>
      <c r="J34" s="109"/>
      <c r="K34" s="109"/>
      <c r="L34" s="109"/>
    </row>
    <row r="35" ht="15.75" customHeight="1">
      <c r="A35" s="202">
        <v>31.0</v>
      </c>
      <c r="B35" s="109" t="s">
        <v>784</v>
      </c>
      <c r="C35" s="109" t="s">
        <v>1255</v>
      </c>
      <c r="D35" s="216"/>
      <c r="E35" s="242">
        <v>380000.0</v>
      </c>
      <c r="F35" s="525">
        <v>0.08</v>
      </c>
      <c r="G35" s="242">
        <f t="shared" si="4"/>
        <v>391400</v>
      </c>
      <c r="H35" s="204">
        <f t="shared" si="1"/>
        <v>0.03</v>
      </c>
      <c r="I35" s="218"/>
      <c r="J35" s="109"/>
      <c r="K35" s="109"/>
      <c r="L35" s="109"/>
    </row>
    <row r="36" ht="15.75" customHeight="1">
      <c r="A36" s="202">
        <v>32.0</v>
      </c>
      <c r="B36" s="109" t="s">
        <v>1256</v>
      </c>
      <c r="C36" s="109" t="s">
        <v>1257</v>
      </c>
      <c r="D36" s="216"/>
      <c r="E36" s="242">
        <v>529000.0</v>
      </c>
      <c r="F36" s="525">
        <v>0.08</v>
      </c>
      <c r="G36" s="242">
        <f t="shared" si="4"/>
        <v>544870</v>
      </c>
      <c r="H36" s="204">
        <f t="shared" si="1"/>
        <v>0.03</v>
      </c>
      <c r="I36" s="218"/>
      <c r="J36" s="109"/>
      <c r="K36" s="109"/>
      <c r="L36" s="109"/>
    </row>
    <row r="37" ht="15.75" customHeight="1">
      <c r="A37" s="202">
        <v>33.0</v>
      </c>
      <c r="B37" s="109" t="s">
        <v>1258</v>
      </c>
      <c r="C37" s="109" t="s">
        <v>1259</v>
      </c>
      <c r="D37" s="216"/>
      <c r="E37" s="242">
        <v>529000.0</v>
      </c>
      <c r="F37" s="525">
        <v>0.08</v>
      </c>
      <c r="G37" s="242">
        <f t="shared" si="4"/>
        <v>544870</v>
      </c>
      <c r="H37" s="204">
        <f t="shared" si="1"/>
        <v>0.03</v>
      </c>
      <c r="I37" s="218"/>
      <c r="J37" s="109"/>
      <c r="K37" s="109"/>
      <c r="L37" s="109"/>
    </row>
    <row r="38" ht="15.75" customHeight="1">
      <c r="A38" s="202">
        <v>34.0</v>
      </c>
      <c r="B38" s="109" t="s">
        <v>808</v>
      </c>
      <c r="C38" s="109" t="s">
        <v>1260</v>
      </c>
      <c r="D38" s="216"/>
      <c r="E38" s="242">
        <v>468000.0</v>
      </c>
      <c r="F38" s="525">
        <v>0.08</v>
      </c>
      <c r="G38" s="242">
        <f t="shared" si="4"/>
        <v>482040</v>
      </c>
      <c r="H38" s="204">
        <f t="shared" si="1"/>
        <v>0.03</v>
      </c>
      <c r="I38" s="218"/>
      <c r="J38" s="109"/>
      <c r="K38" s="109"/>
      <c r="L38" s="109"/>
    </row>
    <row r="39" ht="15.75" customHeight="1">
      <c r="A39" s="202">
        <v>35.0</v>
      </c>
      <c r="B39" s="109" t="s">
        <v>812</v>
      </c>
      <c r="C39" s="109" t="s">
        <v>1261</v>
      </c>
      <c r="D39" s="216"/>
      <c r="E39" s="242">
        <v>310000.0</v>
      </c>
      <c r="F39" s="525">
        <v>0.08</v>
      </c>
      <c r="G39" s="242">
        <f t="shared" si="4"/>
        <v>319300</v>
      </c>
      <c r="H39" s="204">
        <f t="shared" si="1"/>
        <v>0.03</v>
      </c>
      <c r="I39" s="218"/>
      <c r="J39" s="109"/>
      <c r="K39" s="109"/>
      <c r="L39" s="109"/>
    </row>
    <row r="40" ht="15.75" customHeight="1">
      <c r="A40" s="202">
        <v>36.0</v>
      </c>
      <c r="B40" s="109" t="s">
        <v>1262</v>
      </c>
      <c r="C40" s="109" t="s">
        <v>1263</v>
      </c>
      <c r="D40" s="216"/>
      <c r="E40" s="242">
        <v>600000.0</v>
      </c>
      <c r="F40" s="525">
        <v>0.08</v>
      </c>
      <c r="G40" s="242">
        <f t="shared" si="4"/>
        <v>618000</v>
      </c>
      <c r="H40" s="204">
        <f t="shared" si="1"/>
        <v>0.03</v>
      </c>
      <c r="I40" s="218"/>
      <c r="J40" s="109"/>
      <c r="K40" s="109"/>
      <c r="L40" s="109"/>
    </row>
    <row r="41" ht="15.75" customHeight="1">
      <c r="A41" s="202">
        <v>37.0</v>
      </c>
      <c r="B41" s="109" t="s">
        <v>1264</v>
      </c>
      <c r="C41" s="109" t="s">
        <v>1265</v>
      </c>
      <c r="D41" s="216"/>
      <c r="E41" s="242">
        <v>298000.0</v>
      </c>
      <c r="F41" s="525">
        <v>0.08</v>
      </c>
      <c r="G41" s="242">
        <f t="shared" si="4"/>
        <v>306940</v>
      </c>
      <c r="H41" s="204">
        <f t="shared" si="1"/>
        <v>0.03</v>
      </c>
      <c r="I41" s="218"/>
      <c r="J41" s="109"/>
      <c r="K41" s="109"/>
      <c r="L41" s="109"/>
    </row>
    <row r="42" ht="15.75" customHeight="1">
      <c r="A42" s="202">
        <v>38.0</v>
      </c>
      <c r="B42" s="109" t="s">
        <v>1264</v>
      </c>
      <c r="C42" s="109" t="s">
        <v>1266</v>
      </c>
      <c r="D42" s="216"/>
      <c r="E42" s="242">
        <v>568000.0</v>
      </c>
      <c r="F42" s="525">
        <v>0.08</v>
      </c>
      <c r="G42" s="242">
        <f t="shared" si="4"/>
        <v>585040</v>
      </c>
      <c r="H42" s="204">
        <f t="shared" si="1"/>
        <v>0.03</v>
      </c>
      <c r="I42" s="218"/>
      <c r="J42" s="109"/>
      <c r="K42" s="109"/>
      <c r="L42" s="109"/>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16.75"/>
    <col customWidth="1" min="4" max="4" width="18.38"/>
    <col customWidth="1" min="10" max="10" width="37.38"/>
  </cols>
  <sheetData>
    <row r="1" ht="15.75" customHeight="1">
      <c r="A1" s="526" t="s">
        <v>1267</v>
      </c>
      <c r="B1" s="1"/>
      <c r="C1" s="1"/>
      <c r="D1" s="1"/>
      <c r="E1" s="1"/>
      <c r="F1" s="1"/>
      <c r="G1" s="1"/>
      <c r="H1" s="1"/>
      <c r="I1" s="1"/>
      <c r="J1" s="527" t="s">
        <v>1268</v>
      </c>
      <c r="K1" s="1"/>
      <c r="L1" s="1"/>
      <c r="M1" s="1"/>
      <c r="N1" s="1"/>
      <c r="O1" s="1"/>
      <c r="P1" s="527" t="s">
        <v>1269</v>
      </c>
      <c r="Q1" s="1"/>
      <c r="R1" s="1"/>
      <c r="S1" s="1"/>
      <c r="T1" s="1"/>
      <c r="U1" s="1"/>
      <c r="V1" s="1"/>
      <c r="W1" s="1"/>
      <c r="X1" s="1"/>
      <c r="Y1" s="1"/>
      <c r="Z1" s="1"/>
    </row>
    <row r="2" ht="15.75" customHeight="1">
      <c r="A2" s="528" t="s">
        <v>1270</v>
      </c>
      <c r="B2" s="529"/>
      <c r="C2" s="529"/>
      <c r="D2" s="529"/>
      <c r="E2" s="529"/>
      <c r="F2" s="1"/>
      <c r="G2" s="1"/>
      <c r="H2" s="1"/>
      <c r="I2" s="1"/>
      <c r="J2" s="530" t="s">
        <v>1271</v>
      </c>
      <c r="K2" s="530" t="s">
        <v>1272</v>
      </c>
      <c r="L2" s="530" t="s">
        <v>1273</v>
      </c>
      <c r="M2" s="530" t="s">
        <v>1274</v>
      </c>
      <c r="N2" s="530" t="s">
        <v>1275</v>
      </c>
      <c r="O2" s="1"/>
      <c r="P2" s="530" t="s">
        <v>1211</v>
      </c>
      <c r="Q2" s="530" t="s">
        <v>1276</v>
      </c>
      <c r="R2" s="530" t="s">
        <v>1277</v>
      </c>
      <c r="S2" s="530" t="s">
        <v>1278</v>
      </c>
      <c r="T2" s="530" t="s">
        <v>1279</v>
      </c>
      <c r="U2" s="1"/>
      <c r="V2" s="1"/>
      <c r="W2" s="1"/>
      <c r="X2" s="1"/>
      <c r="Y2" s="1"/>
      <c r="Z2" s="1"/>
    </row>
    <row r="3" ht="15.75" customHeight="1">
      <c r="A3" s="531" t="s">
        <v>1201</v>
      </c>
      <c r="B3" s="516"/>
      <c r="C3" s="530" t="s">
        <v>1280</v>
      </c>
      <c r="D3" s="530" t="s">
        <v>1281</v>
      </c>
      <c r="E3" s="530" t="s">
        <v>1275</v>
      </c>
      <c r="F3" s="1"/>
      <c r="G3" s="1"/>
      <c r="H3" s="1"/>
      <c r="I3" s="1"/>
      <c r="J3" s="532" t="s">
        <v>759</v>
      </c>
      <c r="K3" s="533">
        <v>2.5666719442E10</v>
      </c>
      <c r="L3" s="534">
        <v>26.0</v>
      </c>
      <c r="M3" s="534">
        <f t="shared" ref="M3:M19" si="1">L3/20%</f>
        <v>130</v>
      </c>
      <c r="N3" s="535">
        <v>0.21</v>
      </c>
      <c r="O3" s="1"/>
      <c r="P3" s="536" t="s">
        <v>1282</v>
      </c>
      <c r="Q3" s="537" t="s">
        <v>759</v>
      </c>
      <c r="R3" s="538">
        <v>2.5666719442E10</v>
      </c>
      <c r="S3" s="539" t="s">
        <v>1283</v>
      </c>
      <c r="T3" s="540" t="s">
        <v>1284</v>
      </c>
      <c r="U3" s="1"/>
      <c r="V3" s="1"/>
      <c r="W3" s="1"/>
      <c r="X3" s="1"/>
      <c r="Y3" s="1"/>
      <c r="Z3" s="1"/>
    </row>
    <row r="4" ht="15.75" customHeight="1">
      <c r="A4" s="541" t="s">
        <v>1189</v>
      </c>
      <c r="B4" s="542" t="s">
        <v>1285</v>
      </c>
      <c r="C4" s="543">
        <f>(C11/540000)*10000</f>
        <v>124074.0741</v>
      </c>
      <c r="D4" s="544" t="s">
        <v>1286</v>
      </c>
      <c r="E4" s="545">
        <f>91700000/131000000</f>
        <v>0.7</v>
      </c>
      <c r="F4" s="1"/>
      <c r="G4" s="1"/>
      <c r="H4" s="1"/>
      <c r="I4" s="1"/>
      <c r="J4" s="532" t="s">
        <v>141</v>
      </c>
      <c r="K4" s="533">
        <v>2.2657955668E10</v>
      </c>
      <c r="L4" s="534">
        <v>5.0</v>
      </c>
      <c r="M4" s="534">
        <f t="shared" si="1"/>
        <v>25</v>
      </c>
      <c r="N4" s="535">
        <v>0.04</v>
      </c>
      <c r="O4" s="1"/>
      <c r="P4" s="546"/>
      <c r="Q4" s="537" t="s">
        <v>141</v>
      </c>
      <c r="R4" s="538">
        <v>2.2657955668E10</v>
      </c>
      <c r="S4" s="546"/>
      <c r="T4" s="546"/>
      <c r="U4" s="1"/>
      <c r="V4" s="1"/>
      <c r="W4" s="1"/>
      <c r="X4" s="1"/>
      <c r="Y4" s="1"/>
      <c r="Z4" s="1"/>
    </row>
    <row r="5" ht="15.75" customHeight="1">
      <c r="A5" s="547"/>
      <c r="B5" s="542" t="s">
        <v>1287</v>
      </c>
      <c r="C5" s="548">
        <f>C4*3%</f>
        <v>3722.222222</v>
      </c>
      <c r="D5" s="544" t="s">
        <v>1288</v>
      </c>
      <c r="E5" s="547"/>
      <c r="F5" s="1"/>
      <c r="G5" s="1"/>
      <c r="H5" s="1"/>
      <c r="I5" s="1"/>
      <c r="J5" s="532" t="s">
        <v>754</v>
      </c>
      <c r="K5" s="533">
        <v>5.519393895E9</v>
      </c>
      <c r="L5" s="534">
        <v>10.0</v>
      </c>
      <c r="M5" s="534">
        <f t="shared" si="1"/>
        <v>50</v>
      </c>
      <c r="N5" s="535">
        <v>0.14</v>
      </c>
      <c r="O5" s="1"/>
      <c r="P5" s="536" t="s">
        <v>1289</v>
      </c>
      <c r="Q5" s="537" t="s">
        <v>754</v>
      </c>
      <c r="R5" s="538">
        <v>5.519393895E9</v>
      </c>
      <c r="S5" s="549" t="s">
        <v>1290</v>
      </c>
      <c r="T5" s="540" t="s">
        <v>1291</v>
      </c>
      <c r="U5" s="1"/>
      <c r="V5" s="1"/>
      <c r="W5" s="1"/>
      <c r="X5" s="1"/>
      <c r="Y5" s="1"/>
      <c r="Z5" s="1"/>
    </row>
    <row r="6" ht="15.75" customHeight="1">
      <c r="A6" s="547"/>
      <c r="B6" s="542" t="s">
        <v>1292</v>
      </c>
      <c r="C6" s="548">
        <f>C5*2</f>
        <v>7444.444444</v>
      </c>
      <c r="D6" s="544" t="s">
        <v>1293</v>
      </c>
      <c r="E6" s="547"/>
      <c r="F6" s="1"/>
      <c r="G6" s="1"/>
      <c r="H6" s="1"/>
      <c r="I6" s="1"/>
      <c r="J6" s="532" t="s">
        <v>764</v>
      </c>
      <c r="K6" s="533">
        <v>8.782633181E9</v>
      </c>
      <c r="L6" s="534">
        <v>6.0</v>
      </c>
      <c r="M6" s="534">
        <f t="shared" si="1"/>
        <v>30</v>
      </c>
      <c r="N6" s="535">
        <v>0.13</v>
      </c>
      <c r="O6" s="1"/>
      <c r="P6" s="547"/>
      <c r="Q6" s="537" t="s">
        <v>764</v>
      </c>
      <c r="R6" s="538">
        <v>8.782633181E9</v>
      </c>
      <c r="S6" s="549" t="s">
        <v>1294</v>
      </c>
      <c r="T6" s="547"/>
      <c r="U6" s="1"/>
      <c r="V6" s="1"/>
      <c r="W6" s="1"/>
      <c r="X6" s="1"/>
      <c r="Y6" s="1"/>
      <c r="Z6" s="1"/>
    </row>
    <row r="7" ht="15.75" customHeight="1">
      <c r="A7" s="547"/>
      <c r="B7" s="542" t="s">
        <v>1295</v>
      </c>
      <c r="C7" s="550">
        <f>D7</f>
        <v>0.03</v>
      </c>
      <c r="D7" s="550">
        <v>0.03</v>
      </c>
      <c r="E7" s="547"/>
      <c r="F7" s="1"/>
      <c r="G7" s="1"/>
      <c r="H7" s="1"/>
      <c r="I7" s="1"/>
      <c r="J7" s="532" t="s">
        <v>776</v>
      </c>
      <c r="K7" s="533">
        <v>5.219966803E9</v>
      </c>
      <c r="L7" s="534">
        <v>3.0</v>
      </c>
      <c r="M7" s="534">
        <f t="shared" si="1"/>
        <v>15</v>
      </c>
      <c r="N7" s="535">
        <v>0.04</v>
      </c>
      <c r="O7" s="1"/>
      <c r="P7" s="547"/>
      <c r="Q7" s="537" t="s">
        <v>778</v>
      </c>
      <c r="R7" s="538">
        <v>2.4667488336E10</v>
      </c>
      <c r="S7" s="537" t="s">
        <v>1296</v>
      </c>
      <c r="T7" s="547"/>
      <c r="U7" s="1"/>
      <c r="V7" s="1"/>
      <c r="W7" s="1"/>
      <c r="X7" s="1"/>
      <c r="Y7" s="1"/>
      <c r="Z7" s="1"/>
    </row>
    <row r="8" ht="15.75" customHeight="1">
      <c r="A8" s="547"/>
      <c r="B8" s="542" t="s">
        <v>1297</v>
      </c>
      <c r="C8" s="548">
        <f>C5*15%</f>
        <v>558.3333333</v>
      </c>
      <c r="D8" s="542" t="s">
        <v>1298</v>
      </c>
      <c r="E8" s="547"/>
      <c r="F8" s="148"/>
      <c r="G8" s="1"/>
      <c r="H8" s="1"/>
      <c r="I8" s="1"/>
      <c r="J8" s="537" t="s">
        <v>778</v>
      </c>
      <c r="K8" s="551">
        <v>2.4667488336E10</v>
      </c>
      <c r="L8" s="544">
        <v>2.0</v>
      </c>
      <c r="M8" s="544">
        <f t="shared" si="1"/>
        <v>10</v>
      </c>
      <c r="N8" s="552">
        <v>0.04</v>
      </c>
      <c r="O8" s="1"/>
      <c r="P8" s="546"/>
      <c r="Q8" s="537" t="s">
        <v>774</v>
      </c>
      <c r="R8" s="538">
        <v>3.934257539E9</v>
      </c>
      <c r="S8" s="549" t="s">
        <v>1299</v>
      </c>
      <c r="T8" s="546"/>
      <c r="U8" s="1"/>
      <c r="V8" s="1"/>
      <c r="W8" s="1"/>
      <c r="X8" s="1"/>
      <c r="Y8" s="1"/>
      <c r="Z8" s="1"/>
    </row>
    <row r="9" ht="15.75" customHeight="1">
      <c r="A9" s="547"/>
      <c r="B9" s="542" t="s">
        <v>1300</v>
      </c>
      <c r="C9" s="548">
        <f>C5*4.5%</f>
        <v>167.5</v>
      </c>
      <c r="D9" s="542" t="s">
        <v>1301</v>
      </c>
      <c r="E9" s="547"/>
      <c r="F9" s="148"/>
      <c r="G9" s="1"/>
      <c r="H9" s="1"/>
      <c r="I9" s="1"/>
      <c r="J9" s="537" t="s">
        <v>766</v>
      </c>
      <c r="K9" s="551">
        <v>2.486748184E10</v>
      </c>
      <c r="L9" s="544">
        <v>18.0</v>
      </c>
      <c r="M9" s="544">
        <f t="shared" si="1"/>
        <v>90</v>
      </c>
      <c r="N9" s="552">
        <v>0.14</v>
      </c>
      <c r="O9" s="1"/>
      <c r="P9" s="536" t="s">
        <v>1302</v>
      </c>
      <c r="Q9" s="537" t="s">
        <v>809</v>
      </c>
      <c r="R9" s="538">
        <v>2.4867724627E10</v>
      </c>
      <c r="S9" s="537" t="s">
        <v>1303</v>
      </c>
      <c r="T9" s="536" t="s">
        <v>1304</v>
      </c>
      <c r="U9" s="1"/>
      <c r="V9" s="1"/>
      <c r="W9" s="1"/>
      <c r="X9" s="1"/>
      <c r="Y9" s="1"/>
      <c r="Z9" s="1"/>
    </row>
    <row r="10" ht="15.75" customHeight="1">
      <c r="A10" s="547"/>
      <c r="B10" s="542" t="s">
        <v>1305</v>
      </c>
      <c r="C10" s="553">
        <f>D10</f>
        <v>1800</v>
      </c>
      <c r="D10" s="553">
        <f>C11/C5</f>
        <v>1800</v>
      </c>
      <c r="E10" s="547"/>
      <c r="F10" s="1"/>
      <c r="G10" s="1"/>
      <c r="H10" s="1"/>
      <c r="I10" s="1"/>
      <c r="J10" s="537" t="s">
        <v>805</v>
      </c>
      <c r="K10" s="551">
        <v>2.4717729485E10</v>
      </c>
      <c r="L10" s="544">
        <v>6.0</v>
      </c>
      <c r="M10" s="544">
        <f t="shared" si="1"/>
        <v>30</v>
      </c>
      <c r="N10" s="552">
        <v>0.04</v>
      </c>
      <c r="O10" s="1"/>
      <c r="P10" s="547"/>
      <c r="Q10" s="537" t="s">
        <v>776</v>
      </c>
      <c r="R10" s="538">
        <v>5.219966803E9</v>
      </c>
      <c r="S10" s="537" t="s">
        <v>1306</v>
      </c>
      <c r="T10" s="547"/>
      <c r="U10" s="1"/>
      <c r="V10" s="1"/>
      <c r="W10" s="1"/>
      <c r="X10" s="1"/>
      <c r="Y10" s="1"/>
      <c r="Z10" s="1"/>
    </row>
    <row r="11" ht="15.75" customHeight="1">
      <c r="A11" s="547"/>
      <c r="B11" s="542" t="s">
        <v>1307</v>
      </c>
      <c r="C11" s="553">
        <v>6700000.0</v>
      </c>
      <c r="D11" s="537"/>
      <c r="E11" s="547"/>
      <c r="F11" s="1"/>
      <c r="G11" s="1"/>
      <c r="H11" s="1"/>
      <c r="I11" s="1"/>
      <c r="J11" s="537" t="s">
        <v>774</v>
      </c>
      <c r="K11" s="551">
        <v>3.934257539E9</v>
      </c>
      <c r="L11" s="544">
        <v>3.0</v>
      </c>
      <c r="M11" s="544">
        <f t="shared" si="1"/>
        <v>15</v>
      </c>
      <c r="N11" s="552">
        <v>0.04</v>
      </c>
      <c r="O11" s="1"/>
      <c r="P11" s="551" t="s">
        <v>1308</v>
      </c>
      <c r="Q11" s="537" t="s">
        <v>269</v>
      </c>
      <c r="R11" s="538">
        <v>3.862340378E9</v>
      </c>
      <c r="S11" s="537" t="s">
        <v>1309</v>
      </c>
      <c r="T11" s="537"/>
      <c r="U11" s="1"/>
      <c r="V11" s="1"/>
      <c r="W11" s="1"/>
      <c r="X11" s="1"/>
      <c r="Y11" s="1"/>
      <c r="Z11" s="1"/>
    </row>
    <row r="12" ht="15.75" customHeight="1">
      <c r="A12" s="547"/>
      <c r="B12" s="542" t="s">
        <v>1310</v>
      </c>
      <c r="C12" s="553">
        <v>9.17E7</v>
      </c>
      <c r="D12" s="552">
        <v>1.0</v>
      </c>
      <c r="E12" s="547"/>
      <c r="F12" s="148"/>
      <c r="G12" s="1"/>
      <c r="H12" s="1"/>
      <c r="I12" s="1"/>
      <c r="J12" s="537" t="s">
        <v>1311</v>
      </c>
      <c r="K12" s="551">
        <v>6.917016018E9</v>
      </c>
      <c r="L12" s="544">
        <v>5.0</v>
      </c>
      <c r="M12" s="544">
        <f t="shared" si="1"/>
        <v>25</v>
      </c>
      <c r="N12" s="552">
        <v>0.02</v>
      </c>
      <c r="O12" s="1"/>
      <c r="P12" s="1"/>
      <c r="Q12" s="1"/>
      <c r="R12" s="1"/>
      <c r="S12" s="1"/>
      <c r="T12" s="1"/>
      <c r="U12" s="1"/>
      <c r="V12" s="1"/>
      <c r="W12" s="1"/>
      <c r="X12" s="1"/>
      <c r="Y12" s="1"/>
      <c r="Z12" s="1"/>
    </row>
    <row r="13" ht="15.75" customHeight="1">
      <c r="A13" s="546"/>
      <c r="B13" s="542" t="s">
        <v>1312</v>
      </c>
      <c r="C13" s="554">
        <f>C12/C11</f>
        <v>13.68656716</v>
      </c>
      <c r="D13" s="555"/>
      <c r="E13" s="546"/>
      <c r="F13" s="1"/>
      <c r="G13" s="1"/>
      <c r="H13" s="1"/>
      <c r="I13" s="1"/>
      <c r="J13" s="537" t="s">
        <v>720</v>
      </c>
      <c r="K13" s="551">
        <v>2.2864051694E10</v>
      </c>
      <c r="L13" s="544">
        <v>4.0</v>
      </c>
      <c r="M13" s="544">
        <f t="shared" si="1"/>
        <v>20</v>
      </c>
      <c r="N13" s="552">
        <v>0.02</v>
      </c>
      <c r="O13" s="1"/>
      <c r="P13" s="1"/>
      <c r="Q13" s="1"/>
      <c r="R13" s="1"/>
      <c r="S13" s="1"/>
      <c r="T13" s="1"/>
      <c r="U13" s="1"/>
      <c r="V13" s="1"/>
      <c r="W13" s="1"/>
      <c r="X13" s="1"/>
      <c r="Y13" s="1"/>
      <c r="Z13" s="1"/>
    </row>
    <row r="14" ht="15.75" customHeight="1">
      <c r="A14" s="541" t="s">
        <v>1313</v>
      </c>
      <c r="B14" s="542" t="s">
        <v>1285</v>
      </c>
      <c r="C14" s="543">
        <f>(C20/250000)*10000</f>
        <v>100000</v>
      </c>
      <c r="D14" s="544" t="s">
        <v>1314</v>
      </c>
      <c r="E14" s="545">
        <f>100%-E4</f>
        <v>0.3</v>
      </c>
      <c r="F14" s="1"/>
      <c r="G14" s="1"/>
      <c r="H14" s="1"/>
      <c r="I14" s="1"/>
      <c r="J14" s="537" t="s">
        <v>782</v>
      </c>
      <c r="K14" s="551">
        <v>3.1275154E9</v>
      </c>
      <c r="L14" s="544">
        <v>3.0</v>
      </c>
      <c r="M14" s="544">
        <f t="shared" si="1"/>
        <v>15</v>
      </c>
      <c r="N14" s="552">
        <v>0.02</v>
      </c>
      <c r="O14" s="1"/>
      <c r="P14" s="1"/>
      <c r="Q14" s="1"/>
      <c r="R14" s="1"/>
      <c r="S14" s="1"/>
      <c r="T14" s="1"/>
      <c r="U14" s="1"/>
      <c r="V14" s="1"/>
      <c r="W14" s="1"/>
      <c r="X14" s="1"/>
      <c r="Y14" s="1"/>
      <c r="Z14" s="1"/>
    </row>
    <row r="15" ht="15.75" customHeight="1">
      <c r="A15" s="547"/>
      <c r="B15" s="542" t="s">
        <v>1315</v>
      </c>
      <c r="C15" s="548">
        <f>C14*10%</f>
        <v>10000</v>
      </c>
      <c r="D15" s="544" t="s">
        <v>1316</v>
      </c>
      <c r="E15" s="547"/>
      <c r="F15" s="1"/>
      <c r="G15" s="1"/>
      <c r="H15" s="1"/>
      <c r="I15" s="1"/>
      <c r="J15" s="537" t="s">
        <v>749</v>
      </c>
      <c r="K15" s="551">
        <v>5.158911395E9</v>
      </c>
      <c r="L15" s="544">
        <v>15.0</v>
      </c>
      <c r="M15" s="544">
        <f t="shared" si="1"/>
        <v>75</v>
      </c>
      <c r="N15" s="552">
        <v>0.02</v>
      </c>
      <c r="O15" s="1"/>
      <c r="P15" s="1"/>
      <c r="Q15" s="1"/>
      <c r="R15" s="1"/>
      <c r="S15" s="1"/>
      <c r="T15" s="1"/>
      <c r="U15" s="1"/>
      <c r="V15" s="1"/>
      <c r="W15" s="1"/>
      <c r="X15" s="1"/>
      <c r="Y15" s="1"/>
      <c r="Z15" s="1"/>
    </row>
    <row r="16" ht="15.75" customHeight="1">
      <c r="A16" s="547"/>
      <c r="B16" s="542" t="s">
        <v>1317</v>
      </c>
      <c r="C16" s="548">
        <f>C15*D16</f>
        <v>250</v>
      </c>
      <c r="D16" s="556">
        <v>0.025</v>
      </c>
      <c r="E16" s="547"/>
      <c r="F16" s="1"/>
      <c r="G16" s="1"/>
      <c r="H16" s="1"/>
      <c r="I16" s="1"/>
      <c r="J16" s="537" t="s">
        <v>269</v>
      </c>
      <c r="K16" s="551">
        <v>3.862340378E9</v>
      </c>
      <c r="L16" s="544">
        <v>1.0</v>
      </c>
      <c r="M16" s="544">
        <f t="shared" si="1"/>
        <v>5</v>
      </c>
      <c r="N16" s="552">
        <v>0.01</v>
      </c>
      <c r="O16" s="1"/>
      <c r="P16" s="1"/>
      <c r="Q16" s="1"/>
      <c r="R16" s="1"/>
      <c r="S16" s="1"/>
      <c r="T16" s="1"/>
      <c r="U16" s="1"/>
      <c r="V16" s="1"/>
      <c r="W16" s="1"/>
      <c r="X16" s="1"/>
      <c r="Y16" s="1"/>
      <c r="Z16" s="1"/>
    </row>
    <row r="17" ht="15.75" customHeight="1">
      <c r="A17" s="547"/>
      <c r="B17" s="542" t="s">
        <v>1295</v>
      </c>
      <c r="C17" s="550">
        <f>D17</f>
        <v>0.1</v>
      </c>
      <c r="D17" s="550">
        <v>0.1</v>
      </c>
      <c r="E17" s="547"/>
      <c r="F17" s="1"/>
      <c r="G17" s="1"/>
      <c r="H17" s="1"/>
      <c r="I17" s="1"/>
      <c r="J17" s="537" t="s">
        <v>800</v>
      </c>
      <c r="K17" s="551">
        <v>2.4067721716E10</v>
      </c>
      <c r="L17" s="544">
        <v>2.0</v>
      </c>
      <c r="M17" s="544">
        <f t="shared" si="1"/>
        <v>10</v>
      </c>
      <c r="N17" s="552">
        <v>0.01</v>
      </c>
      <c r="O17" s="1"/>
      <c r="P17" s="1"/>
      <c r="Q17" s="1"/>
      <c r="R17" s="1"/>
      <c r="S17" s="1"/>
      <c r="T17" s="1"/>
      <c r="U17" s="1"/>
      <c r="V17" s="1"/>
      <c r="W17" s="1"/>
      <c r="X17" s="1"/>
      <c r="Y17" s="1"/>
      <c r="Z17" s="1"/>
    </row>
    <row r="18" ht="15.75" customHeight="1">
      <c r="A18" s="547"/>
      <c r="B18" s="542" t="s">
        <v>1300</v>
      </c>
      <c r="C18" s="548">
        <f>C16*30%</f>
        <v>75</v>
      </c>
      <c r="D18" s="542" t="s">
        <v>1318</v>
      </c>
      <c r="E18" s="547"/>
      <c r="F18" s="1"/>
      <c r="G18" s="1"/>
      <c r="H18" s="1"/>
      <c r="I18" s="1"/>
      <c r="J18" s="537" t="s">
        <v>780</v>
      </c>
      <c r="K18" s="551">
        <v>1.0014812415E10</v>
      </c>
      <c r="L18" s="544">
        <v>1.0</v>
      </c>
      <c r="M18" s="544">
        <f t="shared" si="1"/>
        <v>5</v>
      </c>
      <c r="N18" s="552">
        <v>0.01</v>
      </c>
      <c r="O18" s="1"/>
      <c r="P18" s="1"/>
      <c r="Q18" s="1"/>
      <c r="R18" s="1"/>
      <c r="S18" s="1"/>
      <c r="T18" s="1"/>
      <c r="U18" s="1"/>
      <c r="V18" s="1"/>
      <c r="W18" s="1"/>
      <c r="X18" s="1"/>
      <c r="Y18" s="1"/>
      <c r="Z18" s="1"/>
    </row>
    <row r="19" ht="15.75" customHeight="1">
      <c r="A19" s="547"/>
      <c r="B19" s="542" t="s">
        <v>1305</v>
      </c>
      <c r="C19" s="553">
        <f>D19</f>
        <v>250</v>
      </c>
      <c r="D19" s="553">
        <f>C20/C15</f>
        <v>250</v>
      </c>
      <c r="E19" s="547"/>
      <c r="F19" s="1"/>
      <c r="G19" s="1"/>
      <c r="H19" s="1"/>
      <c r="I19" s="1"/>
      <c r="J19" s="537" t="s">
        <v>809</v>
      </c>
      <c r="K19" s="551">
        <v>2.4867724627E10</v>
      </c>
      <c r="L19" s="544">
        <v>9.0</v>
      </c>
      <c r="M19" s="544">
        <f t="shared" si="1"/>
        <v>45</v>
      </c>
      <c r="N19" s="552">
        <v>0.08</v>
      </c>
      <c r="O19" s="1"/>
      <c r="P19" s="1"/>
      <c r="Q19" s="1"/>
      <c r="R19" s="1"/>
      <c r="S19" s="1"/>
      <c r="T19" s="1"/>
      <c r="U19" s="1"/>
      <c r="V19" s="1"/>
      <c r="W19" s="1"/>
      <c r="X19" s="1"/>
      <c r="Y19" s="1"/>
      <c r="Z19" s="1"/>
    </row>
    <row r="20" ht="15.75" customHeight="1">
      <c r="A20" s="547"/>
      <c r="B20" s="542" t="s">
        <v>1307</v>
      </c>
      <c r="C20" s="553">
        <v>2500000.0</v>
      </c>
      <c r="D20" s="537"/>
      <c r="E20" s="547"/>
      <c r="F20" s="1"/>
      <c r="G20" s="1"/>
      <c r="H20" s="1"/>
      <c r="I20" s="1"/>
      <c r="J20" s="1"/>
      <c r="K20" s="1"/>
      <c r="L20" s="1"/>
      <c r="M20" s="1"/>
      <c r="N20" s="1"/>
      <c r="O20" s="1"/>
      <c r="P20" s="1"/>
      <c r="Q20" s="1"/>
      <c r="R20" s="1"/>
      <c r="S20" s="1"/>
      <c r="T20" s="1"/>
      <c r="U20" s="1"/>
      <c r="V20" s="1"/>
      <c r="W20" s="1"/>
      <c r="X20" s="1"/>
      <c r="Y20" s="1"/>
      <c r="Z20" s="1"/>
    </row>
    <row r="21" ht="15.75" customHeight="1">
      <c r="A21" s="547"/>
      <c r="B21" s="542" t="s">
        <v>1310</v>
      </c>
      <c r="C21" s="553">
        <v>3.93E7</v>
      </c>
      <c r="D21" s="557"/>
      <c r="E21" s="547"/>
      <c r="F21" s="148"/>
      <c r="G21" s="1"/>
      <c r="H21" s="1"/>
      <c r="I21" s="1"/>
      <c r="J21" s="1"/>
      <c r="K21" s="1"/>
      <c r="L21" s="1"/>
      <c r="M21" s="1"/>
      <c r="N21" s="1"/>
      <c r="O21" s="1"/>
      <c r="P21" s="1"/>
      <c r="Q21" s="1"/>
      <c r="R21" s="1"/>
      <c r="S21" s="1"/>
      <c r="T21" s="1"/>
      <c r="U21" s="1"/>
      <c r="V21" s="1"/>
      <c r="W21" s="1"/>
      <c r="X21" s="1"/>
      <c r="Y21" s="1"/>
      <c r="Z21" s="1"/>
    </row>
    <row r="22" ht="15.75" customHeight="1">
      <c r="A22" s="546"/>
      <c r="B22" s="542" t="s">
        <v>1312</v>
      </c>
      <c r="C22" s="554">
        <f>C21/C20</f>
        <v>15.72</v>
      </c>
      <c r="D22" s="555"/>
      <c r="E22" s="546"/>
      <c r="F22" s="1"/>
      <c r="G22" s="1"/>
      <c r="H22" s="1"/>
      <c r="I22" s="1"/>
      <c r="J22" s="1"/>
      <c r="K22" s="1"/>
      <c r="L22" s="1"/>
      <c r="M22" s="1"/>
      <c r="N22" s="1"/>
      <c r="O22" s="1"/>
      <c r="P22" s="1"/>
      <c r="Q22" s="1"/>
      <c r="R22" s="1"/>
      <c r="S22" s="1"/>
      <c r="T22" s="1"/>
      <c r="U22" s="1"/>
      <c r="V22" s="1"/>
      <c r="W22" s="1"/>
      <c r="X22" s="1"/>
      <c r="Y22" s="1"/>
      <c r="Z22" s="1"/>
    </row>
    <row r="23" ht="15.75" customHeight="1">
      <c r="A23" s="1"/>
      <c r="B23" s="1"/>
      <c r="C23" s="558"/>
      <c r="D23" s="1"/>
      <c r="E23" s="1"/>
      <c r="F23" s="1"/>
      <c r="G23" s="1"/>
      <c r="H23" s="1"/>
      <c r="I23" s="1"/>
      <c r="J23" s="1"/>
      <c r="K23" s="1"/>
      <c r="L23" s="1"/>
      <c r="M23" s="1"/>
      <c r="N23" s="1"/>
      <c r="O23" s="1"/>
      <c r="P23" s="1"/>
      <c r="Q23" s="1"/>
      <c r="R23" s="1"/>
      <c r="S23" s="1"/>
      <c r="T23" s="1"/>
      <c r="U23" s="1"/>
      <c r="V23" s="1"/>
      <c r="W23" s="1"/>
      <c r="X23" s="1"/>
      <c r="Y23" s="1"/>
      <c r="Z23" s="1"/>
    </row>
    <row r="24" ht="15.75" customHeight="1">
      <c r="A24" s="527" t="s">
        <v>1319</v>
      </c>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559" t="s">
        <v>1320</v>
      </c>
      <c r="B25" s="560"/>
      <c r="C25" s="560"/>
      <c r="D25" s="560"/>
      <c r="E25" s="560"/>
      <c r="F25" s="560"/>
      <c r="G25" s="560"/>
      <c r="H25" s="560"/>
      <c r="I25" s="1"/>
      <c r="J25" s="1"/>
      <c r="K25" s="1"/>
      <c r="L25" s="1"/>
      <c r="M25" s="1"/>
      <c r="N25" s="1"/>
      <c r="O25" s="1"/>
      <c r="P25" s="1"/>
      <c r="Q25" s="1"/>
      <c r="R25" s="1"/>
      <c r="S25" s="1"/>
      <c r="T25" s="1"/>
      <c r="U25" s="1"/>
      <c r="V25" s="1"/>
      <c r="W25" s="1"/>
      <c r="X25" s="1"/>
      <c r="Y25" s="1"/>
      <c r="Z25" s="1"/>
    </row>
    <row r="26" ht="15.75" customHeight="1">
      <c r="A26" s="561" t="s">
        <v>1321</v>
      </c>
      <c r="B26" s="530" t="s">
        <v>1322</v>
      </c>
      <c r="C26" s="562" t="s">
        <v>1323</v>
      </c>
      <c r="D26" s="530" t="s">
        <v>1324</v>
      </c>
      <c r="E26" s="530" t="s">
        <v>1325</v>
      </c>
      <c r="F26" s="530" t="s">
        <v>1326</v>
      </c>
      <c r="G26" s="562" t="s">
        <v>1275</v>
      </c>
      <c r="H26" s="562" t="s">
        <v>1327</v>
      </c>
      <c r="I26" s="1"/>
      <c r="J26" s="1"/>
      <c r="K26" s="1"/>
      <c r="L26" s="1"/>
      <c r="M26" s="1"/>
      <c r="N26" s="1"/>
      <c r="O26" s="1"/>
      <c r="P26" s="1"/>
      <c r="Q26" s="1"/>
      <c r="R26" s="1"/>
      <c r="S26" s="1"/>
      <c r="T26" s="1"/>
      <c r="U26" s="1"/>
      <c r="V26" s="1"/>
      <c r="W26" s="1"/>
      <c r="X26" s="1"/>
      <c r="Y26" s="1"/>
      <c r="Z26" s="1"/>
    </row>
    <row r="27" ht="15.75" customHeight="1">
      <c r="A27" s="563" t="s">
        <v>1189</v>
      </c>
      <c r="B27" s="564" t="s">
        <v>1328</v>
      </c>
      <c r="C27" s="565">
        <f>C11</f>
        <v>6700000</v>
      </c>
      <c r="D27" s="566" t="s">
        <v>1329</v>
      </c>
      <c r="E27" s="567" t="s">
        <v>1330</v>
      </c>
      <c r="F27" s="568">
        <v>5.0</v>
      </c>
      <c r="G27" s="569">
        <v>0.4</v>
      </c>
      <c r="H27" s="570">
        <f>(C27*G27*30%)/F27</f>
        <v>160800</v>
      </c>
      <c r="I27" s="571">
        <f>H27/C27</f>
        <v>0.024</v>
      </c>
      <c r="J27" s="572">
        <f>40/16</f>
        <v>2.5</v>
      </c>
      <c r="K27" s="1"/>
      <c r="L27" s="1"/>
      <c r="M27" s="1"/>
      <c r="N27" s="1"/>
      <c r="O27" s="1"/>
      <c r="P27" s="1"/>
      <c r="Q27" s="1"/>
      <c r="R27" s="1"/>
      <c r="S27" s="1"/>
      <c r="T27" s="1"/>
      <c r="U27" s="1"/>
      <c r="V27" s="1"/>
      <c r="W27" s="1"/>
      <c r="X27" s="1"/>
      <c r="Y27" s="1"/>
      <c r="Z27" s="1"/>
    </row>
    <row r="28" ht="15.75" customHeight="1">
      <c r="A28" s="547"/>
      <c r="B28" s="547"/>
      <c r="C28" s="547"/>
      <c r="D28" s="566" t="s">
        <v>1331</v>
      </c>
      <c r="E28" s="567" t="s">
        <v>1332</v>
      </c>
      <c r="F28" s="568">
        <v>1.0</v>
      </c>
      <c r="G28" s="547"/>
      <c r="H28" s="570">
        <f>C27*G27*50%</f>
        <v>1340000</v>
      </c>
      <c r="I28" s="571">
        <f t="shared" ref="I28:I29" si="2">H28/$C$27</f>
        <v>0.2</v>
      </c>
      <c r="J28" s="1"/>
      <c r="K28" s="1"/>
      <c r="L28" s="1"/>
      <c r="M28" s="1"/>
      <c r="N28" s="1"/>
      <c r="O28" s="1"/>
      <c r="P28" s="1"/>
      <c r="Q28" s="1"/>
      <c r="R28" s="1"/>
      <c r="S28" s="1"/>
      <c r="T28" s="1"/>
      <c r="U28" s="1"/>
      <c r="V28" s="1"/>
      <c r="W28" s="1"/>
      <c r="X28" s="1"/>
      <c r="Y28" s="1"/>
      <c r="Z28" s="1"/>
    </row>
    <row r="29" ht="15.75" customHeight="1">
      <c r="A29" s="547"/>
      <c r="B29" s="547"/>
      <c r="C29" s="547"/>
      <c r="D29" s="566" t="s">
        <v>1333</v>
      </c>
      <c r="E29" s="567" t="s">
        <v>1334</v>
      </c>
      <c r="F29" s="568">
        <v>2.0</v>
      </c>
      <c r="G29" s="547"/>
      <c r="H29" s="570">
        <f>(C27*G27*20%)/F29</f>
        <v>268000</v>
      </c>
      <c r="I29" s="571">
        <f t="shared" si="2"/>
        <v>0.04</v>
      </c>
      <c r="J29" s="1"/>
      <c r="K29" s="1"/>
      <c r="L29" s="1"/>
      <c r="M29" s="1"/>
      <c r="N29" s="1"/>
      <c r="O29" s="1"/>
      <c r="P29" s="1"/>
      <c r="Q29" s="1"/>
      <c r="R29" s="1"/>
      <c r="S29" s="1"/>
      <c r="T29" s="1"/>
      <c r="U29" s="1"/>
      <c r="V29" s="1"/>
      <c r="W29" s="1"/>
      <c r="X29" s="1"/>
      <c r="Y29" s="1"/>
      <c r="Z29" s="1"/>
    </row>
    <row r="30" ht="15.75" customHeight="1">
      <c r="A30" s="547"/>
      <c r="B30" s="547"/>
      <c r="C30" s="547"/>
      <c r="D30" s="566" t="s">
        <v>1335</v>
      </c>
      <c r="E30" s="567" t="s">
        <v>1336</v>
      </c>
      <c r="F30" s="568">
        <v>6.0</v>
      </c>
      <c r="G30" s="573">
        <f>2.5%*F30</f>
        <v>0.15</v>
      </c>
      <c r="H30" s="570">
        <f>(C11*G30)/16</f>
        <v>62812.5</v>
      </c>
      <c r="I30" s="571">
        <f t="shared" ref="I30:I34" si="3">G30/F30</f>
        <v>0.025</v>
      </c>
      <c r="J30" s="1"/>
      <c r="K30" s="1"/>
      <c r="L30" s="1"/>
      <c r="M30" s="1"/>
      <c r="N30" s="1"/>
      <c r="O30" s="1"/>
      <c r="P30" s="1"/>
      <c r="Q30" s="1"/>
      <c r="R30" s="1"/>
      <c r="S30" s="1"/>
      <c r="T30" s="1"/>
      <c r="U30" s="1"/>
      <c r="V30" s="1"/>
      <c r="W30" s="1"/>
      <c r="X30" s="1"/>
      <c r="Y30" s="1"/>
      <c r="Z30" s="1"/>
    </row>
    <row r="31" ht="15.75" customHeight="1">
      <c r="A31" s="547"/>
      <c r="B31" s="547"/>
      <c r="C31" s="547"/>
      <c r="D31" s="566" t="s">
        <v>1337</v>
      </c>
      <c r="E31" s="567" t="s">
        <v>1338</v>
      </c>
      <c r="F31" s="568">
        <v>3.0</v>
      </c>
      <c r="G31" s="573">
        <v>0.1</v>
      </c>
      <c r="H31" s="570">
        <f>(C11*G31/3)</f>
        <v>223333.3333</v>
      </c>
      <c r="I31" s="571">
        <f t="shared" si="3"/>
        <v>0.03333333333</v>
      </c>
      <c r="J31" s="1"/>
      <c r="K31" s="1"/>
      <c r="L31" s="1"/>
      <c r="M31" s="1"/>
      <c r="N31" s="1"/>
      <c r="O31" s="1"/>
      <c r="P31" s="1"/>
      <c r="Q31" s="1"/>
      <c r="R31" s="1"/>
      <c r="S31" s="1"/>
      <c r="T31" s="1"/>
      <c r="U31" s="1"/>
      <c r="V31" s="1"/>
      <c r="W31" s="1"/>
      <c r="X31" s="1"/>
      <c r="Y31" s="1"/>
      <c r="Z31" s="1"/>
    </row>
    <row r="32" ht="15.75" customHeight="1">
      <c r="A32" s="547"/>
      <c r="B32" s="547"/>
      <c r="C32" s="547"/>
      <c r="D32" s="570" t="s">
        <v>1335</v>
      </c>
      <c r="E32" s="567" t="s">
        <v>1339</v>
      </c>
      <c r="F32" s="568">
        <v>7.0</v>
      </c>
      <c r="G32" s="573">
        <f>2.5%*F32</f>
        <v>0.175</v>
      </c>
      <c r="H32" s="570">
        <f>(C11*G30)/16</f>
        <v>62812.5</v>
      </c>
      <c r="I32" s="571">
        <f t="shared" si="3"/>
        <v>0.025</v>
      </c>
      <c r="J32" s="1"/>
      <c r="K32" s="1"/>
      <c r="L32" s="1"/>
      <c r="M32" s="1"/>
      <c r="N32" s="1"/>
      <c r="O32" s="1"/>
      <c r="P32" s="1"/>
      <c r="Q32" s="1"/>
      <c r="R32" s="1"/>
      <c r="S32" s="1"/>
      <c r="T32" s="1"/>
      <c r="U32" s="1"/>
      <c r="V32" s="1"/>
      <c r="W32" s="1"/>
      <c r="X32" s="1"/>
      <c r="Y32" s="1"/>
      <c r="Z32" s="1"/>
    </row>
    <row r="33" ht="15.75" customHeight="1">
      <c r="A33" s="547"/>
      <c r="B33" s="547"/>
      <c r="C33" s="547"/>
      <c r="D33" s="566" t="s">
        <v>1340</v>
      </c>
      <c r="E33" s="567" t="s">
        <v>1341</v>
      </c>
      <c r="F33" s="568">
        <v>3.0</v>
      </c>
      <c r="G33" s="573">
        <v>0.1</v>
      </c>
      <c r="H33" s="570">
        <f>(C11*G31/3)</f>
        <v>223333.3333</v>
      </c>
      <c r="I33" s="571">
        <f t="shared" si="3"/>
        <v>0.03333333333</v>
      </c>
      <c r="J33" s="1"/>
      <c r="K33" s="1"/>
      <c r="L33" s="1"/>
      <c r="M33" s="1"/>
      <c r="N33" s="1"/>
      <c r="O33" s="1"/>
      <c r="P33" s="1"/>
      <c r="Q33" s="1"/>
      <c r="R33" s="1"/>
      <c r="S33" s="1"/>
      <c r="T33" s="1"/>
      <c r="U33" s="1"/>
      <c r="V33" s="1"/>
      <c r="W33" s="1"/>
      <c r="X33" s="1"/>
      <c r="Y33" s="1"/>
      <c r="Z33" s="1"/>
    </row>
    <row r="34" ht="15.75" customHeight="1">
      <c r="A34" s="547"/>
      <c r="B34" s="546"/>
      <c r="C34" s="546"/>
      <c r="D34" s="574" t="s">
        <v>1335</v>
      </c>
      <c r="E34" s="567" t="s">
        <v>1342</v>
      </c>
      <c r="F34" s="568">
        <v>3.0</v>
      </c>
      <c r="G34" s="573">
        <f>2.5%*F34</f>
        <v>0.075</v>
      </c>
      <c r="H34" s="570">
        <f>(C11*G30)/16</f>
        <v>62812.5</v>
      </c>
      <c r="I34" s="571">
        <f t="shared" si="3"/>
        <v>0.025</v>
      </c>
      <c r="J34" s="1"/>
      <c r="K34" s="1"/>
      <c r="L34" s="1"/>
      <c r="M34" s="1"/>
      <c r="N34" s="1"/>
      <c r="O34" s="1"/>
      <c r="P34" s="1"/>
      <c r="Q34" s="1"/>
      <c r="R34" s="1"/>
      <c r="S34" s="1"/>
      <c r="T34" s="1"/>
      <c r="U34" s="1"/>
      <c r="V34" s="1"/>
      <c r="W34" s="1"/>
      <c r="X34" s="1"/>
      <c r="Y34" s="1"/>
      <c r="Z34" s="1"/>
    </row>
    <row r="35" ht="15.75" customHeight="1">
      <c r="A35" s="547"/>
      <c r="B35" s="575" t="s">
        <v>52</v>
      </c>
      <c r="C35" s="515"/>
      <c r="D35" s="515"/>
      <c r="E35" s="515"/>
      <c r="F35" s="515"/>
      <c r="G35" s="515"/>
      <c r="H35" s="516"/>
      <c r="I35" s="1"/>
      <c r="J35" s="1"/>
      <c r="K35" s="1"/>
      <c r="L35" s="1"/>
      <c r="M35" s="1"/>
      <c r="N35" s="1"/>
      <c r="O35" s="1"/>
      <c r="P35" s="1"/>
      <c r="Q35" s="1"/>
      <c r="R35" s="1"/>
      <c r="S35" s="1"/>
      <c r="T35" s="1"/>
      <c r="U35" s="1"/>
      <c r="V35" s="1"/>
      <c r="W35" s="1"/>
      <c r="X35" s="1"/>
      <c r="Y35" s="1"/>
      <c r="Z35" s="1"/>
    </row>
    <row r="36" ht="15.75" customHeight="1">
      <c r="A36" s="559" t="s">
        <v>1320</v>
      </c>
      <c r="B36" s="560"/>
      <c r="C36" s="560"/>
      <c r="D36" s="560"/>
      <c r="E36" s="560"/>
      <c r="F36" s="560"/>
      <c r="G36" s="560"/>
      <c r="H36" s="560"/>
      <c r="I36" s="1"/>
      <c r="J36" s="1"/>
      <c r="K36" s="1"/>
      <c r="L36" s="1"/>
      <c r="M36" s="1"/>
      <c r="N36" s="1"/>
      <c r="O36" s="1"/>
      <c r="P36" s="1"/>
      <c r="Q36" s="1"/>
      <c r="R36" s="1"/>
      <c r="S36" s="1"/>
      <c r="T36" s="1"/>
      <c r="U36" s="1"/>
      <c r="V36" s="1"/>
      <c r="W36" s="1"/>
      <c r="X36" s="1"/>
      <c r="Y36" s="1"/>
      <c r="Z36" s="1"/>
    </row>
    <row r="37" ht="15.75" customHeight="1">
      <c r="A37" s="576" t="s">
        <v>1321</v>
      </c>
      <c r="B37" s="530" t="s">
        <v>1322</v>
      </c>
      <c r="C37" s="530" t="s">
        <v>1323</v>
      </c>
      <c r="D37" s="530" t="s">
        <v>1343</v>
      </c>
      <c r="E37" s="530" t="s">
        <v>1325</v>
      </c>
      <c r="F37" s="530" t="s">
        <v>1326</v>
      </c>
      <c r="G37" s="562" t="s">
        <v>1275</v>
      </c>
      <c r="H37" s="562" t="s">
        <v>1327</v>
      </c>
      <c r="I37" s="1"/>
      <c r="J37" s="1"/>
      <c r="K37" s="1"/>
      <c r="L37" s="1"/>
      <c r="M37" s="1"/>
      <c r="N37" s="1"/>
      <c r="O37" s="1"/>
      <c r="P37" s="1"/>
      <c r="Q37" s="1"/>
      <c r="R37" s="1"/>
      <c r="S37" s="1"/>
      <c r="T37" s="1"/>
      <c r="U37" s="1"/>
      <c r="V37" s="1"/>
      <c r="W37" s="1"/>
      <c r="X37" s="1"/>
      <c r="Y37" s="1"/>
      <c r="Z37" s="1"/>
    </row>
    <row r="38" ht="15.75" customHeight="1">
      <c r="A38" s="563" t="s">
        <v>1344</v>
      </c>
      <c r="B38" s="577" t="s">
        <v>1345</v>
      </c>
      <c r="C38" s="578">
        <f>C20</f>
        <v>2500000</v>
      </c>
      <c r="D38" s="566" t="s">
        <v>1329</v>
      </c>
      <c r="E38" s="567" t="s">
        <v>1330</v>
      </c>
      <c r="F38" s="568">
        <v>5.0</v>
      </c>
      <c r="G38" s="569">
        <v>0.4</v>
      </c>
      <c r="H38" s="570">
        <f>($C$38*G38*30%)/F38</f>
        <v>60000</v>
      </c>
      <c r="I38" s="1"/>
      <c r="J38" s="1"/>
      <c r="K38" s="1"/>
      <c r="L38" s="1"/>
      <c r="M38" s="1"/>
      <c r="N38" s="1"/>
      <c r="O38" s="1"/>
      <c r="P38" s="1"/>
      <c r="Q38" s="1"/>
      <c r="R38" s="1"/>
      <c r="S38" s="1"/>
      <c r="T38" s="1"/>
      <c r="U38" s="1"/>
      <c r="V38" s="1"/>
      <c r="W38" s="1"/>
      <c r="X38" s="1"/>
      <c r="Y38" s="1"/>
      <c r="Z38" s="1"/>
    </row>
    <row r="39" ht="15.75" customHeight="1">
      <c r="A39" s="547"/>
      <c r="B39" s="547"/>
      <c r="C39" s="547"/>
      <c r="D39" s="566" t="s">
        <v>1331</v>
      </c>
      <c r="E39" s="567" t="s">
        <v>1332</v>
      </c>
      <c r="F39" s="568">
        <v>1.0</v>
      </c>
      <c r="G39" s="547"/>
      <c r="H39" s="570">
        <f>$C$38*G38*50%</f>
        <v>500000</v>
      </c>
      <c r="I39" s="1"/>
      <c r="J39" s="1"/>
      <c r="K39" s="1"/>
      <c r="L39" s="1"/>
      <c r="M39" s="1"/>
      <c r="N39" s="1"/>
      <c r="O39" s="1"/>
      <c r="P39" s="1"/>
      <c r="Q39" s="1"/>
      <c r="R39" s="1"/>
      <c r="S39" s="1"/>
      <c r="T39" s="1"/>
      <c r="U39" s="1"/>
      <c r="V39" s="1"/>
      <c r="W39" s="1"/>
      <c r="X39" s="1"/>
      <c r="Y39" s="1"/>
      <c r="Z39" s="1"/>
    </row>
    <row r="40" ht="15.75" customHeight="1">
      <c r="A40" s="547"/>
      <c r="B40" s="547"/>
      <c r="C40" s="547"/>
      <c r="D40" s="566" t="s">
        <v>1333</v>
      </c>
      <c r="E40" s="567" t="s">
        <v>1334</v>
      </c>
      <c r="F40" s="568">
        <v>2.0</v>
      </c>
      <c r="G40" s="547"/>
      <c r="H40" s="570">
        <f>($C$38*G38*20%)/F40</f>
        <v>100000</v>
      </c>
      <c r="I40" s="1"/>
      <c r="J40" s="1"/>
      <c r="K40" s="1"/>
      <c r="L40" s="1"/>
      <c r="M40" s="1"/>
      <c r="N40" s="1"/>
      <c r="O40" s="1"/>
      <c r="P40" s="1"/>
      <c r="Q40" s="1"/>
      <c r="R40" s="1"/>
      <c r="S40" s="1"/>
      <c r="T40" s="1"/>
      <c r="U40" s="1"/>
      <c r="V40" s="1"/>
      <c r="W40" s="1"/>
      <c r="X40" s="1"/>
      <c r="Y40" s="1"/>
      <c r="Z40" s="1"/>
    </row>
    <row r="41" ht="15.75" customHeight="1">
      <c r="A41" s="547"/>
      <c r="B41" s="547"/>
      <c r="C41" s="547"/>
      <c r="D41" s="566" t="s">
        <v>1335</v>
      </c>
      <c r="E41" s="567" t="s">
        <v>1336</v>
      </c>
      <c r="F41" s="568">
        <v>6.0</v>
      </c>
      <c r="G41" s="573">
        <f>2.5%*F41</f>
        <v>0.15</v>
      </c>
      <c r="H41" s="570">
        <f>(C38*G41)/16</f>
        <v>23437.5</v>
      </c>
      <c r="I41" s="1"/>
      <c r="J41" s="1"/>
      <c r="K41" s="1"/>
      <c r="L41" s="1"/>
      <c r="M41" s="1"/>
      <c r="N41" s="1"/>
      <c r="O41" s="1"/>
      <c r="P41" s="1"/>
      <c r="Q41" s="1"/>
      <c r="R41" s="1"/>
      <c r="S41" s="1"/>
      <c r="T41" s="1"/>
      <c r="U41" s="1"/>
      <c r="V41" s="1"/>
      <c r="W41" s="1"/>
      <c r="X41" s="1"/>
      <c r="Y41" s="1"/>
      <c r="Z41" s="1"/>
    </row>
    <row r="42" ht="15.75" customHeight="1">
      <c r="A42" s="547"/>
      <c r="B42" s="547"/>
      <c r="C42" s="547"/>
      <c r="D42" s="566" t="s">
        <v>1337</v>
      </c>
      <c r="E42" s="567" t="s">
        <v>1338</v>
      </c>
      <c r="F42" s="568">
        <v>3.0</v>
      </c>
      <c r="G42" s="573">
        <v>0.1</v>
      </c>
      <c r="H42" s="570">
        <f>(C38*G42/3)</f>
        <v>83333.33333</v>
      </c>
      <c r="I42" s="1"/>
      <c r="J42" s="1"/>
      <c r="K42" s="1"/>
      <c r="L42" s="1"/>
      <c r="M42" s="1"/>
      <c r="N42" s="1"/>
      <c r="O42" s="1"/>
      <c r="P42" s="1"/>
      <c r="Q42" s="1"/>
      <c r="R42" s="1"/>
      <c r="S42" s="1"/>
      <c r="T42" s="1"/>
      <c r="U42" s="1"/>
      <c r="V42" s="1"/>
      <c r="W42" s="1"/>
      <c r="X42" s="1"/>
      <c r="Y42" s="1"/>
      <c r="Z42" s="1"/>
    </row>
    <row r="43" ht="15.75" customHeight="1">
      <c r="A43" s="547"/>
      <c r="B43" s="547"/>
      <c r="C43" s="547"/>
      <c r="D43" s="570" t="s">
        <v>1335</v>
      </c>
      <c r="E43" s="567" t="s">
        <v>1339</v>
      </c>
      <c r="F43" s="568">
        <v>7.0</v>
      </c>
      <c r="G43" s="573">
        <f>2.5%*F43</f>
        <v>0.175</v>
      </c>
      <c r="H43" s="570">
        <f>(C38*G41)/16</f>
        <v>23437.5</v>
      </c>
      <c r="I43" s="1"/>
      <c r="J43" s="1"/>
      <c r="K43" s="1"/>
      <c r="L43" s="1"/>
      <c r="M43" s="1"/>
      <c r="N43" s="1"/>
      <c r="O43" s="1"/>
      <c r="P43" s="1"/>
      <c r="Q43" s="1"/>
      <c r="R43" s="1"/>
      <c r="S43" s="1"/>
      <c r="T43" s="1"/>
      <c r="U43" s="1"/>
      <c r="V43" s="1"/>
      <c r="W43" s="1"/>
      <c r="X43" s="1"/>
      <c r="Y43" s="1"/>
      <c r="Z43" s="1"/>
    </row>
    <row r="44" ht="15.75" customHeight="1">
      <c r="A44" s="547"/>
      <c r="B44" s="547"/>
      <c r="C44" s="547"/>
      <c r="D44" s="566" t="s">
        <v>1340</v>
      </c>
      <c r="E44" s="567" t="s">
        <v>1341</v>
      </c>
      <c r="F44" s="568">
        <v>3.0</v>
      </c>
      <c r="G44" s="573">
        <v>0.1</v>
      </c>
      <c r="H44" s="570">
        <f>(C38*G42/3)</f>
        <v>83333.33333</v>
      </c>
      <c r="I44" s="1"/>
      <c r="J44" s="1"/>
      <c r="K44" s="1"/>
      <c r="L44" s="1"/>
      <c r="M44" s="1"/>
      <c r="N44" s="1"/>
      <c r="O44" s="1"/>
      <c r="P44" s="1"/>
      <c r="Q44" s="1"/>
      <c r="R44" s="1"/>
      <c r="S44" s="1"/>
      <c r="T44" s="1"/>
      <c r="U44" s="1"/>
      <c r="V44" s="1"/>
      <c r="W44" s="1"/>
      <c r="X44" s="1"/>
      <c r="Y44" s="1"/>
      <c r="Z44" s="1"/>
    </row>
    <row r="45" ht="15.75" customHeight="1">
      <c r="A45" s="547"/>
      <c r="B45" s="546"/>
      <c r="C45" s="546"/>
      <c r="D45" s="574" t="s">
        <v>1335</v>
      </c>
      <c r="E45" s="567" t="s">
        <v>1342</v>
      </c>
      <c r="F45" s="568">
        <v>3.0</v>
      </c>
      <c r="G45" s="573">
        <f>2.5%*F45</f>
        <v>0.075</v>
      </c>
      <c r="H45" s="570">
        <f>(C38*G41)/16</f>
        <v>23437.5</v>
      </c>
      <c r="I45" s="1"/>
      <c r="J45" s="1"/>
      <c r="K45" s="1"/>
      <c r="L45" s="1"/>
      <c r="M45" s="1"/>
      <c r="N45" s="1"/>
      <c r="O45" s="1"/>
      <c r="P45" s="1"/>
      <c r="Q45" s="1"/>
      <c r="R45" s="1"/>
      <c r="S45" s="1"/>
      <c r="T45" s="1"/>
      <c r="U45" s="1"/>
      <c r="V45" s="1"/>
      <c r="W45" s="1"/>
      <c r="X45" s="1"/>
      <c r="Y45" s="1"/>
      <c r="Z45" s="1"/>
    </row>
    <row r="46" ht="15.75" customHeight="1">
      <c r="A46" s="546"/>
      <c r="B46" s="575" t="s">
        <v>52</v>
      </c>
      <c r="C46" s="515"/>
      <c r="D46" s="515"/>
      <c r="E46" s="515"/>
      <c r="F46" s="515"/>
      <c r="G46" s="515"/>
      <c r="H46" s="516"/>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T3:T4"/>
    <mergeCell ref="T5:T8"/>
    <mergeCell ref="T9:T10"/>
    <mergeCell ref="A2:E2"/>
    <mergeCell ref="A3:B3"/>
    <mergeCell ref="P3:P4"/>
    <mergeCell ref="S3:S4"/>
    <mergeCell ref="E4:E13"/>
    <mergeCell ref="P5:P8"/>
    <mergeCell ref="P9:P10"/>
    <mergeCell ref="A27:A35"/>
    <mergeCell ref="A38:A46"/>
    <mergeCell ref="B38:B45"/>
    <mergeCell ref="C38:C45"/>
    <mergeCell ref="G38:G40"/>
    <mergeCell ref="B46:H46"/>
    <mergeCell ref="A4:A13"/>
    <mergeCell ref="A14:A22"/>
    <mergeCell ref="E14:E22"/>
    <mergeCell ref="B27:B34"/>
    <mergeCell ref="C27:C34"/>
    <mergeCell ref="G27:G29"/>
    <mergeCell ref="B35:H3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